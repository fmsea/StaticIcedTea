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39900" yWindow="4440" windowWidth="26680" windowHeight="16400" tabRatio="902" activeTab="1"/>
  </bookViews>
  <sheets>
    <sheet name="artifacts" sheetId="13" r:id="rId1"/>
    <sheet name="summary" sheetId="5" r:id="rId2"/>
    <sheet name="RD c1 vs f" sheetId="1" r:id="rId3"/>
    <sheet name="RD c1 compare" sheetId="3" r:id="rId4"/>
    <sheet name="RD c2 vs f" sheetId="2" r:id="rId5"/>
    <sheet name="RD c2 compare" sheetId="4" r:id="rId6"/>
    <sheet name="VA c1 vs f satunsat" sheetId="6" r:id="rId7"/>
    <sheet name="VA c1 vs f time" sheetId="7" r:id="rId8"/>
    <sheet name="VA c1 compare" sheetId="9" r:id="rId9"/>
    <sheet name="VA c2 vs f satunsat" sheetId="10" r:id="rId10"/>
    <sheet name="VA c2 vs f time" sheetId="11" r:id="rId11"/>
    <sheet name="VA c2 compare" sheetId="12" r:id="rId1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15" i="5" l="1"/>
  <c r="Q16" i="5"/>
  <c r="Q17" i="5"/>
  <c r="Q18" i="5"/>
  <c r="Q19" i="5"/>
  <c r="Q20" i="5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I472" i="10"/>
  <c r="J472" i="10"/>
  <c r="I471" i="10"/>
  <c r="J471" i="10"/>
  <c r="I470" i="10"/>
  <c r="J470" i="10"/>
  <c r="I469" i="10"/>
  <c r="J469" i="10"/>
  <c r="I468" i="10"/>
  <c r="J468" i="10"/>
  <c r="I467" i="10"/>
  <c r="J467" i="10"/>
  <c r="I466" i="10"/>
  <c r="J466" i="10"/>
  <c r="I465" i="10"/>
  <c r="J465" i="10"/>
  <c r="I464" i="10"/>
  <c r="J464" i="10"/>
  <c r="I463" i="10"/>
  <c r="J463" i="10"/>
  <c r="I462" i="10"/>
  <c r="J462" i="10"/>
  <c r="I461" i="10"/>
  <c r="J461" i="10"/>
  <c r="I460" i="10"/>
  <c r="J460" i="10"/>
  <c r="I459" i="10"/>
  <c r="J459" i="10"/>
  <c r="I458" i="10"/>
  <c r="J458" i="10"/>
  <c r="I457" i="10"/>
  <c r="J457" i="10"/>
  <c r="I456" i="10"/>
  <c r="J456" i="10"/>
  <c r="I455" i="10"/>
  <c r="J455" i="10"/>
  <c r="I454" i="10"/>
  <c r="J454" i="10"/>
  <c r="I453" i="10"/>
  <c r="J453" i="10"/>
  <c r="I452" i="10"/>
  <c r="J452" i="10"/>
  <c r="I451" i="10"/>
  <c r="J451" i="10"/>
  <c r="I450" i="10"/>
  <c r="J450" i="10"/>
  <c r="I449" i="10"/>
  <c r="J449" i="10"/>
  <c r="I448" i="10"/>
  <c r="J448" i="10"/>
  <c r="I447" i="10"/>
  <c r="J447" i="10"/>
  <c r="I446" i="10"/>
  <c r="J446" i="10"/>
  <c r="I445" i="10"/>
  <c r="J445" i="10"/>
  <c r="I444" i="10"/>
  <c r="J444" i="10"/>
  <c r="I443" i="10"/>
  <c r="J443" i="10"/>
  <c r="I442" i="10"/>
  <c r="J442" i="10"/>
  <c r="I441" i="10"/>
  <c r="J441" i="10"/>
  <c r="I440" i="10"/>
  <c r="J440" i="10"/>
  <c r="I439" i="10"/>
  <c r="J439" i="10"/>
  <c r="I438" i="10"/>
  <c r="J438" i="10"/>
  <c r="I437" i="10"/>
  <c r="J437" i="10"/>
  <c r="I436" i="10"/>
  <c r="J436" i="10"/>
  <c r="I435" i="10"/>
  <c r="J435" i="10"/>
  <c r="I434" i="10"/>
  <c r="J434" i="10"/>
  <c r="I433" i="10"/>
  <c r="J433" i="10"/>
  <c r="I432" i="10"/>
  <c r="J432" i="10"/>
  <c r="I431" i="10"/>
  <c r="J431" i="10"/>
  <c r="I430" i="10"/>
  <c r="J430" i="10"/>
  <c r="I429" i="10"/>
  <c r="J429" i="10"/>
  <c r="I428" i="10"/>
  <c r="J428" i="10"/>
  <c r="I427" i="10"/>
  <c r="J427" i="10"/>
  <c r="I426" i="10"/>
  <c r="J426" i="10"/>
  <c r="I425" i="10"/>
  <c r="J425" i="10"/>
  <c r="I424" i="10"/>
  <c r="J424" i="10"/>
  <c r="I423" i="10"/>
  <c r="J423" i="10"/>
  <c r="I422" i="10"/>
  <c r="J422" i="10"/>
  <c r="I421" i="10"/>
  <c r="J421" i="10"/>
  <c r="I420" i="10"/>
  <c r="J420" i="10"/>
  <c r="I419" i="10"/>
  <c r="J419" i="10"/>
  <c r="I418" i="10"/>
  <c r="J418" i="10"/>
  <c r="I417" i="10"/>
  <c r="J417" i="10"/>
  <c r="I416" i="10"/>
  <c r="J416" i="10"/>
  <c r="I415" i="10"/>
  <c r="J415" i="10"/>
  <c r="I414" i="10"/>
  <c r="J414" i="10"/>
  <c r="I413" i="10"/>
  <c r="J413" i="10"/>
  <c r="I412" i="10"/>
  <c r="J412" i="10"/>
  <c r="I411" i="10"/>
  <c r="J411" i="10"/>
  <c r="I410" i="10"/>
  <c r="J410" i="10"/>
  <c r="I409" i="10"/>
  <c r="J409" i="10"/>
  <c r="I408" i="10"/>
  <c r="J408" i="10"/>
  <c r="I407" i="10"/>
  <c r="J407" i="10"/>
  <c r="I406" i="10"/>
  <c r="J406" i="10"/>
  <c r="I405" i="10"/>
  <c r="J405" i="10"/>
  <c r="I404" i="10"/>
  <c r="J404" i="10"/>
  <c r="I403" i="10"/>
  <c r="J403" i="10"/>
  <c r="I402" i="10"/>
  <c r="J402" i="10"/>
  <c r="I401" i="10"/>
  <c r="J401" i="10"/>
  <c r="I400" i="10"/>
  <c r="J400" i="10"/>
  <c r="I399" i="10"/>
  <c r="J399" i="10"/>
  <c r="I398" i="10"/>
  <c r="J398" i="10"/>
  <c r="I397" i="10"/>
  <c r="J397" i="10"/>
  <c r="I396" i="10"/>
  <c r="J396" i="10"/>
  <c r="I395" i="10"/>
  <c r="J395" i="10"/>
  <c r="I394" i="10"/>
  <c r="J394" i="10"/>
  <c r="I393" i="10"/>
  <c r="J393" i="10"/>
  <c r="I392" i="10"/>
  <c r="J392" i="10"/>
  <c r="I391" i="10"/>
  <c r="J391" i="10"/>
  <c r="I390" i="10"/>
  <c r="J390" i="10"/>
  <c r="I389" i="10"/>
  <c r="J389" i="10"/>
  <c r="I388" i="10"/>
  <c r="J388" i="10"/>
  <c r="I387" i="10"/>
  <c r="J387" i="10"/>
  <c r="I386" i="10"/>
  <c r="J386" i="10"/>
  <c r="I385" i="10"/>
  <c r="J385" i="10"/>
  <c r="I384" i="10"/>
  <c r="J384" i="10"/>
  <c r="I383" i="10"/>
  <c r="J383" i="10"/>
  <c r="I382" i="10"/>
  <c r="J382" i="10"/>
  <c r="I381" i="10"/>
  <c r="J381" i="10"/>
  <c r="I380" i="10"/>
  <c r="J380" i="10"/>
  <c r="I379" i="10"/>
  <c r="J379" i="10"/>
  <c r="I378" i="10"/>
  <c r="J378" i="10"/>
  <c r="I377" i="10"/>
  <c r="J377" i="10"/>
  <c r="I376" i="10"/>
  <c r="J376" i="10"/>
  <c r="I375" i="10"/>
  <c r="J375" i="10"/>
  <c r="I374" i="10"/>
  <c r="J374" i="10"/>
  <c r="I373" i="10"/>
  <c r="J373" i="10"/>
  <c r="I372" i="10"/>
  <c r="J372" i="10"/>
  <c r="I371" i="10"/>
  <c r="J371" i="10"/>
  <c r="I370" i="10"/>
  <c r="J370" i="10"/>
  <c r="I369" i="10"/>
  <c r="J369" i="10"/>
  <c r="I368" i="10"/>
  <c r="J368" i="10"/>
  <c r="I367" i="10"/>
  <c r="J367" i="10"/>
  <c r="I366" i="10"/>
  <c r="J366" i="10"/>
  <c r="I365" i="10"/>
  <c r="J365" i="10"/>
  <c r="I364" i="10"/>
  <c r="J364" i="10"/>
  <c r="I363" i="10"/>
  <c r="J363" i="10"/>
  <c r="I362" i="10"/>
  <c r="J362" i="10"/>
  <c r="I361" i="10"/>
  <c r="J361" i="10"/>
  <c r="I360" i="10"/>
  <c r="J360" i="10"/>
  <c r="I359" i="10"/>
  <c r="J359" i="10"/>
  <c r="I358" i="10"/>
  <c r="J358" i="10"/>
  <c r="I357" i="10"/>
  <c r="J357" i="10"/>
  <c r="I356" i="10"/>
  <c r="J356" i="10"/>
  <c r="I355" i="10"/>
  <c r="J355" i="10"/>
  <c r="I354" i="10"/>
  <c r="J354" i="10"/>
  <c r="I353" i="10"/>
  <c r="J353" i="10"/>
  <c r="I352" i="10"/>
  <c r="J352" i="10"/>
  <c r="I351" i="10"/>
  <c r="J351" i="10"/>
  <c r="I350" i="10"/>
  <c r="J350" i="10"/>
  <c r="I349" i="10"/>
  <c r="J349" i="10"/>
  <c r="I348" i="10"/>
  <c r="J348" i="10"/>
  <c r="I347" i="10"/>
  <c r="J347" i="10"/>
  <c r="I346" i="10"/>
  <c r="J346" i="10"/>
  <c r="I345" i="10"/>
  <c r="J345" i="10"/>
  <c r="I344" i="10"/>
  <c r="J344" i="10"/>
  <c r="I343" i="10"/>
  <c r="J343" i="10"/>
  <c r="I342" i="10"/>
  <c r="J342" i="10"/>
  <c r="I341" i="10"/>
  <c r="J341" i="10"/>
  <c r="I340" i="10"/>
  <c r="J340" i="10"/>
  <c r="I339" i="10"/>
  <c r="J339" i="10"/>
  <c r="I338" i="10"/>
  <c r="J338" i="10"/>
  <c r="I337" i="10"/>
  <c r="J337" i="10"/>
  <c r="I336" i="10"/>
  <c r="J336" i="10"/>
  <c r="I335" i="10"/>
  <c r="J335" i="10"/>
  <c r="I334" i="10"/>
  <c r="J334" i="10"/>
  <c r="I333" i="10"/>
  <c r="J333" i="10"/>
  <c r="I332" i="10"/>
  <c r="J332" i="10"/>
  <c r="I331" i="10"/>
  <c r="J331" i="10"/>
  <c r="I330" i="10"/>
  <c r="J330" i="10"/>
  <c r="I329" i="10"/>
  <c r="J329" i="10"/>
  <c r="I328" i="10"/>
  <c r="J328" i="10"/>
  <c r="I327" i="10"/>
  <c r="J327" i="10"/>
  <c r="I326" i="10"/>
  <c r="J326" i="10"/>
  <c r="I325" i="10"/>
  <c r="J325" i="10"/>
  <c r="I324" i="10"/>
  <c r="J324" i="10"/>
  <c r="I323" i="10"/>
  <c r="J323" i="10"/>
  <c r="I322" i="10"/>
  <c r="J322" i="10"/>
  <c r="I321" i="10"/>
  <c r="J321" i="10"/>
  <c r="I320" i="10"/>
  <c r="J320" i="10"/>
  <c r="I319" i="10"/>
  <c r="J319" i="10"/>
  <c r="I318" i="10"/>
  <c r="J318" i="10"/>
  <c r="I317" i="10"/>
  <c r="J317" i="10"/>
  <c r="I316" i="10"/>
  <c r="J316" i="10"/>
  <c r="I315" i="10"/>
  <c r="J315" i="10"/>
  <c r="I314" i="10"/>
  <c r="J314" i="10"/>
  <c r="I313" i="10"/>
  <c r="J313" i="10"/>
  <c r="I312" i="10"/>
  <c r="J312" i="10"/>
  <c r="I311" i="10"/>
  <c r="J311" i="10"/>
  <c r="I310" i="10"/>
  <c r="J310" i="10"/>
  <c r="I309" i="10"/>
  <c r="J309" i="10"/>
  <c r="I308" i="10"/>
  <c r="J308" i="10"/>
  <c r="I307" i="10"/>
  <c r="J307" i="10"/>
  <c r="I306" i="10"/>
  <c r="J306" i="10"/>
  <c r="I305" i="10"/>
  <c r="J305" i="10"/>
  <c r="I304" i="10"/>
  <c r="J304" i="10"/>
  <c r="I303" i="10"/>
  <c r="J303" i="10"/>
  <c r="I302" i="10"/>
  <c r="J302" i="10"/>
  <c r="I301" i="10"/>
  <c r="J301" i="10"/>
  <c r="I300" i="10"/>
  <c r="J300" i="10"/>
  <c r="I299" i="10"/>
  <c r="J299" i="10"/>
  <c r="I298" i="10"/>
  <c r="J298" i="10"/>
  <c r="I297" i="10"/>
  <c r="J297" i="10"/>
  <c r="I296" i="10"/>
  <c r="J296" i="10"/>
  <c r="I295" i="10"/>
  <c r="J295" i="10"/>
  <c r="I294" i="10"/>
  <c r="J294" i="10"/>
  <c r="I293" i="10"/>
  <c r="J293" i="10"/>
  <c r="I292" i="10"/>
  <c r="J292" i="10"/>
  <c r="I291" i="10"/>
  <c r="J291" i="10"/>
  <c r="I290" i="10"/>
  <c r="J290" i="10"/>
  <c r="I289" i="10"/>
  <c r="J289" i="10"/>
  <c r="I288" i="10"/>
  <c r="J288" i="10"/>
  <c r="I287" i="10"/>
  <c r="J287" i="10"/>
  <c r="I286" i="10"/>
  <c r="J286" i="10"/>
  <c r="I285" i="10"/>
  <c r="J285" i="10"/>
  <c r="I284" i="10"/>
  <c r="J284" i="10"/>
  <c r="I283" i="10"/>
  <c r="J283" i="10"/>
  <c r="I282" i="10"/>
  <c r="J282" i="10"/>
  <c r="I281" i="10"/>
  <c r="J281" i="10"/>
  <c r="I280" i="10"/>
  <c r="J280" i="10"/>
  <c r="I279" i="10"/>
  <c r="J279" i="10"/>
  <c r="I278" i="10"/>
  <c r="J278" i="10"/>
  <c r="I277" i="10"/>
  <c r="J277" i="10"/>
  <c r="I276" i="10"/>
  <c r="J276" i="10"/>
  <c r="I275" i="10"/>
  <c r="J275" i="10"/>
  <c r="I274" i="10"/>
  <c r="J274" i="10"/>
  <c r="I273" i="10"/>
  <c r="J273" i="10"/>
  <c r="I272" i="10"/>
  <c r="J272" i="10"/>
  <c r="I271" i="10"/>
  <c r="J271" i="10"/>
  <c r="I270" i="10"/>
  <c r="J270" i="10"/>
  <c r="I269" i="10"/>
  <c r="J269" i="10"/>
  <c r="I268" i="10"/>
  <c r="J268" i="10"/>
  <c r="I267" i="10"/>
  <c r="J267" i="10"/>
  <c r="I266" i="10"/>
  <c r="J266" i="10"/>
  <c r="I265" i="10"/>
  <c r="J265" i="10"/>
  <c r="I264" i="10"/>
  <c r="J264" i="10"/>
  <c r="I263" i="10"/>
  <c r="J263" i="10"/>
  <c r="I262" i="10"/>
  <c r="J262" i="10"/>
  <c r="I261" i="10"/>
  <c r="J261" i="10"/>
  <c r="I260" i="10"/>
  <c r="J260" i="10"/>
  <c r="I259" i="10"/>
  <c r="J259" i="10"/>
  <c r="I258" i="10"/>
  <c r="J258" i="10"/>
  <c r="I257" i="10"/>
  <c r="J257" i="10"/>
  <c r="I256" i="10"/>
  <c r="J256" i="10"/>
  <c r="I255" i="10"/>
  <c r="J255" i="10"/>
  <c r="I254" i="10"/>
  <c r="J254" i="10"/>
  <c r="I253" i="10"/>
  <c r="J253" i="10"/>
  <c r="I252" i="10"/>
  <c r="J252" i="10"/>
  <c r="I251" i="10"/>
  <c r="J251" i="10"/>
  <c r="I250" i="10"/>
  <c r="J250" i="10"/>
  <c r="I249" i="10"/>
  <c r="J249" i="10"/>
  <c r="I248" i="10"/>
  <c r="J248" i="10"/>
  <c r="I247" i="10"/>
  <c r="J247" i="10"/>
  <c r="I246" i="10"/>
  <c r="J246" i="10"/>
  <c r="I245" i="10"/>
  <c r="J245" i="10"/>
  <c r="I244" i="10"/>
  <c r="J244" i="10"/>
  <c r="I243" i="10"/>
  <c r="J243" i="10"/>
  <c r="I242" i="10"/>
  <c r="J242" i="10"/>
  <c r="I241" i="10"/>
  <c r="J241" i="10"/>
  <c r="I240" i="10"/>
  <c r="J240" i="10"/>
  <c r="I239" i="10"/>
  <c r="J239" i="10"/>
  <c r="I238" i="10"/>
  <c r="J238" i="10"/>
  <c r="I237" i="10"/>
  <c r="J237" i="10"/>
  <c r="I236" i="10"/>
  <c r="J236" i="10"/>
  <c r="I235" i="10"/>
  <c r="J235" i="10"/>
  <c r="I234" i="10"/>
  <c r="J234" i="10"/>
  <c r="I233" i="10"/>
  <c r="J233" i="10"/>
  <c r="I232" i="10"/>
  <c r="J232" i="10"/>
  <c r="I231" i="10"/>
  <c r="J231" i="10"/>
  <c r="I230" i="10"/>
  <c r="J230" i="10"/>
  <c r="I229" i="10"/>
  <c r="J229" i="10"/>
  <c r="I228" i="10"/>
  <c r="J228" i="10"/>
  <c r="I227" i="10"/>
  <c r="J227" i="10"/>
  <c r="I226" i="10"/>
  <c r="J226" i="10"/>
  <c r="I225" i="10"/>
  <c r="J225" i="10"/>
  <c r="I224" i="10"/>
  <c r="J224" i="10"/>
  <c r="I223" i="10"/>
  <c r="J223" i="10"/>
  <c r="I222" i="10"/>
  <c r="J222" i="10"/>
  <c r="I221" i="10"/>
  <c r="J221" i="10"/>
  <c r="I220" i="10"/>
  <c r="J220" i="10"/>
  <c r="I219" i="10"/>
  <c r="J219" i="10"/>
  <c r="I218" i="10"/>
  <c r="J218" i="10"/>
  <c r="I217" i="10"/>
  <c r="J217" i="10"/>
  <c r="I216" i="10"/>
  <c r="J216" i="10"/>
  <c r="I215" i="10"/>
  <c r="J215" i="10"/>
  <c r="I214" i="10"/>
  <c r="J214" i="10"/>
  <c r="I213" i="10"/>
  <c r="J213" i="10"/>
  <c r="I212" i="10"/>
  <c r="J212" i="10"/>
  <c r="I211" i="10"/>
  <c r="J211" i="10"/>
  <c r="I210" i="10"/>
  <c r="J210" i="10"/>
  <c r="I209" i="10"/>
  <c r="J209" i="10"/>
  <c r="I208" i="10"/>
  <c r="J208" i="10"/>
  <c r="I207" i="10"/>
  <c r="J207" i="10"/>
  <c r="H206" i="10"/>
  <c r="I206" i="10"/>
  <c r="J206" i="10"/>
  <c r="H205" i="10"/>
  <c r="I205" i="10"/>
  <c r="J205" i="10"/>
  <c r="H204" i="10"/>
  <c r="I204" i="10"/>
  <c r="J204" i="10"/>
  <c r="H203" i="10"/>
  <c r="I203" i="10"/>
  <c r="J203" i="10"/>
  <c r="H202" i="10"/>
  <c r="I202" i="10"/>
  <c r="J202" i="10"/>
  <c r="H201" i="10"/>
  <c r="I201" i="10"/>
  <c r="J201" i="10"/>
  <c r="H200" i="10"/>
  <c r="I200" i="10"/>
  <c r="J200" i="10"/>
  <c r="H199" i="10"/>
  <c r="I199" i="10"/>
  <c r="J199" i="10"/>
  <c r="H198" i="10"/>
  <c r="I198" i="10"/>
  <c r="J198" i="10"/>
  <c r="H197" i="10"/>
  <c r="I197" i="10"/>
  <c r="J197" i="10"/>
  <c r="H196" i="10"/>
  <c r="I196" i="10"/>
  <c r="J196" i="10"/>
  <c r="H195" i="10"/>
  <c r="I195" i="10"/>
  <c r="J195" i="10"/>
  <c r="H194" i="10"/>
  <c r="I194" i="10"/>
  <c r="J194" i="10"/>
  <c r="H193" i="10"/>
  <c r="I193" i="10"/>
  <c r="J193" i="10"/>
  <c r="H192" i="10"/>
  <c r="I192" i="10"/>
  <c r="J192" i="10"/>
  <c r="H191" i="10"/>
  <c r="I191" i="10"/>
  <c r="J191" i="10"/>
  <c r="I190" i="10"/>
  <c r="J190" i="10"/>
  <c r="I189" i="10"/>
  <c r="J189" i="10"/>
  <c r="I188" i="10"/>
  <c r="J188" i="10"/>
  <c r="I187" i="10"/>
  <c r="J187" i="10"/>
  <c r="I186" i="10"/>
  <c r="J186" i="10"/>
  <c r="I185" i="10"/>
  <c r="J185" i="10"/>
  <c r="I184" i="10"/>
  <c r="J184" i="10"/>
  <c r="I183" i="10"/>
  <c r="J183" i="10"/>
  <c r="I182" i="10"/>
  <c r="J182" i="10"/>
  <c r="I181" i="10"/>
  <c r="J181" i="10"/>
  <c r="I180" i="10"/>
  <c r="J180" i="10"/>
  <c r="I179" i="10"/>
  <c r="J179" i="10"/>
  <c r="I178" i="10"/>
  <c r="J178" i="10"/>
  <c r="I177" i="10"/>
  <c r="J177" i="10"/>
  <c r="I176" i="10"/>
  <c r="J176" i="10"/>
  <c r="I175" i="10"/>
  <c r="J175" i="10"/>
  <c r="I174" i="10"/>
  <c r="J174" i="10"/>
  <c r="I173" i="10"/>
  <c r="J173" i="10"/>
  <c r="I172" i="10"/>
  <c r="J172" i="10"/>
  <c r="I171" i="10"/>
  <c r="J171" i="10"/>
  <c r="I170" i="10"/>
  <c r="J170" i="10"/>
  <c r="I169" i="10"/>
  <c r="J169" i="10"/>
  <c r="I168" i="10"/>
  <c r="J168" i="10"/>
  <c r="I167" i="10"/>
  <c r="J167" i="10"/>
  <c r="I166" i="10"/>
  <c r="J166" i="10"/>
  <c r="I165" i="10"/>
  <c r="J165" i="10"/>
  <c r="I164" i="10"/>
  <c r="J164" i="10"/>
  <c r="I163" i="10"/>
  <c r="J163" i="10"/>
  <c r="I162" i="10"/>
  <c r="J162" i="10"/>
  <c r="I161" i="10"/>
  <c r="J161" i="10"/>
  <c r="I160" i="10"/>
  <c r="J160" i="10"/>
  <c r="I159" i="10"/>
  <c r="J159" i="10"/>
  <c r="I158" i="10"/>
  <c r="J158" i="10"/>
  <c r="I157" i="10"/>
  <c r="J157" i="10"/>
  <c r="I156" i="10"/>
  <c r="J156" i="10"/>
  <c r="I155" i="10"/>
  <c r="J155" i="10"/>
  <c r="I154" i="10"/>
  <c r="J154" i="10"/>
  <c r="I153" i="10"/>
  <c r="J153" i="10"/>
  <c r="I152" i="10"/>
  <c r="J152" i="10"/>
  <c r="I151" i="10"/>
  <c r="J151" i="10"/>
  <c r="I150" i="10"/>
  <c r="J150" i="10"/>
  <c r="I149" i="10"/>
  <c r="J149" i="10"/>
  <c r="I148" i="10"/>
  <c r="J148" i="10"/>
  <c r="I147" i="10"/>
  <c r="J147" i="10"/>
  <c r="I146" i="10"/>
  <c r="J146" i="10"/>
  <c r="I145" i="10"/>
  <c r="J145" i="10"/>
  <c r="I144" i="10"/>
  <c r="J144" i="10"/>
  <c r="I143" i="10"/>
  <c r="J143" i="10"/>
  <c r="I142" i="10"/>
  <c r="J142" i="10"/>
  <c r="I141" i="10"/>
  <c r="J141" i="10"/>
  <c r="I140" i="10"/>
  <c r="J140" i="10"/>
  <c r="I139" i="10"/>
  <c r="J139" i="10"/>
  <c r="I138" i="10"/>
  <c r="J138" i="10"/>
  <c r="I137" i="10"/>
  <c r="J137" i="10"/>
  <c r="I136" i="10"/>
  <c r="J136" i="10"/>
  <c r="I135" i="10"/>
  <c r="J135" i="10"/>
  <c r="I134" i="10"/>
  <c r="J134" i="10"/>
  <c r="I133" i="10"/>
  <c r="J133" i="10"/>
  <c r="I132" i="10"/>
  <c r="J132" i="10"/>
  <c r="I131" i="10"/>
  <c r="J131" i="10"/>
  <c r="I130" i="10"/>
  <c r="J130" i="10"/>
  <c r="I129" i="10"/>
  <c r="J129" i="10"/>
  <c r="I128" i="10"/>
  <c r="J128" i="10"/>
  <c r="I127" i="10"/>
  <c r="J127" i="10"/>
  <c r="I126" i="10"/>
  <c r="J126" i="10"/>
  <c r="I125" i="10"/>
  <c r="J125" i="10"/>
  <c r="I124" i="10"/>
  <c r="J124" i="10"/>
  <c r="I123" i="10"/>
  <c r="J123" i="10"/>
  <c r="I122" i="10"/>
  <c r="J122" i="10"/>
  <c r="I121" i="10"/>
  <c r="J121" i="10"/>
  <c r="I120" i="10"/>
  <c r="J120" i="10"/>
  <c r="I119" i="10"/>
  <c r="J119" i="10"/>
  <c r="I118" i="10"/>
  <c r="J118" i="10"/>
  <c r="I117" i="10"/>
  <c r="J117" i="10"/>
  <c r="I116" i="10"/>
  <c r="J116" i="10"/>
  <c r="I115" i="10"/>
  <c r="J115" i="10"/>
  <c r="I114" i="10"/>
  <c r="J114" i="10"/>
  <c r="I113" i="10"/>
  <c r="J113" i="10"/>
  <c r="I112" i="10"/>
  <c r="J112" i="10"/>
  <c r="I111" i="10"/>
  <c r="J111" i="10"/>
  <c r="I110" i="10"/>
  <c r="J110" i="10"/>
  <c r="I109" i="10"/>
  <c r="J109" i="10"/>
  <c r="I108" i="10"/>
  <c r="J108" i="10"/>
  <c r="I107" i="10"/>
  <c r="J107" i="10"/>
  <c r="I106" i="10"/>
  <c r="J106" i="10"/>
  <c r="I105" i="10"/>
  <c r="J105" i="10"/>
  <c r="I104" i="10"/>
  <c r="J104" i="10"/>
  <c r="I103" i="10"/>
  <c r="J103" i="10"/>
  <c r="I102" i="10"/>
  <c r="J102" i="10"/>
  <c r="I101" i="10"/>
  <c r="J101" i="10"/>
  <c r="I100" i="10"/>
  <c r="J100" i="10"/>
  <c r="I99" i="10"/>
  <c r="J99" i="10"/>
  <c r="I98" i="10"/>
  <c r="J98" i="10"/>
  <c r="I97" i="10"/>
  <c r="J97" i="10"/>
  <c r="I96" i="10"/>
  <c r="J96" i="10"/>
  <c r="I95" i="10"/>
  <c r="J95" i="10"/>
  <c r="I94" i="10"/>
  <c r="J94" i="10"/>
  <c r="I93" i="10"/>
  <c r="J93" i="10"/>
  <c r="I92" i="10"/>
  <c r="J92" i="10"/>
  <c r="I91" i="10"/>
  <c r="J91" i="10"/>
  <c r="I90" i="10"/>
  <c r="J90" i="10"/>
  <c r="I89" i="10"/>
  <c r="J89" i="10"/>
  <c r="I88" i="10"/>
  <c r="J88" i="10"/>
  <c r="I87" i="10"/>
  <c r="J87" i="10"/>
  <c r="I86" i="10"/>
  <c r="J86" i="10"/>
  <c r="I85" i="10"/>
  <c r="J85" i="10"/>
  <c r="I84" i="10"/>
  <c r="J84" i="10"/>
  <c r="I83" i="10"/>
  <c r="J83" i="10"/>
  <c r="I82" i="10"/>
  <c r="J82" i="10"/>
  <c r="I81" i="10"/>
  <c r="J81" i="10"/>
  <c r="I80" i="10"/>
  <c r="J80" i="10"/>
  <c r="I79" i="10"/>
  <c r="J79" i="10"/>
  <c r="I78" i="10"/>
  <c r="J78" i="10"/>
  <c r="I77" i="10"/>
  <c r="J77" i="10"/>
  <c r="I76" i="10"/>
  <c r="J76" i="10"/>
  <c r="I75" i="10"/>
  <c r="J75" i="10"/>
  <c r="I74" i="10"/>
  <c r="J74" i="10"/>
  <c r="I73" i="10"/>
  <c r="J73" i="10"/>
  <c r="I72" i="10"/>
  <c r="J72" i="10"/>
  <c r="I71" i="10"/>
  <c r="J71" i="10"/>
  <c r="I70" i="10"/>
  <c r="J70" i="10"/>
  <c r="I69" i="10"/>
  <c r="J69" i="10"/>
  <c r="I68" i="10"/>
  <c r="J68" i="10"/>
  <c r="I67" i="10"/>
  <c r="J67" i="10"/>
  <c r="I66" i="10"/>
  <c r="J66" i="10"/>
  <c r="I65" i="10"/>
  <c r="J65" i="10"/>
  <c r="I64" i="10"/>
  <c r="J64" i="10"/>
  <c r="I63" i="10"/>
  <c r="J63" i="10"/>
  <c r="I62" i="10"/>
  <c r="J62" i="10"/>
  <c r="I61" i="10"/>
  <c r="J61" i="10"/>
  <c r="I60" i="10"/>
  <c r="J60" i="10"/>
  <c r="I59" i="10"/>
  <c r="J59" i="10"/>
  <c r="I58" i="10"/>
  <c r="J58" i="10"/>
  <c r="I57" i="10"/>
  <c r="J57" i="10"/>
  <c r="I56" i="10"/>
  <c r="J56" i="10"/>
  <c r="I55" i="10"/>
  <c r="J55" i="10"/>
  <c r="I54" i="10"/>
  <c r="J54" i="10"/>
  <c r="I53" i="10"/>
  <c r="J53" i="10"/>
  <c r="I52" i="10"/>
  <c r="J52" i="10"/>
  <c r="I51" i="10"/>
  <c r="J51" i="10"/>
  <c r="I50" i="10"/>
  <c r="J50" i="10"/>
  <c r="I49" i="10"/>
  <c r="J49" i="10"/>
  <c r="I48" i="10"/>
  <c r="J48" i="10"/>
  <c r="I47" i="10"/>
  <c r="J47" i="10"/>
  <c r="I46" i="10"/>
  <c r="J46" i="10"/>
  <c r="I45" i="10"/>
  <c r="J45" i="10"/>
  <c r="I44" i="10"/>
  <c r="J44" i="10"/>
  <c r="I43" i="10"/>
  <c r="J43" i="10"/>
  <c r="I42" i="10"/>
  <c r="J42" i="10"/>
  <c r="I41" i="10"/>
  <c r="J41" i="10"/>
  <c r="I40" i="10"/>
  <c r="J40" i="10"/>
  <c r="I39" i="10"/>
  <c r="J39" i="10"/>
  <c r="I38" i="10"/>
  <c r="J38" i="10"/>
  <c r="I37" i="10"/>
  <c r="J37" i="10"/>
  <c r="I36" i="10"/>
  <c r="J36" i="10"/>
  <c r="I35" i="10"/>
  <c r="J35" i="10"/>
  <c r="I34" i="10"/>
  <c r="J34" i="10"/>
  <c r="I33" i="10"/>
  <c r="J33" i="10"/>
  <c r="I32" i="10"/>
  <c r="J32" i="10"/>
  <c r="I31" i="10"/>
  <c r="J31" i="10"/>
  <c r="I30" i="10"/>
  <c r="J30" i="10"/>
  <c r="I29" i="10"/>
  <c r="J29" i="10"/>
  <c r="I28" i="10"/>
  <c r="J28" i="10"/>
  <c r="I27" i="10"/>
  <c r="J27" i="10"/>
  <c r="I26" i="10"/>
  <c r="J26" i="10"/>
  <c r="I25" i="10"/>
  <c r="J25" i="10"/>
  <c r="I24" i="10"/>
  <c r="J24" i="10"/>
  <c r="I23" i="10"/>
  <c r="J23" i="10"/>
  <c r="I22" i="10"/>
  <c r="J22" i="10"/>
  <c r="I21" i="10"/>
  <c r="J21" i="10"/>
  <c r="I20" i="10"/>
  <c r="J20" i="10"/>
  <c r="I19" i="10"/>
  <c r="J19" i="10"/>
  <c r="I18" i="10"/>
  <c r="J18" i="10"/>
  <c r="I17" i="10"/>
  <c r="J17" i="10"/>
  <c r="I16" i="10"/>
  <c r="J16" i="10"/>
  <c r="I15" i="10"/>
  <c r="J15" i="10"/>
  <c r="I14" i="10"/>
  <c r="J14" i="10"/>
  <c r="I13" i="10"/>
  <c r="J13" i="10"/>
  <c r="I12" i="10"/>
  <c r="J12" i="10"/>
  <c r="I11" i="10"/>
  <c r="J11" i="10"/>
  <c r="I10" i="10"/>
  <c r="J10" i="10"/>
  <c r="I9" i="10"/>
  <c r="J9" i="10"/>
  <c r="I8" i="10"/>
  <c r="J8" i="10"/>
  <c r="I7" i="10"/>
  <c r="J7" i="10"/>
  <c r="I6" i="10"/>
  <c r="J6" i="10"/>
  <c r="I5" i="10"/>
  <c r="J5" i="10"/>
  <c r="I4" i="10"/>
  <c r="J4" i="10"/>
  <c r="I3" i="10"/>
  <c r="J3" i="10"/>
  <c r="I2" i="10"/>
  <c r="J2" i="10"/>
  <c r="L472" i="12"/>
  <c r="K472" i="12"/>
  <c r="J472" i="12"/>
  <c r="I472" i="12"/>
  <c r="H472" i="12"/>
  <c r="G472" i="12"/>
  <c r="C472" i="12"/>
  <c r="L471" i="12"/>
  <c r="K471" i="12"/>
  <c r="J471" i="12"/>
  <c r="I471" i="12"/>
  <c r="H471" i="12"/>
  <c r="G471" i="12"/>
  <c r="C471" i="12"/>
  <c r="L470" i="12"/>
  <c r="K470" i="12"/>
  <c r="J470" i="12"/>
  <c r="I470" i="12"/>
  <c r="H470" i="12"/>
  <c r="G470" i="12"/>
  <c r="C470" i="12"/>
  <c r="L469" i="12"/>
  <c r="K469" i="12"/>
  <c r="J469" i="12"/>
  <c r="I469" i="12"/>
  <c r="H469" i="12"/>
  <c r="G469" i="12"/>
  <c r="C469" i="12"/>
  <c r="L468" i="12"/>
  <c r="K468" i="12"/>
  <c r="J468" i="12"/>
  <c r="I468" i="12"/>
  <c r="H468" i="12"/>
  <c r="G468" i="12"/>
  <c r="C468" i="12"/>
  <c r="L467" i="12"/>
  <c r="K467" i="12"/>
  <c r="J467" i="12"/>
  <c r="I467" i="12"/>
  <c r="H467" i="12"/>
  <c r="G467" i="12"/>
  <c r="C467" i="12"/>
  <c r="L466" i="12"/>
  <c r="K466" i="12"/>
  <c r="J466" i="12"/>
  <c r="I466" i="12"/>
  <c r="H466" i="12"/>
  <c r="G466" i="12"/>
  <c r="C466" i="12"/>
  <c r="L465" i="12"/>
  <c r="K465" i="12"/>
  <c r="J465" i="12"/>
  <c r="I465" i="12"/>
  <c r="H465" i="12"/>
  <c r="G465" i="12"/>
  <c r="C465" i="12"/>
  <c r="L464" i="12"/>
  <c r="K464" i="12"/>
  <c r="J464" i="12"/>
  <c r="I464" i="12"/>
  <c r="H464" i="12"/>
  <c r="G464" i="12"/>
  <c r="C464" i="12"/>
  <c r="L463" i="12"/>
  <c r="K463" i="12"/>
  <c r="J463" i="12"/>
  <c r="I463" i="12"/>
  <c r="H463" i="12"/>
  <c r="G463" i="12"/>
  <c r="C463" i="12"/>
  <c r="L462" i="12"/>
  <c r="K462" i="12"/>
  <c r="J462" i="12"/>
  <c r="I462" i="12"/>
  <c r="H462" i="12"/>
  <c r="G462" i="12"/>
  <c r="C462" i="12"/>
  <c r="L461" i="12"/>
  <c r="K461" i="12"/>
  <c r="J461" i="12"/>
  <c r="I461" i="12"/>
  <c r="H461" i="12"/>
  <c r="G461" i="12"/>
  <c r="C461" i="12"/>
  <c r="L460" i="12"/>
  <c r="K460" i="12"/>
  <c r="J460" i="12"/>
  <c r="I460" i="12"/>
  <c r="H460" i="12"/>
  <c r="G460" i="12"/>
  <c r="C460" i="12"/>
  <c r="L459" i="12"/>
  <c r="K459" i="12"/>
  <c r="J459" i="12"/>
  <c r="I459" i="12"/>
  <c r="H459" i="12"/>
  <c r="G459" i="12"/>
  <c r="C459" i="12"/>
  <c r="L458" i="12"/>
  <c r="K458" i="12"/>
  <c r="J458" i="12"/>
  <c r="I458" i="12"/>
  <c r="H458" i="12"/>
  <c r="G458" i="12"/>
  <c r="C458" i="12"/>
  <c r="L457" i="12"/>
  <c r="K457" i="12"/>
  <c r="J457" i="12"/>
  <c r="I457" i="12"/>
  <c r="H457" i="12"/>
  <c r="G457" i="12"/>
  <c r="C457" i="12"/>
  <c r="L456" i="12"/>
  <c r="K456" i="12"/>
  <c r="J456" i="12"/>
  <c r="I456" i="12"/>
  <c r="H456" i="12"/>
  <c r="G456" i="12"/>
  <c r="C456" i="12"/>
  <c r="L455" i="12"/>
  <c r="K455" i="12"/>
  <c r="J455" i="12"/>
  <c r="I455" i="12"/>
  <c r="H455" i="12"/>
  <c r="G455" i="12"/>
  <c r="C455" i="12"/>
  <c r="L454" i="12"/>
  <c r="K454" i="12"/>
  <c r="J454" i="12"/>
  <c r="I454" i="12"/>
  <c r="H454" i="12"/>
  <c r="G454" i="12"/>
  <c r="C454" i="12"/>
  <c r="L453" i="12"/>
  <c r="K453" i="12"/>
  <c r="J453" i="12"/>
  <c r="I453" i="12"/>
  <c r="H453" i="12"/>
  <c r="G453" i="12"/>
  <c r="C453" i="12"/>
  <c r="L452" i="12"/>
  <c r="K452" i="12"/>
  <c r="J452" i="12"/>
  <c r="I452" i="12"/>
  <c r="H452" i="12"/>
  <c r="G452" i="12"/>
  <c r="C452" i="12"/>
  <c r="L451" i="12"/>
  <c r="K451" i="12"/>
  <c r="J451" i="12"/>
  <c r="I451" i="12"/>
  <c r="H451" i="12"/>
  <c r="G451" i="12"/>
  <c r="C451" i="12"/>
  <c r="L450" i="12"/>
  <c r="K450" i="12"/>
  <c r="J450" i="12"/>
  <c r="I450" i="12"/>
  <c r="H450" i="12"/>
  <c r="G450" i="12"/>
  <c r="C450" i="12"/>
  <c r="L449" i="12"/>
  <c r="K449" i="12"/>
  <c r="J449" i="12"/>
  <c r="I449" i="12"/>
  <c r="H449" i="12"/>
  <c r="G449" i="12"/>
  <c r="C449" i="12"/>
  <c r="L448" i="12"/>
  <c r="K448" i="12"/>
  <c r="J448" i="12"/>
  <c r="I448" i="12"/>
  <c r="H448" i="12"/>
  <c r="G448" i="12"/>
  <c r="C448" i="12"/>
  <c r="L447" i="12"/>
  <c r="K447" i="12"/>
  <c r="J447" i="12"/>
  <c r="I447" i="12"/>
  <c r="H447" i="12"/>
  <c r="G447" i="12"/>
  <c r="C447" i="12"/>
  <c r="L446" i="12"/>
  <c r="K446" i="12"/>
  <c r="J446" i="12"/>
  <c r="I446" i="12"/>
  <c r="H446" i="12"/>
  <c r="G446" i="12"/>
  <c r="C446" i="12"/>
  <c r="L445" i="12"/>
  <c r="K445" i="12"/>
  <c r="J445" i="12"/>
  <c r="I445" i="12"/>
  <c r="H445" i="12"/>
  <c r="G445" i="12"/>
  <c r="C445" i="12"/>
  <c r="L444" i="12"/>
  <c r="K444" i="12"/>
  <c r="J444" i="12"/>
  <c r="I444" i="12"/>
  <c r="H444" i="12"/>
  <c r="G444" i="12"/>
  <c r="C444" i="12"/>
  <c r="L443" i="12"/>
  <c r="K443" i="12"/>
  <c r="J443" i="12"/>
  <c r="I443" i="12"/>
  <c r="H443" i="12"/>
  <c r="G443" i="12"/>
  <c r="C443" i="12"/>
  <c r="L442" i="12"/>
  <c r="K442" i="12"/>
  <c r="J442" i="12"/>
  <c r="I442" i="12"/>
  <c r="H442" i="12"/>
  <c r="G442" i="12"/>
  <c r="C442" i="12"/>
  <c r="L441" i="12"/>
  <c r="K441" i="12"/>
  <c r="J441" i="12"/>
  <c r="I441" i="12"/>
  <c r="H441" i="12"/>
  <c r="G441" i="12"/>
  <c r="C441" i="12"/>
  <c r="L440" i="12"/>
  <c r="K440" i="12"/>
  <c r="J440" i="12"/>
  <c r="I440" i="12"/>
  <c r="H440" i="12"/>
  <c r="G440" i="12"/>
  <c r="C440" i="12"/>
  <c r="L439" i="12"/>
  <c r="K439" i="12"/>
  <c r="J439" i="12"/>
  <c r="I439" i="12"/>
  <c r="H439" i="12"/>
  <c r="G439" i="12"/>
  <c r="C439" i="12"/>
  <c r="L438" i="12"/>
  <c r="K438" i="12"/>
  <c r="J438" i="12"/>
  <c r="I438" i="12"/>
  <c r="H438" i="12"/>
  <c r="G438" i="12"/>
  <c r="C438" i="12"/>
  <c r="L437" i="12"/>
  <c r="K437" i="12"/>
  <c r="J437" i="12"/>
  <c r="I437" i="12"/>
  <c r="H437" i="12"/>
  <c r="G437" i="12"/>
  <c r="C437" i="12"/>
  <c r="L436" i="12"/>
  <c r="K436" i="12"/>
  <c r="J436" i="12"/>
  <c r="I436" i="12"/>
  <c r="H436" i="12"/>
  <c r="G436" i="12"/>
  <c r="C436" i="12"/>
  <c r="L435" i="12"/>
  <c r="K435" i="12"/>
  <c r="J435" i="12"/>
  <c r="I435" i="12"/>
  <c r="H435" i="12"/>
  <c r="G435" i="12"/>
  <c r="C435" i="12"/>
  <c r="L434" i="12"/>
  <c r="K434" i="12"/>
  <c r="J434" i="12"/>
  <c r="I434" i="12"/>
  <c r="H434" i="12"/>
  <c r="G434" i="12"/>
  <c r="C434" i="12"/>
  <c r="L433" i="12"/>
  <c r="K433" i="12"/>
  <c r="J433" i="12"/>
  <c r="I433" i="12"/>
  <c r="H433" i="12"/>
  <c r="G433" i="12"/>
  <c r="C433" i="12"/>
  <c r="L432" i="12"/>
  <c r="K432" i="12"/>
  <c r="J432" i="12"/>
  <c r="I432" i="12"/>
  <c r="H432" i="12"/>
  <c r="G432" i="12"/>
  <c r="C432" i="12"/>
  <c r="L431" i="12"/>
  <c r="K431" i="12"/>
  <c r="J431" i="12"/>
  <c r="I431" i="12"/>
  <c r="H431" i="12"/>
  <c r="G431" i="12"/>
  <c r="C431" i="12"/>
  <c r="L430" i="12"/>
  <c r="K430" i="12"/>
  <c r="J430" i="12"/>
  <c r="I430" i="12"/>
  <c r="H430" i="12"/>
  <c r="G430" i="12"/>
  <c r="C430" i="12"/>
  <c r="L429" i="12"/>
  <c r="K429" i="12"/>
  <c r="J429" i="12"/>
  <c r="I429" i="12"/>
  <c r="H429" i="12"/>
  <c r="G429" i="12"/>
  <c r="C429" i="12"/>
  <c r="L428" i="12"/>
  <c r="K428" i="12"/>
  <c r="J428" i="12"/>
  <c r="I428" i="12"/>
  <c r="H428" i="12"/>
  <c r="G428" i="12"/>
  <c r="C428" i="12"/>
  <c r="L427" i="12"/>
  <c r="K427" i="12"/>
  <c r="J427" i="12"/>
  <c r="I427" i="12"/>
  <c r="H427" i="12"/>
  <c r="G427" i="12"/>
  <c r="C427" i="12"/>
  <c r="L426" i="12"/>
  <c r="K426" i="12"/>
  <c r="J426" i="12"/>
  <c r="I426" i="12"/>
  <c r="H426" i="12"/>
  <c r="G426" i="12"/>
  <c r="C426" i="12"/>
  <c r="L425" i="12"/>
  <c r="K425" i="12"/>
  <c r="J425" i="12"/>
  <c r="I425" i="12"/>
  <c r="H425" i="12"/>
  <c r="G425" i="12"/>
  <c r="C425" i="12"/>
  <c r="L424" i="12"/>
  <c r="K424" i="12"/>
  <c r="J424" i="12"/>
  <c r="I424" i="12"/>
  <c r="H424" i="12"/>
  <c r="G424" i="12"/>
  <c r="C424" i="12"/>
  <c r="L423" i="12"/>
  <c r="K423" i="12"/>
  <c r="J423" i="12"/>
  <c r="I423" i="12"/>
  <c r="H423" i="12"/>
  <c r="G423" i="12"/>
  <c r="C423" i="12"/>
  <c r="L422" i="12"/>
  <c r="K422" i="12"/>
  <c r="J422" i="12"/>
  <c r="I422" i="12"/>
  <c r="H422" i="12"/>
  <c r="G422" i="12"/>
  <c r="C422" i="12"/>
  <c r="L421" i="12"/>
  <c r="K421" i="12"/>
  <c r="J421" i="12"/>
  <c r="I421" i="12"/>
  <c r="H421" i="12"/>
  <c r="G421" i="12"/>
  <c r="C421" i="12"/>
  <c r="L420" i="12"/>
  <c r="K420" i="12"/>
  <c r="J420" i="12"/>
  <c r="I420" i="12"/>
  <c r="H420" i="12"/>
  <c r="G420" i="12"/>
  <c r="C420" i="12"/>
  <c r="L419" i="12"/>
  <c r="K419" i="12"/>
  <c r="J419" i="12"/>
  <c r="I419" i="12"/>
  <c r="H419" i="12"/>
  <c r="G419" i="12"/>
  <c r="C419" i="12"/>
  <c r="L418" i="12"/>
  <c r="K418" i="12"/>
  <c r="J418" i="12"/>
  <c r="I418" i="12"/>
  <c r="H418" i="12"/>
  <c r="G418" i="12"/>
  <c r="C418" i="12"/>
  <c r="L417" i="12"/>
  <c r="K417" i="12"/>
  <c r="J417" i="12"/>
  <c r="I417" i="12"/>
  <c r="H417" i="12"/>
  <c r="G417" i="12"/>
  <c r="C417" i="12"/>
  <c r="L416" i="12"/>
  <c r="K416" i="12"/>
  <c r="J416" i="12"/>
  <c r="I416" i="12"/>
  <c r="H416" i="12"/>
  <c r="G416" i="12"/>
  <c r="C416" i="12"/>
  <c r="L415" i="12"/>
  <c r="K415" i="12"/>
  <c r="J415" i="12"/>
  <c r="I415" i="12"/>
  <c r="H415" i="12"/>
  <c r="G415" i="12"/>
  <c r="C415" i="12"/>
  <c r="L414" i="12"/>
  <c r="K414" i="12"/>
  <c r="J414" i="12"/>
  <c r="I414" i="12"/>
  <c r="H414" i="12"/>
  <c r="G414" i="12"/>
  <c r="C414" i="12"/>
  <c r="L413" i="12"/>
  <c r="K413" i="12"/>
  <c r="J413" i="12"/>
  <c r="I413" i="12"/>
  <c r="H413" i="12"/>
  <c r="G413" i="12"/>
  <c r="C413" i="12"/>
  <c r="L412" i="12"/>
  <c r="K412" i="12"/>
  <c r="J412" i="12"/>
  <c r="I412" i="12"/>
  <c r="H412" i="12"/>
  <c r="G412" i="12"/>
  <c r="C412" i="12"/>
  <c r="L411" i="12"/>
  <c r="K411" i="12"/>
  <c r="J411" i="12"/>
  <c r="I411" i="12"/>
  <c r="H411" i="12"/>
  <c r="G411" i="12"/>
  <c r="C411" i="12"/>
  <c r="L410" i="12"/>
  <c r="K410" i="12"/>
  <c r="J410" i="12"/>
  <c r="I410" i="12"/>
  <c r="H410" i="12"/>
  <c r="G410" i="12"/>
  <c r="C410" i="12"/>
  <c r="L409" i="12"/>
  <c r="K409" i="12"/>
  <c r="J409" i="12"/>
  <c r="I409" i="12"/>
  <c r="H409" i="12"/>
  <c r="G409" i="12"/>
  <c r="C409" i="12"/>
  <c r="L408" i="12"/>
  <c r="K408" i="12"/>
  <c r="J408" i="12"/>
  <c r="I408" i="12"/>
  <c r="H408" i="12"/>
  <c r="G408" i="12"/>
  <c r="C408" i="12"/>
  <c r="L407" i="12"/>
  <c r="K407" i="12"/>
  <c r="J407" i="12"/>
  <c r="I407" i="12"/>
  <c r="H407" i="12"/>
  <c r="G407" i="12"/>
  <c r="C407" i="12"/>
  <c r="L406" i="12"/>
  <c r="K406" i="12"/>
  <c r="J406" i="12"/>
  <c r="I406" i="12"/>
  <c r="H406" i="12"/>
  <c r="G406" i="12"/>
  <c r="C406" i="12"/>
  <c r="L405" i="12"/>
  <c r="K405" i="12"/>
  <c r="J405" i="12"/>
  <c r="I405" i="12"/>
  <c r="H405" i="12"/>
  <c r="G405" i="12"/>
  <c r="C405" i="12"/>
  <c r="L404" i="12"/>
  <c r="K404" i="12"/>
  <c r="J404" i="12"/>
  <c r="I404" i="12"/>
  <c r="H404" i="12"/>
  <c r="G404" i="12"/>
  <c r="C404" i="12"/>
  <c r="L403" i="12"/>
  <c r="K403" i="12"/>
  <c r="J403" i="12"/>
  <c r="I403" i="12"/>
  <c r="H403" i="12"/>
  <c r="G403" i="12"/>
  <c r="C403" i="12"/>
  <c r="L402" i="12"/>
  <c r="K402" i="12"/>
  <c r="J402" i="12"/>
  <c r="I402" i="12"/>
  <c r="H402" i="12"/>
  <c r="G402" i="12"/>
  <c r="C402" i="12"/>
  <c r="L401" i="12"/>
  <c r="K401" i="12"/>
  <c r="J401" i="12"/>
  <c r="I401" i="12"/>
  <c r="H401" i="12"/>
  <c r="G401" i="12"/>
  <c r="C401" i="12"/>
  <c r="L400" i="12"/>
  <c r="K400" i="12"/>
  <c r="J400" i="12"/>
  <c r="I400" i="12"/>
  <c r="H400" i="12"/>
  <c r="G400" i="12"/>
  <c r="C400" i="12"/>
  <c r="L399" i="12"/>
  <c r="K399" i="12"/>
  <c r="J399" i="12"/>
  <c r="I399" i="12"/>
  <c r="H399" i="12"/>
  <c r="G399" i="12"/>
  <c r="C399" i="12"/>
  <c r="L398" i="12"/>
  <c r="K398" i="12"/>
  <c r="J398" i="12"/>
  <c r="I398" i="12"/>
  <c r="H398" i="12"/>
  <c r="G398" i="12"/>
  <c r="C398" i="12"/>
  <c r="L397" i="12"/>
  <c r="K397" i="12"/>
  <c r="J397" i="12"/>
  <c r="I397" i="12"/>
  <c r="H397" i="12"/>
  <c r="G397" i="12"/>
  <c r="C397" i="12"/>
  <c r="L396" i="12"/>
  <c r="K396" i="12"/>
  <c r="J396" i="12"/>
  <c r="I396" i="12"/>
  <c r="H396" i="12"/>
  <c r="G396" i="12"/>
  <c r="C396" i="12"/>
  <c r="L395" i="12"/>
  <c r="K395" i="12"/>
  <c r="J395" i="12"/>
  <c r="I395" i="12"/>
  <c r="H395" i="12"/>
  <c r="G395" i="12"/>
  <c r="C395" i="12"/>
  <c r="L394" i="12"/>
  <c r="K394" i="12"/>
  <c r="J394" i="12"/>
  <c r="I394" i="12"/>
  <c r="H394" i="12"/>
  <c r="G394" i="12"/>
  <c r="C394" i="12"/>
  <c r="L393" i="12"/>
  <c r="K393" i="12"/>
  <c r="J393" i="12"/>
  <c r="I393" i="12"/>
  <c r="H393" i="12"/>
  <c r="G393" i="12"/>
  <c r="C393" i="12"/>
  <c r="L392" i="12"/>
  <c r="K392" i="12"/>
  <c r="J392" i="12"/>
  <c r="I392" i="12"/>
  <c r="H392" i="12"/>
  <c r="G392" i="12"/>
  <c r="C392" i="12"/>
  <c r="L391" i="12"/>
  <c r="K391" i="12"/>
  <c r="J391" i="12"/>
  <c r="I391" i="12"/>
  <c r="H391" i="12"/>
  <c r="G391" i="12"/>
  <c r="C391" i="12"/>
  <c r="L390" i="12"/>
  <c r="K390" i="12"/>
  <c r="J390" i="12"/>
  <c r="I390" i="12"/>
  <c r="H390" i="12"/>
  <c r="G390" i="12"/>
  <c r="C390" i="12"/>
  <c r="L389" i="12"/>
  <c r="K389" i="12"/>
  <c r="J389" i="12"/>
  <c r="I389" i="12"/>
  <c r="H389" i="12"/>
  <c r="G389" i="12"/>
  <c r="C389" i="12"/>
  <c r="L388" i="12"/>
  <c r="K388" i="12"/>
  <c r="J388" i="12"/>
  <c r="I388" i="12"/>
  <c r="H388" i="12"/>
  <c r="G388" i="12"/>
  <c r="C388" i="12"/>
  <c r="L387" i="12"/>
  <c r="K387" i="12"/>
  <c r="J387" i="12"/>
  <c r="I387" i="12"/>
  <c r="H387" i="12"/>
  <c r="G387" i="12"/>
  <c r="C387" i="12"/>
  <c r="L386" i="12"/>
  <c r="K386" i="12"/>
  <c r="J386" i="12"/>
  <c r="I386" i="12"/>
  <c r="H386" i="12"/>
  <c r="G386" i="12"/>
  <c r="C386" i="12"/>
  <c r="L385" i="12"/>
  <c r="K385" i="12"/>
  <c r="J385" i="12"/>
  <c r="I385" i="12"/>
  <c r="H385" i="12"/>
  <c r="G385" i="12"/>
  <c r="C385" i="12"/>
  <c r="L384" i="12"/>
  <c r="K384" i="12"/>
  <c r="J384" i="12"/>
  <c r="I384" i="12"/>
  <c r="H384" i="12"/>
  <c r="G384" i="12"/>
  <c r="C384" i="12"/>
  <c r="L383" i="12"/>
  <c r="K383" i="12"/>
  <c r="J383" i="12"/>
  <c r="I383" i="12"/>
  <c r="H383" i="12"/>
  <c r="G383" i="12"/>
  <c r="C383" i="12"/>
  <c r="L382" i="12"/>
  <c r="K382" i="12"/>
  <c r="J382" i="12"/>
  <c r="I382" i="12"/>
  <c r="H382" i="12"/>
  <c r="G382" i="12"/>
  <c r="C382" i="12"/>
  <c r="L381" i="12"/>
  <c r="K381" i="12"/>
  <c r="J381" i="12"/>
  <c r="I381" i="12"/>
  <c r="H381" i="12"/>
  <c r="G381" i="12"/>
  <c r="C381" i="12"/>
  <c r="L380" i="12"/>
  <c r="K380" i="12"/>
  <c r="J380" i="12"/>
  <c r="I380" i="12"/>
  <c r="H380" i="12"/>
  <c r="G380" i="12"/>
  <c r="C380" i="12"/>
  <c r="L379" i="12"/>
  <c r="K379" i="12"/>
  <c r="J379" i="12"/>
  <c r="I379" i="12"/>
  <c r="H379" i="12"/>
  <c r="G379" i="12"/>
  <c r="C379" i="12"/>
  <c r="L378" i="12"/>
  <c r="K378" i="12"/>
  <c r="J378" i="12"/>
  <c r="I378" i="12"/>
  <c r="H378" i="12"/>
  <c r="G378" i="12"/>
  <c r="C378" i="12"/>
  <c r="L377" i="12"/>
  <c r="K377" i="12"/>
  <c r="J377" i="12"/>
  <c r="I377" i="12"/>
  <c r="H377" i="12"/>
  <c r="G377" i="12"/>
  <c r="C377" i="12"/>
  <c r="L376" i="12"/>
  <c r="K376" i="12"/>
  <c r="J376" i="12"/>
  <c r="I376" i="12"/>
  <c r="H376" i="12"/>
  <c r="G376" i="12"/>
  <c r="C376" i="12"/>
  <c r="L375" i="12"/>
  <c r="K375" i="12"/>
  <c r="J375" i="12"/>
  <c r="I375" i="12"/>
  <c r="H375" i="12"/>
  <c r="G375" i="12"/>
  <c r="C375" i="12"/>
  <c r="L374" i="12"/>
  <c r="K374" i="12"/>
  <c r="J374" i="12"/>
  <c r="I374" i="12"/>
  <c r="H374" i="12"/>
  <c r="G374" i="12"/>
  <c r="C374" i="12"/>
  <c r="L373" i="12"/>
  <c r="K373" i="12"/>
  <c r="J373" i="12"/>
  <c r="I373" i="12"/>
  <c r="H373" i="12"/>
  <c r="G373" i="12"/>
  <c r="C373" i="12"/>
  <c r="L372" i="12"/>
  <c r="K372" i="12"/>
  <c r="J372" i="12"/>
  <c r="I372" i="12"/>
  <c r="H372" i="12"/>
  <c r="G372" i="12"/>
  <c r="C372" i="12"/>
  <c r="L371" i="12"/>
  <c r="K371" i="12"/>
  <c r="J371" i="12"/>
  <c r="I371" i="12"/>
  <c r="H371" i="12"/>
  <c r="G371" i="12"/>
  <c r="C371" i="12"/>
  <c r="L370" i="12"/>
  <c r="K370" i="12"/>
  <c r="J370" i="12"/>
  <c r="I370" i="12"/>
  <c r="H370" i="12"/>
  <c r="G370" i="12"/>
  <c r="C370" i="12"/>
  <c r="L369" i="12"/>
  <c r="K369" i="12"/>
  <c r="J369" i="12"/>
  <c r="I369" i="12"/>
  <c r="H369" i="12"/>
  <c r="G369" i="12"/>
  <c r="C369" i="12"/>
  <c r="L368" i="12"/>
  <c r="K368" i="12"/>
  <c r="J368" i="12"/>
  <c r="I368" i="12"/>
  <c r="H368" i="12"/>
  <c r="G368" i="12"/>
  <c r="C368" i="12"/>
  <c r="L367" i="12"/>
  <c r="K367" i="12"/>
  <c r="J367" i="12"/>
  <c r="I367" i="12"/>
  <c r="H367" i="12"/>
  <c r="G367" i="12"/>
  <c r="C367" i="12"/>
  <c r="L366" i="12"/>
  <c r="K366" i="12"/>
  <c r="J366" i="12"/>
  <c r="I366" i="12"/>
  <c r="H366" i="12"/>
  <c r="G366" i="12"/>
  <c r="C366" i="12"/>
  <c r="L365" i="12"/>
  <c r="K365" i="12"/>
  <c r="J365" i="12"/>
  <c r="I365" i="12"/>
  <c r="H365" i="12"/>
  <c r="G365" i="12"/>
  <c r="C365" i="12"/>
  <c r="L364" i="12"/>
  <c r="K364" i="12"/>
  <c r="J364" i="12"/>
  <c r="I364" i="12"/>
  <c r="H364" i="12"/>
  <c r="G364" i="12"/>
  <c r="C364" i="12"/>
  <c r="L363" i="12"/>
  <c r="K363" i="12"/>
  <c r="J363" i="12"/>
  <c r="I363" i="12"/>
  <c r="H363" i="12"/>
  <c r="G363" i="12"/>
  <c r="C363" i="12"/>
  <c r="L362" i="12"/>
  <c r="K362" i="12"/>
  <c r="J362" i="12"/>
  <c r="I362" i="12"/>
  <c r="H362" i="12"/>
  <c r="G362" i="12"/>
  <c r="C362" i="12"/>
  <c r="L361" i="12"/>
  <c r="K361" i="12"/>
  <c r="J361" i="12"/>
  <c r="I361" i="12"/>
  <c r="H361" i="12"/>
  <c r="G361" i="12"/>
  <c r="C361" i="12"/>
  <c r="L360" i="12"/>
  <c r="K360" i="12"/>
  <c r="J360" i="12"/>
  <c r="I360" i="12"/>
  <c r="H360" i="12"/>
  <c r="G360" i="12"/>
  <c r="C360" i="12"/>
  <c r="L359" i="12"/>
  <c r="K359" i="12"/>
  <c r="J359" i="12"/>
  <c r="I359" i="12"/>
  <c r="H359" i="12"/>
  <c r="G359" i="12"/>
  <c r="C359" i="12"/>
  <c r="L358" i="12"/>
  <c r="K358" i="12"/>
  <c r="J358" i="12"/>
  <c r="I358" i="12"/>
  <c r="H358" i="12"/>
  <c r="G358" i="12"/>
  <c r="C358" i="12"/>
  <c r="L357" i="12"/>
  <c r="K357" i="12"/>
  <c r="J357" i="12"/>
  <c r="I357" i="12"/>
  <c r="H357" i="12"/>
  <c r="G357" i="12"/>
  <c r="C357" i="12"/>
  <c r="L356" i="12"/>
  <c r="K356" i="12"/>
  <c r="J356" i="12"/>
  <c r="I356" i="12"/>
  <c r="H356" i="12"/>
  <c r="G356" i="12"/>
  <c r="C356" i="12"/>
  <c r="L355" i="12"/>
  <c r="K355" i="12"/>
  <c r="J355" i="12"/>
  <c r="I355" i="12"/>
  <c r="H355" i="12"/>
  <c r="G355" i="12"/>
  <c r="C355" i="12"/>
  <c r="L354" i="12"/>
  <c r="K354" i="12"/>
  <c r="J354" i="12"/>
  <c r="I354" i="12"/>
  <c r="H354" i="12"/>
  <c r="G354" i="12"/>
  <c r="C354" i="12"/>
  <c r="L353" i="12"/>
  <c r="K353" i="12"/>
  <c r="J353" i="12"/>
  <c r="I353" i="12"/>
  <c r="H353" i="12"/>
  <c r="G353" i="12"/>
  <c r="C353" i="12"/>
  <c r="L352" i="12"/>
  <c r="K352" i="12"/>
  <c r="J352" i="12"/>
  <c r="I352" i="12"/>
  <c r="H352" i="12"/>
  <c r="G352" i="12"/>
  <c r="C352" i="12"/>
  <c r="L351" i="12"/>
  <c r="K351" i="12"/>
  <c r="J351" i="12"/>
  <c r="I351" i="12"/>
  <c r="H351" i="12"/>
  <c r="G351" i="12"/>
  <c r="C351" i="12"/>
  <c r="L350" i="12"/>
  <c r="K350" i="12"/>
  <c r="J350" i="12"/>
  <c r="I350" i="12"/>
  <c r="H350" i="12"/>
  <c r="G350" i="12"/>
  <c r="C350" i="12"/>
  <c r="L349" i="12"/>
  <c r="K349" i="12"/>
  <c r="J349" i="12"/>
  <c r="I349" i="12"/>
  <c r="H349" i="12"/>
  <c r="G349" i="12"/>
  <c r="C349" i="12"/>
  <c r="L348" i="12"/>
  <c r="K348" i="12"/>
  <c r="J348" i="12"/>
  <c r="I348" i="12"/>
  <c r="H348" i="12"/>
  <c r="G348" i="12"/>
  <c r="C348" i="12"/>
  <c r="L347" i="12"/>
  <c r="K347" i="12"/>
  <c r="J347" i="12"/>
  <c r="I347" i="12"/>
  <c r="H347" i="12"/>
  <c r="G347" i="12"/>
  <c r="C347" i="12"/>
  <c r="L346" i="12"/>
  <c r="K346" i="12"/>
  <c r="J346" i="12"/>
  <c r="I346" i="12"/>
  <c r="H346" i="12"/>
  <c r="G346" i="12"/>
  <c r="C346" i="12"/>
  <c r="L345" i="12"/>
  <c r="K345" i="12"/>
  <c r="J345" i="12"/>
  <c r="I345" i="12"/>
  <c r="H345" i="12"/>
  <c r="G345" i="12"/>
  <c r="C345" i="12"/>
  <c r="L344" i="12"/>
  <c r="K344" i="12"/>
  <c r="J344" i="12"/>
  <c r="I344" i="12"/>
  <c r="H344" i="12"/>
  <c r="G344" i="12"/>
  <c r="C344" i="12"/>
  <c r="L343" i="12"/>
  <c r="K343" i="12"/>
  <c r="J343" i="12"/>
  <c r="I343" i="12"/>
  <c r="H343" i="12"/>
  <c r="G343" i="12"/>
  <c r="C343" i="12"/>
  <c r="L342" i="12"/>
  <c r="K342" i="12"/>
  <c r="J342" i="12"/>
  <c r="I342" i="12"/>
  <c r="H342" i="12"/>
  <c r="G342" i="12"/>
  <c r="C342" i="12"/>
  <c r="L341" i="12"/>
  <c r="K341" i="12"/>
  <c r="J341" i="12"/>
  <c r="I341" i="12"/>
  <c r="H341" i="12"/>
  <c r="G341" i="12"/>
  <c r="C341" i="12"/>
  <c r="L340" i="12"/>
  <c r="K340" i="12"/>
  <c r="J340" i="12"/>
  <c r="I340" i="12"/>
  <c r="H340" i="12"/>
  <c r="G340" i="12"/>
  <c r="C340" i="12"/>
  <c r="L339" i="12"/>
  <c r="K339" i="12"/>
  <c r="J339" i="12"/>
  <c r="I339" i="12"/>
  <c r="H339" i="12"/>
  <c r="G339" i="12"/>
  <c r="C339" i="12"/>
  <c r="L338" i="12"/>
  <c r="K338" i="12"/>
  <c r="J338" i="12"/>
  <c r="I338" i="12"/>
  <c r="H338" i="12"/>
  <c r="G338" i="12"/>
  <c r="C338" i="12"/>
  <c r="L337" i="12"/>
  <c r="K337" i="12"/>
  <c r="J337" i="12"/>
  <c r="I337" i="12"/>
  <c r="H337" i="12"/>
  <c r="G337" i="12"/>
  <c r="C337" i="12"/>
  <c r="L336" i="12"/>
  <c r="K336" i="12"/>
  <c r="J336" i="12"/>
  <c r="I336" i="12"/>
  <c r="H336" i="12"/>
  <c r="G336" i="12"/>
  <c r="C336" i="12"/>
  <c r="L335" i="12"/>
  <c r="K335" i="12"/>
  <c r="J335" i="12"/>
  <c r="I335" i="12"/>
  <c r="H335" i="12"/>
  <c r="G335" i="12"/>
  <c r="C335" i="12"/>
  <c r="L334" i="12"/>
  <c r="K334" i="12"/>
  <c r="J334" i="12"/>
  <c r="I334" i="12"/>
  <c r="H334" i="12"/>
  <c r="G334" i="12"/>
  <c r="C334" i="12"/>
  <c r="L333" i="12"/>
  <c r="K333" i="12"/>
  <c r="J333" i="12"/>
  <c r="I333" i="12"/>
  <c r="H333" i="12"/>
  <c r="G333" i="12"/>
  <c r="C333" i="12"/>
  <c r="L332" i="12"/>
  <c r="K332" i="12"/>
  <c r="J332" i="12"/>
  <c r="I332" i="12"/>
  <c r="H332" i="12"/>
  <c r="G332" i="12"/>
  <c r="C332" i="12"/>
  <c r="L331" i="12"/>
  <c r="K331" i="12"/>
  <c r="J331" i="12"/>
  <c r="I331" i="12"/>
  <c r="H331" i="12"/>
  <c r="G331" i="12"/>
  <c r="C331" i="12"/>
  <c r="L330" i="12"/>
  <c r="K330" i="12"/>
  <c r="J330" i="12"/>
  <c r="I330" i="12"/>
  <c r="H330" i="12"/>
  <c r="G330" i="12"/>
  <c r="C330" i="12"/>
  <c r="L329" i="12"/>
  <c r="K329" i="12"/>
  <c r="J329" i="12"/>
  <c r="I329" i="12"/>
  <c r="H329" i="12"/>
  <c r="G329" i="12"/>
  <c r="C329" i="12"/>
  <c r="L328" i="12"/>
  <c r="K328" i="12"/>
  <c r="J328" i="12"/>
  <c r="I328" i="12"/>
  <c r="H328" i="12"/>
  <c r="G328" i="12"/>
  <c r="C328" i="12"/>
  <c r="L327" i="12"/>
  <c r="K327" i="12"/>
  <c r="J327" i="12"/>
  <c r="I327" i="12"/>
  <c r="H327" i="12"/>
  <c r="G327" i="12"/>
  <c r="C327" i="12"/>
  <c r="L326" i="12"/>
  <c r="K326" i="12"/>
  <c r="J326" i="12"/>
  <c r="I326" i="12"/>
  <c r="H326" i="12"/>
  <c r="G326" i="12"/>
  <c r="C326" i="12"/>
  <c r="L325" i="12"/>
  <c r="K325" i="12"/>
  <c r="J325" i="12"/>
  <c r="I325" i="12"/>
  <c r="H325" i="12"/>
  <c r="G325" i="12"/>
  <c r="C325" i="12"/>
  <c r="L324" i="12"/>
  <c r="K324" i="12"/>
  <c r="J324" i="12"/>
  <c r="I324" i="12"/>
  <c r="H324" i="12"/>
  <c r="G324" i="12"/>
  <c r="C324" i="12"/>
  <c r="L323" i="12"/>
  <c r="K323" i="12"/>
  <c r="J323" i="12"/>
  <c r="I323" i="12"/>
  <c r="H323" i="12"/>
  <c r="G323" i="12"/>
  <c r="C323" i="12"/>
  <c r="L322" i="12"/>
  <c r="K322" i="12"/>
  <c r="J322" i="12"/>
  <c r="I322" i="12"/>
  <c r="H322" i="12"/>
  <c r="G322" i="12"/>
  <c r="C322" i="12"/>
  <c r="L321" i="12"/>
  <c r="K321" i="12"/>
  <c r="J321" i="12"/>
  <c r="I321" i="12"/>
  <c r="H321" i="12"/>
  <c r="G321" i="12"/>
  <c r="C321" i="12"/>
  <c r="L320" i="12"/>
  <c r="K320" i="12"/>
  <c r="J320" i="12"/>
  <c r="I320" i="12"/>
  <c r="H320" i="12"/>
  <c r="G320" i="12"/>
  <c r="C320" i="12"/>
  <c r="L319" i="12"/>
  <c r="K319" i="12"/>
  <c r="J319" i="12"/>
  <c r="I319" i="12"/>
  <c r="H319" i="12"/>
  <c r="G319" i="12"/>
  <c r="C319" i="12"/>
  <c r="L318" i="12"/>
  <c r="K318" i="12"/>
  <c r="J318" i="12"/>
  <c r="I318" i="12"/>
  <c r="H318" i="12"/>
  <c r="G318" i="12"/>
  <c r="C318" i="12"/>
  <c r="L317" i="12"/>
  <c r="K317" i="12"/>
  <c r="J317" i="12"/>
  <c r="I317" i="12"/>
  <c r="H317" i="12"/>
  <c r="G317" i="12"/>
  <c r="C317" i="12"/>
  <c r="L316" i="12"/>
  <c r="K316" i="12"/>
  <c r="J316" i="12"/>
  <c r="I316" i="12"/>
  <c r="H316" i="12"/>
  <c r="G316" i="12"/>
  <c r="C316" i="12"/>
  <c r="L315" i="12"/>
  <c r="K315" i="12"/>
  <c r="J315" i="12"/>
  <c r="I315" i="12"/>
  <c r="H315" i="12"/>
  <c r="G315" i="12"/>
  <c r="C315" i="12"/>
  <c r="L314" i="12"/>
  <c r="K314" i="12"/>
  <c r="J314" i="12"/>
  <c r="I314" i="12"/>
  <c r="H314" i="12"/>
  <c r="G314" i="12"/>
  <c r="C314" i="12"/>
  <c r="L313" i="12"/>
  <c r="K313" i="12"/>
  <c r="J313" i="12"/>
  <c r="I313" i="12"/>
  <c r="H313" i="12"/>
  <c r="G313" i="12"/>
  <c r="C313" i="12"/>
  <c r="L312" i="12"/>
  <c r="K312" i="12"/>
  <c r="J312" i="12"/>
  <c r="I312" i="12"/>
  <c r="H312" i="12"/>
  <c r="G312" i="12"/>
  <c r="C312" i="12"/>
  <c r="L311" i="12"/>
  <c r="K311" i="12"/>
  <c r="J311" i="12"/>
  <c r="I311" i="12"/>
  <c r="H311" i="12"/>
  <c r="G311" i="12"/>
  <c r="C311" i="12"/>
  <c r="L310" i="12"/>
  <c r="K310" i="12"/>
  <c r="J310" i="12"/>
  <c r="I310" i="12"/>
  <c r="H310" i="12"/>
  <c r="G310" i="12"/>
  <c r="C310" i="12"/>
  <c r="L309" i="12"/>
  <c r="K309" i="12"/>
  <c r="J309" i="12"/>
  <c r="I309" i="12"/>
  <c r="H309" i="12"/>
  <c r="G309" i="12"/>
  <c r="C309" i="12"/>
  <c r="L308" i="12"/>
  <c r="K308" i="12"/>
  <c r="J308" i="12"/>
  <c r="I308" i="12"/>
  <c r="H308" i="12"/>
  <c r="G308" i="12"/>
  <c r="C308" i="12"/>
  <c r="L307" i="12"/>
  <c r="K307" i="12"/>
  <c r="J307" i="12"/>
  <c r="I307" i="12"/>
  <c r="H307" i="12"/>
  <c r="G307" i="12"/>
  <c r="C307" i="12"/>
  <c r="L306" i="12"/>
  <c r="K306" i="12"/>
  <c r="J306" i="12"/>
  <c r="I306" i="12"/>
  <c r="H306" i="12"/>
  <c r="G306" i="12"/>
  <c r="C306" i="12"/>
  <c r="L305" i="12"/>
  <c r="K305" i="12"/>
  <c r="J305" i="12"/>
  <c r="I305" i="12"/>
  <c r="H305" i="12"/>
  <c r="G305" i="12"/>
  <c r="C305" i="12"/>
  <c r="L304" i="12"/>
  <c r="K304" i="12"/>
  <c r="J304" i="12"/>
  <c r="I304" i="12"/>
  <c r="H304" i="12"/>
  <c r="G304" i="12"/>
  <c r="C304" i="12"/>
  <c r="L303" i="12"/>
  <c r="K303" i="12"/>
  <c r="J303" i="12"/>
  <c r="I303" i="12"/>
  <c r="H303" i="12"/>
  <c r="G303" i="12"/>
  <c r="C303" i="12"/>
  <c r="L302" i="12"/>
  <c r="K302" i="12"/>
  <c r="J302" i="12"/>
  <c r="I302" i="12"/>
  <c r="H302" i="12"/>
  <c r="G302" i="12"/>
  <c r="C302" i="12"/>
  <c r="L301" i="12"/>
  <c r="K301" i="12"/>
  <c r="J301" i="12"/>
  <c r="I301" i="12"/>
  <c r="H301" i="12"/>
  <c r="G301" i="12"/>
  <c r="C301" i="12"/>
  <c r="L300" i="12"/>
  <c r="K300" i="12"/>
  <c r="J300" i="12"/>
  <c r="I300" i="12"/>
  <c r="H300" i="12"/>
  <c r="G300" i="12"/>
  <c r="C300" i="12"/>
  <c r="L299" i="12"/>
  <c r="K299" i="12"/>
  <c r="J299" i="12"/>
  <c r="I299" i="12"/>
  <c r="H299" i="12"/>
  <c r="G299" i="12"/>
  <c r="C299" i="12"/>
  <c r="L298" i="12"/>
  <c r="K298" i="12"/>
  <c r="J298" i="12"/>
  <c r="I298" i="12"/>
  <c r="H298" i="12"/>
  <c r="G298" i="12"/>
  <c r="C298" i="12"/>
  <c r="L297" i="12"/>
  <c r="K297" i="12"/>
  <c r="J297" i="12"/>
  <c r="I297" i="12"/>
  <c r="H297" i="12"/>
  <c r="G297" i="12"/>
  <c r="C297" i="12"/>
  <c r="L296" i="12"/>
  <c r="K296" i="12"/>
  <c r="J296" i="12"/>
  <c r="I296" i="12"/>
  <c r="H296" i="12"/>
  <c r="G296" i="12"/>
  <c r="C296" i="12"/>
  <c r="L295" i="12"/>
  <c r="K295" i="12"/>
  <c r="J295" i="12"/>
  <c r="I295" i="12"/>
  <c r="H295" i="12"/>
  <c r="G295" i="12"/>
  <c r="C295" i="12"/>
  <c r="L294" i="12"/>
  <c r="K294" i="12"/>
  <c r="J294" i="12"/>
  <c r="I294" i="12"/>
  <c r="H294" i="12"/>
  <c r="G294" i="12"/>
  <c r="C294" i="12"/>
  <c r="L293" i="12"/>
  <c r="K293" i="12"/>
  <c r="J293" i="12"/>
  <c r="I293" i="12"/>
  <c r="H293" i="12"/>
  <c r="G293" i="12"/>
  <c r="C293" i="12"/>
  <c r="L292" i="12"/>
  <c r="K292" i="12"/>
  <c r="J292" i="12"/>
  <c r="I292" i="12"/>
  <c r="H292" i="12"/>
  <c r="G292" i="12"/>
  <c r="C292" i="12"/>
  <c r="L291" i="12"/>
  <c r="K291" i="12"/>
  <c r="J291" i="12"/>
  <c r="I291" i="12"/>
  <c r="H291" i="12"/>
  <c r="G291" i="12"/>
  <c r="C291" i="12"/>
  <c r="L290" i="12"/>
  <c r="K290" i="12"/>
  <c r="J290" i="12"/>
  <c r="I290" i="12"/>
  <c r="H290" i="12"/>
  <c r="G290" i="12"/>
  <c r="C290" i="12"/>
  <c r="L289" i="12"/>
  <c r="K289" i="12"/>
  <c r="J289" i="12"/>
  <c r="I289" i="12"/>
  <c r="H289" i="12"/>
  <c r="G289" i="12"/>
  <c r="C289" i="12"/>
  <c r="L288" i="12"/>
  <c r="K288" i="12"/>
  <c r="J288" i="12"/>
  <c r="I288" i="12"/>
  <c r="H288" i="12"/>
  <c r="G288" i="12"/>
  <c r="C288" i="12"/>
  <c r="L287" i="12"/>
  <c r="K287" i="12"/>
  <c r="J287" i="12"/>
  <c r="I287" i="12"/>
  <c r="H287" i="12"/>
  <c r="G287" i="12"/>
  <c r="C287" i="12"/>
  <c r="L286" i="12"/>
  <c r="K286" i="12"/>
  <c r="J286" i="12"/>
  <c r="I286" i="12"/>
  <c r="H286" i="12"/>
  <c r="G286" i="12"/>
  <c r="C286" i="12"/>
  <c r="L285" i="12"/>
  <c r="K285" i="12"/>
  <c r="J285" i="12"/>
  <c r="I285" i="12"/>
  <c r="H285" i="12"/>
  <c r="G285" i="12"/>
  <c r="C285" i="12"/>
  <c r="L284" i="12"/>
  <c r="K284" i="12"/>
  <c r="J284" i="12"/>
  <c r="I284" i="12"/>
  <c r="H284" i="12"/>
  <c r="G284" i="12"/>
  <c r="C284" i="12"/>
  <c r="L283" i="12"/>
  <c r="K283" i="12"/>
  <c r="J283" i="12"/>
  <c r="I283" i="12"/>
  <c r="H283" i="12"/>
  <c r="G283" i="12"/>
  <c r="C283" i="12"/>
  <c r="L282" i="12"/>
  <c r="K282" i="12"/>
  <c r="J282" i="12"/>
  <c r="I282" i="12"/>
  <c r="H282" i="12"/>
  <c r="G282" i="12"/>
  <c r="C282" i="12"/>
  <c r="L281" i="12"/>
  <c r="K281" i="12"/>
  <c r="J281" i="12"/>
  <c r="I281" i="12"/>
  <c r="H281" i="12"/>
  <c r="G281" i="12"/>
  <c r="C281" i="12"/>
  <c r="L280" i="12"/>
  <c r="K280" i="12"/>
  <c r="J280" i="12"/>
  <c r="I280" i="12"/>
  <c r="H280" i="12"/>
  <c r="G280" i="12"/>
  <c r="C280" i="12"/>
  <c r="L279" i="12"/>
  <c r="K279" i="12"/>
  <c r="J279" i="12"/>
  <c r="I279" i="12"/>
  <c r="H279" i="12"/>
  <c r="G279" i="12"/>
  <c r="C279" i="12"/>
  <c r="L278" i="12"/>
  <c r="K278" i="12"/>
  <c r="J278" i="12"/>
  <c r="I278" i="12"/>
  <c r="H278" i="12"/>
  <c r="G278" i="12"/>
  <c r="C278" i="12"/>
  <c r="L277" i="12"/>
  <c r="K277" i="12"/>
  <c r="J277" i="12"/>
  <c r="I277" i="12"/>
  <c r="H277" i="12"/>
  <c r="G277" i="12"/>
  <c r="C277" i="12"/>
  <c r="L276" i="12"/>
  <c r="K276" i="12"/>
  <c r="J276" i="12"/>
  <c r="I276" i="12"/>
  <c r="H276" i="12"/>
  <c r="G276" i="12"/>
  <c r="C276" i="12"/>
  <c r="L275" i="12"/>
  <c r="K275" i="12"/>
  <c r="J275" i="12"/>
  <c r="I275" i="12"/>
  <c r="H275" i="12"/>
  <c r="G275" i="12"/>
  <c r="C275" i="12"/>
  <c r="L274" i="12"/>
  <c r="K274" i="12"/>
  <c r="J274" i="12"/>
  <c r="I274" i="12"/>
  <c r="H274" i="12"/>
  <c r="G274" i="12"/>
  <c r="C274" i="12"/>
  <c r="L273" i="12"/>
  <c r="K273" i="12"/>
  <c r="J273" i="12"/>
  <c r="I273" i="12"/>
  <c r="H273" i="12"/>
  <c r="G273" i="12"/>
  <c r="C273" i="12"/>
  <c r="L272" i="12"/>
  <c r="K272" i="12"/>
  <c r="J272" i="12"/>
  <c r="I272" i="12"/>
  <c r="H272" i="12"/>
  <c r="G272" i="12"/>
  <c r="C272" i="12"/>
  <c r="L271" i="12"/>
  <c r="K271" i="12"/>
  <c r="J271" i="12"/>
  <c r="I271" i="12"/>
  <c r="H271" i="12"/>
  <c r="G271" i="12"/>
  <c r="C271" i="12"/>
  <c r="L270" i="12"/>
  <c r="K270" i="12"/>
  <c r="J270" i="12"/>
  <c r="I270" i="12"/>
  <c r="H270" i="12"/>
  <c r="G270" i="12"/>
  <c r="C270" i="12"/>
  <c r="L269" i="12"/>
  <c r="K269" i="12"/>
  <c r="J269" i="12"/>
  <c r="I269" i="12"/>
  <c r="H269" i="12"/>
  <c r="G269" i="12"/>
  <c r="C269" i="12"/>
  <c r="L268" i="12"/>
  <c r="K268" i="12"/>
  <c r="J268" i="12"/>
  <c r="I268" i="12"/>
  <c r="H268" i="12"/>
  <c r="G268" i="12"/>
  <c r="C268" i="12"/>
  <c r="L267" i="12"/>
  <c r="K267" i="12"/>
  <c r="J267" i="12"/>
  <c r="I267" i="12"/>
  <c r="H267" i="12"/>
  <c r="G267" i="12"/>
  <c r="C267" i="12"/>
  <c r="L266" i="12"/>
  <c r="K266" i="12"/>
  <c r="J266" i="12"/>
  <c r="I266" i="12"/>
  <c r="H266" i="12"/>
  <c r="G266" i="12"/>
  <c r="C266" i="12"/>
  <c r="L265" i="12"/>
  <c r="K265" i="12"/>
  <c r="J265" i="12"/>
  <c r="I265" i="12"/>
  <c r="H265" i="12"/>
  <c r="G265" i="12"/>
  <c r="C265" i="12"/>
  <c r="L264" i="12"/>
  <c r="K264" i="12"/>
  <c r="J264" i="12"/>
  <c r="I264" i="12"/>
  <c r="H264" i="12"/>
  <c r="G264" i="12"/>
  <c r="C264" i="12"/>
  <c r="L263" i="12"/>
  <c r="K263" i="12"/>
  <c r="J263" i="12"/>
  <c r="I263" i="12"/>
  <c r="H263" i="12"/>
  <c r="G263" i="12"/>
  <c r="C263" i="12"/>
  <c r="L262" i="12"/>
  <c r="K262" i="12"/>
  <c r="J262" i="12"/>
  <c r="I262" i="12"/>
  <c r="H262" i="12"/>
  <c r="G262" i="12"/>
  <c r="C262" i="12"/>
  <c r="L261" i="12"/>
  <c r="K261" i="12"/>
  <c r="J261" i="12"/>
  <c r="I261" i="12"/>
  <c r="H261" i="12"/>
  <c r="G261" i="12"/>
  <c r="C261" i="12"/>
  <c r="L260" i="12"/>
  <c r="K260" i="12"/>
  <c r="J260" i="12"/>
  <c r="I260" i="12"/>
  <c r="H260" i="12"/>
  <c r="G260" i="12"/>
  <c r="C260" i="12"/>
  <c r="L259" i="12"/>
  <c r="K259" i="12"/>
  <c r="J259" i="12"/>
  <c r="I259" i="12"/>
  <c r="H259" i="12"/>
  <c r="G259" i="12"/>
  <c r="C259" i="12"/>
  <c r="L258" i="12"/>
  <c r="K258" i="12"/>
  <c r="J258" i="12"/>
  <c r="I258" i="12"/>
  <c r="H258" i="12"/>
  <c r="G258" i="12"/>
  <c r="C258" i="12"/>
  <c r="L257" i="12"/>
  <c r="K257" i="12"/>
  <c r="J257" i="12"/>
  <c r="I257" i="12"/>
  <c r="H257" i="12"/>
  <c r="G257" i="12"/>
  <c r="C257" i="12"/>
  <c r="L256" i="12"/>
  <c r="K256" i="12"/>
  <c r="J256" i="12"/>
  <c r="I256" i="12"/>
  <c r="H256" i="12"/>
  <c r="G256" i="12"/>
  <c r="C256" i="12"/>
  <c r="L255" i="12"/>
  <c r="K255" i="12"/>
  <c r="J255" i="12"/>
  <c r="I255" i="12"/>
  <c r="H255" i="12"/>
  <c r="G255" i="12"/>
  <c r="C255" i="12"/>
  <c r="L254" i="12"/>
  <c r="K254" i="12"/>
  <c r="J254" i="12"/>
  <c r="I254" i="12"/>
  <c r="H254" i="12"/>
  <c r="G254" i="12"/>
  <c r="C254" i="12"/>
  <c r="L253" i="12"/>
  <c r="K253" i="12"/>
  <c r="J253" i="12"/>
  <c r="I253" i="12"/>
  <c r="H253" i="12"/>
  <c r="G253" i="12"/>
  <c r="C253" i="12"/>
  <c r="L252" i="12"/>
  <c r="K252" i="12"/>
  <c r="J252" i="12"/>
  <c r="I252" i="12"/>
  <c r="H252" i="12"/>
  <c r="G252" i="12"/>
  <c r="C252" i="12"/>
  <c r="L251" i="12"/>
  <c r="K251" i="12"/>
  <c r="J251" i="12"/>
  <c r="I251" i="12"/>
  <c r="H251" i="12"/>
  <c r="G251" i="12"/>
  <c r="C251" i="12"/>
  <c r="L250" i="12"/>
  <c r="K250" i="12"/>
  <c r="J250" i="12"/>
  <c r="I250" i="12"/>
  <c r="H250" i="12"/>
  <c r="G250" i="12"/>
  <c r="C250" i="12"/>
  <c r="L249" i="12"/>
  <c r="K249" i="12"/>
  <c r="J249" i="12"/>
  <c r="I249" i="12"/>
  <c r="H249" i="12"/>
  <c r="G249" i="12"/>
  <c r="C249" i="12"/>
  <c r="L248" i="12"/>
  <c r="K248" i="12"/>
  <c r="J248" i="12"/>
  <c r="I248" i="12"/>
  <c r="H248" i="12"/>
  <c r="G248" i="12"/>
  <c r="C248" i="12"/>
  <c r="L247" i="12"/>
  <c r="K247" i="12"/>
  <c r="J247" i="12"/>
  <c r="I247" i="12"/>
  <c r="H247" i="12"/>
  <c r="G247" i="12"/>
  <c r="C247" i="12"/>
  <c r="L246" i="12"/>
  <c r="K246" i="12"/>
  <c r="J246" i="12"/>
  <c r="I246" i="12"/>
  <c r="H246" i="12"/>
  <c r="G246" i="12"/>
  <c r="C246" i="12"/>
  <c r="L245" i="12"/>
  <c r="K245" i="12"/>
  <c r="J245" i="12"/>
  <c r="I245" i="12"/>
  <c r="H245" i="12"/>
  <c r="G245" i="12"/>
  <c r="C245" i="12"/>
  <c r="L244" i="12"/>
  <c r="K244" i="12"/>
  <c r="J244" i="12"/>
  <c r="I244" i="12"/>
  <c r="H244" i="12"/>
  <c r="G244" i="12"/>
  <c r="C244" i="12"/>
  <c r="L243" i="12"/>
  <c r="K243" i="12"/>
  <c r="J243" i="12"/>
  <c r="I243" i="12"/>
  <c r="H243" i="12"/>
  <c r="G243" i="12"/>
  <c r="C243" i="12"/>
  <c r="L242" i="12"/>
  <c r="K242" i="12"/>
  <c r="J242" i="12"/>
  <c r="I242" i="12"/>
  <c r="H242" i="12"/>
  <c r="G242" i="12"/>
  <c r="C242" i="12"/>
  <c r="L241" i="12"/>
  <c r="K241" i="12"/>
  <c r="J241" i="12"/>
  <c r="I241" i="12"/>
  <c r="H241" i="12"/>
  <c r="G241" i="12"/>
  <c r="C241" i="12"/>
  <c r="L240" i="12"/>
  <c r="K240" i="12"/>
  <c r="J240" i="12"/>
  <c r="I240" i="12"/>
  <c r="H240" i="12"/>
  <c r="G240" i="12"/>
  <c r="C240" i="12"/>
  <c r="L239" i="12"/>
  <c r="K239" i="12"/>
  <c r="J239" i="12"/>
  <c r="I239" i="12"/>
  <c r="H239" i="12"/>
  <c r="G239" i="12"/>
  <c r="C239" i="12"/>
  <c r="L238" i="12"/>
  <c r="K238" i="12"/>
  <c r="J238" i="12"/>
  <c r="I238" i="12"/>
  <c r="H238" i="12"/>
  <c r="G238" i="12"/>
  <c r="C238" i="12"/>
  <c r="L237" i="12"/>
  <c r="K237" i="12"/>
  <c r="J237" i="12"/>
  <c r="I237" i="12"/>
  <c r="H237" i="12"/>
  <c r="G237" i="12"/>
  <c r="C237" i="12"/>
  <c r="L236" i="12"/>
  <c r="K236" i="12"/>
  <c r="J236" i="12"/>
  <c r="I236" i="12"/>
  <c r="H236" i="12"/>
  <c r="G236" i="12"/>
  <c r="C236" i="12"/>
  <c r="L235" i="12"/>
  <c r="K235" i="12"/>
  <c r="J235" i="12"/>
  <c r="I235" i="12"/>
  <c r="H235" i="12"/>
  <c r="G235" i="12"/>
  <c r="C235" i="12"/>
  <c r="L234" i="12"/>
  <c r="K234" i="12"/>
  <c r="J234" i="12"/>
  <c r="I234" i="12"/>
  <c r="H234" i="12"/>
  <c r="G234" i="12"/>
  <c r="C234" i="12"/>
  <c r="L233" i="12"/>
  <c r="K233" i="12"/>
  <c r="J233" i="12"/>
  <c r="I233" i="12"/>
  <c r="H233" i="12"/>
  <c r="G233" i="12"/>
  <c r="C233" i="12"/>
  <c r="L232" i="12"/>
  <c r="K232" i="12"/>
  <c r="J232" i="12"/>
  <c r="I232" i="12"/>
  <c r="H232" i="12"/>
  <c r="G232" i="12"/>
  <c r="C232" i="12"/>
  <c r="L231" i="12"/>
  <c r="K231" i="12"/>
  <c r="J231" i="12"/>
  <c r="I231" i="12"/>
  <c r="H231" i="12"/>
  <c r="G231" i="12"/>
  <c r="C231" i="12"/>
  <c r="L230" i="12"/>
  <c r="K230" i="12"/>
  <c r="J230" i="12"/>
  <c r="I230" i="12"/>
  <c r="H230" i="12"/>
  <c r="G230" i="12"/>
  <c r="C230" i="12"/>
  <c r="L229" i="12"/>
  <c r="K229" i="12"/>
  <c r="J229" i="12"/>
  <c r="I229" i="12"/>
  <c r="H229" i="12"/>
  <c r="G229" i="12"/>
  <c r="C229" i="12"/>
  <c r="L228" i="12"/>
  <c r="K228" i="12"/>
  <c r="J228" i="12"/>
  <c r="I228" i="12"/>
  <c r="H228" i="12"/>
  <c r="G228" i="12"/>
  <c r="C228" i="12"/>
  <c r="L227" i="12"/>
  <c r="K227" i="12"/>
  <c r="J227" i="12"/>
  <c r="I227" i="12"/>
  <c r="H227" i="12"/>
  <c r="G227" i="12"/>
  <c r="C227" i="12"/>
  <c r="L226" i="12"/>
  <c r="K226" i="12"/>
  <c r="J226" i="12"/>
  <c r="I226" i="12"/>
  <c r="H226" i="12"/>
  <c r="G226" i="12"/>
  <c r="C226" i="12"/>
  <c r="L225" i="12"/>
  <c r="K225" i="12"/>
  <c r="J225" i="12"/>
  <c r="I225" i="12"/>
  <c r="H225" i="12"/>
  <c r="G225" i="12"/>
  <c r="C225" i="12"/>
  <c r="L224" i="12"/>
  <c r="K224" i="12"/>
  <c r="J224" i="12"/>
  <c r="I224" i="12"/>
  <c r="H224" i="12"/>
  <c r="G224" i="12"/>
  <c r="C224" i="12"/>
  <c r="L223" i="12"/>
  <c r="K223" i="12"/>
  <c r="J223" i="12"/>
  <c r="I223" i="12"/>
  <c r="H223" i="12"/>
  <c r="G223" i="12"/>
  <c r="C223" i="12"/>
  <c r="L222" i="12"/>
  <c r="K222" i="12"/>
  <c r="J222" i="12"/>
  <c r="I222" i="12"/>
  <c r="H222" i="12"/>
  <c r="G222" i="12"/>
  <c r="C222" i="12"/>
  <c r="L221" i="12"/>
  <c r="K221" i="12"/>
  <c r="J221" i="12"/>
  <c r="I221" i="12"/>
  <c r="H221" i="12"/>
  <c r="G221" i="12"/>
  <c r="C221" i="12"/>
  <c r="L220" i="12"/>
  <c r="K220" i="12"/>
  <c r="J220" i="12"/>
  <c r="I220" i="12"/>
  <c r="H220" i="12"/>
  <c r="G220" i="12"/>
  <c r="C220" i="12"/>
  <c r="L219" i="12"/>
  <c r="K219" i="12"/>
  <c r="J219" i="12"/>
  <c r="I219" i="12"/>
  <c r="H219" i="12"/>
  <c r="G219" i="12"/>
  <c r="C219" i="12"/>
  <c r="L218" i="12"/>
  <c r="K218" i="12"/>
  <c r="J218" i="12"/>
  <c r="I218" i="12"/>
  <c r="H218" i="12"/>
  <c r="G218" i="12"/>
  <c r="C218" i="12"/>
  <c r="L217" i="12"/>
  <c r="K217" i="12"/>
  <c r="J217" i="12"/>
  <c r="I217" i="12"/>
  <c r="H217" i="12"/>
  <c r="G217" i="12"/>
  <c r="C217" i="12"/>
  <c r="L216" i="12"/>
  <c r="K216" i="12"/>
  <c r="J216" i="12"/>
  <c r="I216" i="12"/>
  <c r="H216" i="12"/>
  <c r="G216" i="12"/>
  <c r="C216" i="12"/>
  <c r="L215" i="12"/>
  <c r="K215" i="12"/>
  <c r="J215" i="12"/>
  <c r="I215" i="12"/>
  <c r="H215" i="12"/>
  <c r="G215" i="12"/>
  <c r="C215" i="12"/>
  <c r="L214" i="12"/>
  <c r="K214" i="12"/>
  <c r="J214" i="12"/>
  <c r="I214" i="12"/>
  <c r="H214" i="12"/>
  <c r="G214" i="12"/>
  <c r="C214" i="12"/>
  <c r="L213" i="12"/>
  <c r="K213" i="12"/>
  <c r="J213" i="12"/>
  <c r="I213" i="12"/>
  <c r="H213" i="12"/>
  <c r="G213" i="12"/>
  <c r="C213" i="12"/>
  <c r="L212" i="12"/>
  <c r="K212" i="12"/>
  <c r="J212" i="12"/>
  <c r="I212" i="12"/>
  <c r="H212" i="12"/>
  <c r="G212" i="12"/>
  <c r="C212" i="12"/>
  <c r="L211" i="12"/>
  <c r="K211" i="12"/>
  <c r="J211" i="12"/>
  <c r="I211" i="12"/>
  <c r="H211" i="12"/>
  <c r="G211" i="12"/>
  <c r="C211" i="12"/>
  <c r="L210" i="12"/>
  <c r="K210" i="12"/>
  <c r="J210" i="12"/>
  <c r="I210" i="12"/>
  <c r="H210" i="12"/>
  <c r="G210" i="12"/>
  <c r="C210" i="12"/>
  <c r="L209" i="12"/>
  <c r="K209" i="12"/>
  <c r="J209" i="12"/>
  <c r="I209" i="12"/>
  <c r="H209" i="12"/>
  <c r="G209" i="12"/>
  <c r="C209" i="12"/>
  <c r="L208" i="12"/>
  <c r="K208" i="12"/>
  <c r="J208" i="12"/>
  <c r="I208" i="12"/>
  <c r="H208" i="12"/>
  <c r="G208" i="12"/>
  <c r="C208" i="12"/>
  <c r="L207" i="12"/>
  <c r="K207" i="12"/>
  <c r="J207" i="12"/>
  <c r="I207" i="12"/>
  <c r="H207" i="12"/>
  <c r="G207" i="12"/>
  <c r="C207" i="12"/>
  <c r="L206" i="12"/>
  <c r="K206" i="12"/>
  <c r="J206" i="12"/>
  <c r="I206" i="12"/>
  <c r="H206" i="12"/>
  <c r="G206" i="12"/>
  <c r="C206" i="12"/>
  <c r="L205" i="12"/>
  <c r="K205" i="12"/>
  <c r="J205" i="12"/>
  <c r="I205" i="12"/>
  <c r="H205" i="12"/>
  <c r="G205" i="12"/>
  <c r="C205" i="12"/>
  <c r="L204" i="12"/>
  <c r="K204" i="12"/>
  <c r="J204" i="12"/>
  <c r="I204" i="12"/>
  <c r="H204" i="12"/>
  <c r="G204" i="12"/>
  <c r="C204" i="12"/>
  <c r="L203" i="12"/>
  <c r="K203" i="12"/>
  <c r="J203" i="12"/>
  <c r="I203" i="12"/>
  <c r="H203" i="12"/>
  <c r="G203" i="12"/>
  <c r="C203" i="12"/>
  <c r="L202" i="12"/>
  <c r="K202" i="12"/>
  <c r="J202" i="12"/>
  <c r="I202" i="12"/>
  <c r="H202" i="12"/>
  <c r="G202" i="12"/>
  <c r="C202" i="12"/>
  <c r="L201" i="12"/>
  <c r="K201" i="12"/>
  <c r="J201" i="12"/>
  <c r="I201" i="12"/>
  <c r="H201" i="12"/>
  <c r="G201" i="12"/>
  <c r="C201" i="12"/>
  <c r="L200" i="12"/>
  <c r="K200" i="12"/>
  <c r="J200" i="12"/>
  <c r="I200" i="12"/>
  <c r="H200" i="12"/>
  <c r="G200" i="12"/>
  <c r="C200" i="12"/>
  <c r="L199" i="12"/>
  <c r="K199" i="12"/>
  <c r="J199" i="12"/>
  <c r="I199" i="12"/>
  <c r="H199" i="12"/>
  <c r="G199" i="12"/>
  <c r="C199" i="12"/>
  <c r="L198" i="12"/>
  <c r="K198" i="12"/>
  <c r="J198" i="12"/>
  <c r="I198" i="12"/>
  <c r="H198" i="12"/>
  <c r="G198" i="12"/>
  <c r="C198" i="12"/>
  <c r="L197" i="12"/>
  <c r="K197" i="12"/>
  <c r="J197" i="12"/>
  <c r="I197" i="12"/>
  <c r="H197" i="12"/>
  <c r="G197" i="12"/>
  <c r="C197" i="12"/>
  <c r="L196" i="12"/>
  <c r="K196" i="12"/>
  <c r="J196" i="12"/>
  <c r="I196" i="12"/>
  <c r="H196" i="12"/>
  <c r="G196" i="12"/>
  <c r="C196" i="12"/>
  <c r="L195" i="12"/>
  <c r="K195" i="12"/>
  <c r="J195" i="12"/>
  <c r="I195" i="12"/>
  <c r="H195" i="12"/>
  <c r="G195" i="12"/>
  <c r="C195" i="12"/>
  <c r="L194" i="12"/>
  <c r="K194" i="12"/>
  <c r="J194" i="12"/>
  <c r="I194" i="12"/>
  <c r="H194" i="12"/>
  <c r="G194" i="12"/>
  <c r="C194" i="12"/>
  <c r="L193" i="12"/>
  <c r="K193" i="12"/>
  <c r="J193" i="12"/>
  <c r="I193" i="12"/>
  <c r="H193" i="12"/>
  <c r="G193" i="12"/>
  <c r="C193" i="12"/>
  <c r="L192" i="12"/>
  <c r="K192" i="12"/>
  <c r="J192" i="12"/>
  <c r="I192" i="12"/>
  <c r="H192" i="12"/>
  <c r="G192" i="12"/>
  <c r="C192" i="12"/>
  <c r="L191" i="12"/>
  <c r="K191" i="12"/>
  <c r="J191" i="12"/>
  <c r="I191" i="12"/>
  <c r="H191" i="12"/>
  <c r="G191" i="12"/>
  <c r="C191" i="12"/>
  <c r="L190" i="12"/>
  <c r="K190" i="12"/>
  <c r="J190" i="12"/>
  <c r="I190" i="12"/>
  <c r="H190" i="12"/>
  <c r="G190" i="12"/>
  <c r="C190" i="12"/>
  <c r="L189" i="12"/>
  <c r="K189" i="12"/>
  <c r="J189" i="12"/>
  <c r="I189" i="12"/>
  <c r="H189" i="12"/>
  <c r="G189" i="12"/>
  <c r="C189" i="12"/>
  <c r="L188" i="12"/>
  <c r="K188" i="12"/>
  <c r="J188" i="12"/>
  <c r="I188" i="12"/>
  <c r="H188" i="12"/>
  <c r="G188" i="12"/>
  <c r="C188" i="12"/>
  <c r="L187" i="12"/>
  <c r="K187" i="12"/>
  <c r="J187" i="12"/>
  <c r="I187" i="12"/>
  <c r="H187" i="12"/>
  <c r="G187" i="12"/>
  <c r="C187" i="12"/>
  <c r="L186" i="12"/>
  <c r="K186" i="12"/>
  <c r="J186" i="12"/>
  <c r="I186" i="12"/>
  <c r="H186" i="12"/>
  <c r="G186" i="12"/>
  <c r="C186" i="12"/>
  <c r="L185" i="12"/>
  <c r="K185" i="12"/>
  <c r="J185" i="12"/>
  <c r="I185" i="12"/>
  <c r="H185" i="12"/>
  <c r="G185" i="12"/>
  <c r="C185" i="12"/>
  <c r="L184" i="12"/>
  <c r="K184" i="12"/>
  <c r="J184" i="12"/>
  <c r="I184" i="12"/>
  <c r="H184" i="12"/>
  <c r="G184" i="12"/>
  <c r="C184" i="12"/>
  <c r="L183" i="12"/>
  <c r="K183" i="12"/>
  <c r="J183" i="12"/>
  <c r="I183" i="12"/>
  <c r="H183" i="12"/>
  <c r="G183" i="12"/>
  <c r="C183" i="12"/>
  <c r="L182" i="12"/>
  <c r="K182" i="12"/>
  <c r="J182" i="12"/>
  <c r="I182" i="12"/>
  <c r="H182" i="12"/>
  <c r="G182" i="12"/>
  <c r="C182" i="12"/>
  <c r="L181" i="12"/>
  <c r="K181" i="12"/>
  <c r="J181" i="12"/>
  <c r="I181" i="12"/>
  <c r="H181" i="12"/>
  <c r="G181" i="12"/>
  <c r="C181" i="12"/>
  <c r="L180" i="12"/>
  <c r="K180" i="12"/>
  <c r="J180" i="12"/>
  <c r="I180" i="12"/>
  <c r="H180" i="12"/>
  <c r="G180" i="12"/>
  <c r="C180" i="12"/>
  <c r="L179" i="12"/>
  <c r="K179" i="12"/>
  <c r="J179" i="12"/>
  <c r="I179" i="12"/>
  <c r="H179" i="12"/>
  <c r="G179" i="12"/>
  <c r="C179" i="12"/>
  <c r="L178" i="12"/>
  <c r="K178" i="12"/>
  <c r="J178" i="12"/>
  <c r="I178" i="12"/>
  <c r="H178" i="12"/>
  <c r="G178" i="12"/>
  <c r="C178" i="12"/>
  <c r="L177" i="12"/>
  <c r="K177" i="12"/>
  <c r="J177" i="12"/>
  <c r="I177" i="12"/>
  <c r="H177" i="12"/>
  <c r="G177" i="12"/>
  <c r="C177" i="12"/>
  <c r="L176" i="12"/>
  <c r="K176" i="12"/>
  <c r="J176" i="12"/>
  <c r="I176" i="12"/>
  <c r="H176" i="12"/>
  <c r="G176" i="12"/>
  <c r="C176" i="12"/>
  <c r="L175" i="12"/>
  <c r="K175" i="12"/>
  <c r="J175" i="12"/>
  <c r="I175" i="12"/>
  <c r="H175" i="12"/>
  <c r="G175" i="12"/>
  <c r="C175" i="12"/>
  <c r="L174" i="12"/>
  <c r="K174" i="12"/>
  <c r="J174" i="12"/>
  <c r="I174" i="12"/>
  <c r="H174" i="12"/>
  <c r="G174" i="12"/>
  <c r="C174" i="12"/>
  <c r="L173" i="12"/>
  <c r="K173" i="12"/>
  <c r="J173" i="12"/>
  <c r="I173" i="12"/>
  <c r="H173" i="12"/>
  <c r="G173" i="12"/>
  <c r="C173" i="12"/>
  <c r="L172" i="12"/>
  <c r="K172" i="12"/>
  <c r="J172" i="12"/>
  <c r="I172" i="12"/>
  <c r="H172" i="12"/>
  <c r="G172" i="12"/>
  <c r="C172" i="12"/>
  <c r="L171" i="12"/>
  <c r="K171" i="12"/>
  <c r="J171" i="12"/>
  <c r="I171" i="12"/>
  <c r="H171" i="12"/>
  <c r="G171" i="12"/>
  <c r="C171" i="12"/>
  <c r="L170" i="12"/>
  <c r="K170" i="12"/>
  <c r="J170" i="12"/>
  <c r="I170" i="12"/>
  <c r="H170" i="12"/>
  <c r="G170" i="12"/>
  <c r="C170" i="12"/>
  <c r="L169" i="12"/>
  <c r="K169" i="12"/>
  <c r="J169" i="12"/>
  <c r="I169" i="12"/>
  <c r="H169" i="12"/>
  <c r="G169" i="12"/>
  <c r="C169" i="12"/>
  <c r="L168" i="12"/>
  <c r="K168" i="12"/>
  <c r="J168" i="12"/>
  <c r="I168" i="12"/>
  <c r="H168" i="12"/>
  <c r="G168" i="12"/>
  <c r="C168" i="12"/>
  <c r="L167" i="12"/>
  <c r="K167" i="12"/>
  <c r="J167" i="12"/>
  <c r="I167" i="12"/>
  <c r="H167" i="12"/>
  <c r="G167" i="12"/>
  <c r="C167" i="12"/>
  <c r="L166" i="12"/>
  <c r="K166" i="12"/>
  <c r="J166" i="12"/>
  <c r="I166" i="12"/>
  <c r="H166" i="12"/>
  <c r="G166" i="12"/>
  <c r="C166" i="12"/>
  <c r="L165" i="12"/>
  <c r="K165" i="12"/>
  <c r="J165" i="12"/>
  <c r="I165" i="12"/>
  <c r="H165" i="12"/>
  <c r="G165" i="12"/>
  <c r="C165" i="12"/>
  <c r="L164" i="12"/>
  <c r="K164" i="12"/>
  <c r="J164" i="12"/>
  <c r="I164" i="12"/>
  <c r="H164" i="12"/>
  <c r="G164" i="12"/>
  <c r="C164" i="12"/>
  <c r="L163" i="12"/>
  <c r="K163" i="12"/>
  <c r="J163" i="12"/>
  <c r="I163" i="12"/>
  <c r="H163" i="12"/>
  <c r="G163" i="12"/>
  <c r="C163" i="12"/>
  <c r="L162" i="12"/>
  <c r="K162" i="12"/>
  <c r="J162" i="12"/>
  <c r="I162" i="12"/>
  <c r="H162" i="12"/>
  <c r="G162" i="12"/>
  <c r="C162" i="12"/>
  <c r="L161" i="12"/>
  <c r="K161" i="12"/>
  <c r="J161" i="12"/>
  <c r="I161" i="12"/>
  <c r="H161" i="12"/>
  <c r="G161" i="12"/>
  <c r="C161" i="12"/>
  <c r="L160" i="12"/>
  <c r="K160" i="12"/>
  <c r="J160" i="12"/>
  <c r="I160" i="12"/>
  <c r="H160" i="12"/>
  <c r="G160" i="12"/>
  <c r="C160" i="12"/>
  <c r="L159" i="12"/>
  <c r="K159" i="12"/>
  <c r="J159" i="12"/>
  <c r="I159" i="12"/>
  <c r="H159" i="12"/>
  <c r="G159" i="12"/>
  <c r="C159" i="12"/>
  <c r="L158" i="12"/>
  <c r="K158" i="12"/>
  <c r="J158" i="12"/>
  <c r="I158" i="12"/>
  <c r="H158" i="12"/>
  <c r="G158" i="12"/>
  <c r="C158" i="12"/>
  <c r="L157" i="12"/>
  <c r="K157" i="12"/>
  <c r="J157" i="12"/>
  <c r="I157" i="12"/>
  <c r="H157" i="12"/>
  <c r="G157" i="12"/>
  <c r="C157" i="12"/>
  <c r="L156" i="12"/>
  <c r="K156" i="12"/>
  <c r="J156" i="12"/>
  <c r="I156" i="12"/>
  <c r="H156" i="12"/>
  <c r="G156" i="12"/>
  <c r="C156" i="12"/>
  <c r="L155" i="12"/>
  <c r="K155" i="12"/>
  <c r="J155" i="12"/>
  <c r="I155" i="12"/>
  <c r="H155" i="12"/>
  <c r="G155" i="12"/>
  <c r="C155" i="12"/>
  <c r="L154" i="12"/>
  <c r="K154" i="12"/>
  <c r="J154" i="12"/>
  <c r="I154" i="12"/>
  <c r="H154" i="12"/>
  <c r="G154" i="12"/>
  <c r="C154" i="12"/>
  <c r="L153" i="12"/>
  <c r="K153" i="12"/>
  <c r="J153" i="12"/>
  <c r="I153" i="12"/>
  <c r="H153" i="12"/>
  <c r="G153" i="12"/>
  <c r="C153" i="12"/>
  <c r="L152" i="12"/>
  <c r="K152" i="12"/>
  <c r="J152" i="12"/>
  <c r="I152" i="12"/>
  <c r="H152" i="12"/>
  <c r="G152" i="12"/>
  <c r="C152" i="12"/>
  <c r="L151" i="12"/>
  <c r="K151" i="12"/>
  <c r="J151" i="12"/>
  <c r="I151" i="12"/>
  <c r="H151" i="12"/>
  <c r="G151" i="12"/>
  <c r="C151" i="12"/>
  <c r="L150" i="12"/>
  <c r="K150" i="12"/>
  <c r="J150" i="12"/>
  <c r="I150" i="12"/>
  <c r="H150" i="12"/>
  <c r="G150" i="12"/>
  <c r="C150" i="12"/>
  <c r="L149" i="12"/>
  <c r="K149" i="12"/>
  <c r="J149" i="12"/>
  <c r="I149" i="12"/>
  <c r="H149" i="12"/>
  <c r="G149" i="12"/>
  <c r="C149" i="12"/>
  <c r="L148" i="12"/>
  <c r="K148" i="12"/>
  <c r="J148" i="12"/>
  <c r="I148" i="12"/>
  <c r="H148" i="12"/>
  <c r="G148" i="12"/>
  <c r="C148" i="12"/>
  <c r="L147" i="12"/>
  <c r="K147" i="12"/>
  <c r="J147" i="12"/>
  <c r="I147" i="12"/>
  <c r="H147" i="12"/>
  <c r="G147" i="12"/>
  <c r="C147" i="12"/>
  <c r="L146" i="12"/>
  <c r="K146" i="12"/>
  <c r="J146" i="12"/>
  <c r="I146" i="12"/>
  <c r="H146" i="12"/>
  <c r="G146" i="12"/>
  <c r="C146" i="12"/>
  <c r="L145" i="12"/>
  <c r="K145" i="12"/>
  <c r="J145" i="12"/>
  <c r="I145" i="12"/>
  <c r="H145" i="12"/>
  <c r="G145" i="12"/>
  <c r="C145" i="12"/>
  <c r="L144" i="12"/>
  <c r="K144" i="12"/>
  <c r="J144" i="12"/>
  <c r="I144" i="12"/>
  <c r="H144" i="12"/>
  <c r="G144" i="12"/>
  <c r="C144" i="12"/>
  <c r="L143" i="12"/>
  <c r="K143" i="12"/>
  <c r="J143" i="12"/>
  <c r="I143" i="12"/>
  <c r="H143" i="12"/>
  <c r="G143" i="12"/>
  <c r="C143" i="12"/>
  <c r="L142" i="12"/>
  <c r="K142" i="12"/>
  <c r="J142" i="12"/>
  <c r="I142" i="12"/>
  <c r="H142" i="12"/>
  <c r="G142" i="12"/>
  <c r="C142" i="12"/>
  <c r="L141" i="12"/>
  <c r="K141" i="12"/>
  <c r="J141" i="12"/>
  <c r="I141" i="12"/>
  <c r="H141" i="12"/>
  <c r="G141" i="12"/>
  <c r="C141" i="12"/>
  <c r="L140" i="12"/>
  <c r="K140" i="12"/>
  <c r="J140" i="12"/>
  <c r="I140" i="12"/>
  <c r="H140" i="12"/>
  <c r="G140" i="12"/>
  <c r="C140" i="12"/>
  <c r="L139" i="12"/>
  <c r="K139" i="12"/>
  <c r="J139" i="12"/>
  <c r="I139" i="12"/>
  <c r="H139" i="12"/>
  <c r="G139" i="12"/>
  <c r="C139" i="12"/>
  <c r="L138" i="12"/>
  <c r="K138" i="12"/>
  <c r="J138" i="12"/>
  <c r="I138" i="12"/>
  <c r="H138" i="12"/>
  <c r="G138" i="12"/>
  <c r="C138" i="12"/>
  <c r="L137" i="12"/>
  <c r="K137" i="12"/>
  <c r="J137" i="12"/>
  <c r="I137" i="12"/>
  <c r="H137" i="12"/>
  <c r="G137" i="12"/>
  <c r="C137" i="12"/>
  <c r="L136" i="12"/>
  <c r="K136" i="12"/>
  <c r="J136" i="12"/>
  <c r="I136" i="12"/>
  <c r="H136" i="12"/>
  <c r="G136" i="12"/>
  <c r="C136" i="12"/>
  <c r="L135" i="12"/>
  <c r="K135" i="12"/>
  <c r="J135" i="12"/>
  <c r="I135" i="12"/>
  <c r="H135" i="12"/>
  <c r="G135" i="12"/>
  <c r="C135" i="12"/>
  <c r="L134" i="12"/>
  <c r="K134" i="12"/>
  <c r="J134" i="12"/>
  <c r="I134" i="12"/>
  <c r="H134" i="12"/>
  <c r="G134" i="12"/>
  <c r="C134" i="12"/>
  <c r="L133" i="12"/>
  <c r="K133" i="12"/>
  <c r="J133" i="12"/>
  <c r="I133" i="12"/>
  <c r="H133" i="12"/>
  <c r="G133" i="12"/>
  <c r="C133" i="12"/>
  <c r="L132" i="12"/>
  <c r="K132" i="12"/>
  <c r="J132" i="12"/>
  <c r="I132" i="12"/>
  <c r="H132" i="12"/>
  <c r="G132" i="12"/>
  <c r="C132" i="12"/>
  <c r="L131" i="12"/>
  <c r="K131" i="12"/>
  <c r="J131" i="12"/>
  <c r="I131" i="12"/>
  <c r="H131" i="12"/>
  <c r="G131" i="12"/>
  <c r="C131" i="12"/>
  <c r="L130" i="12"/>
  <c r="K130" i="12"/>
  <c r="J130" i="12"/>
  <c r="I130" i="12"/>
  <c r="H130" i="12"/>
  <c r="G130" i="12"/>
  <c r="C130" i="12"/>
  <c r="L129" i="12"/>
  <c r="K129" i="12"/>
  <c r="J129" i="12"/>
  <c r="I129" i="12"/>
  <c r="H129" i="12"/>
  <c r="G129" i="12"/>
  <c r="C129" i="12"/>
  <c r="L128" i="12"/>
  <c r="K128" i="12"/>
  <c r="J128" i="12"/>
  <c r="I128" i="12"/>
  <c r="H128" i="12"/>
  <c r="G128" i="12"/>
  <c r="C128" i="12"/>
  <c r="L127" i="12"/>
  <c r="K127" i="12"/>
  <c r="J127" i="12"/>
  <c r="I127" i="12"/>
  <c r="H127" i="12"/>
  <c r="G127" i="12"/>
  <c r="C127" i="12"/>
  <c r="L126" i="12"/>
  <c r="K126" i="12"/>
  <c r="J126" i="12"/>
  <c r="I126" i="12"/>
  <c r="H126" i="12"/>
  <c r="G126" i="12"/>
  <c r="C126" i="12"/>
  <c r="L125" i="12"/>
  <c r="K125" i="12"/>
  <c r="J125" i="12"/>
  <c r="I125" i="12"/>
  <c r="H125" i="12"/>
  <c r="G125" i="12"/>
  <c r="C125" i="12"/>
  <c r="L124" i="12"/>
  <c r="K124" i="12"/>
  <c r="J124" i="12"/>
  <c r="I124" i="12"/>
  <c r="H124" i="12"/>
  <c r="G124" i="12"/>
  <c r="C124" i="12"/>
  <c r="L123" i="12"/>
  <c r="K123" i="12"/>
  <c r="J123" i="12"/>
  <c r="I123" i="12"/>
  <c r="H123" i="12"/>
  <c r="G123" i="12"/>
  <c r="C123" i="12"/>
  <c r="L122" i="12"/>
  <c r="K122" i="12"/>
  <c r="J122" i="12"/>
  <c r="I122" i="12"/>
  <c r="H122" i="12"/>
  <c r="G122" i="12"/>
  <c r="C122" i="12"/>
  <c r="L121" i="12"/>
  <c r="K121" i="12"/>
  <c r="J121" i="12"/>
  <c r="I121" i="12"/>
  <c r="H121" i="12"/>
  <c r="G121" i="12"/>
  <c r="C121" i="12"/>
  <c r="L120" i="12"/>
  <c r="K120" i="12"/>
  <c r="J120" i="12"/>
  <c r="I120" i="12"/>
  <c r="H120" i="12"/>
  <c r="G120" i="12"/>
  <c r="C120" i="12"/>
  <c r="L119" i="12"/>
  <c r="K119" i="12"/>
  <c r="J119" i="12"/>
  <c r="I119" i="12"/>
  <c r="H119" i="12"/>
  <c r="G119" i="12"/>
  <c r="C119" i="12"/>
  <c r="L118" i="12"/>
  <c r="K118" i="12"/>
  <c r="J118" i="12"/>
  <c r="I118" i="12"/>
  <c r="H118" i="12"/>
  <c r="G118" i="12"/>
  <c r="C118" i="12"/>
  <c r="L117" i="12"/>
  <c r="K117" i="12"/>
  <c r="J117" i="12"/>
  <c r="I117" i="12"/>
  <c r="H117" i="12"/>
  <c r="G117" i="12"/>
  <c r="C117" i="12"/>
  <c r="L116" i="12"/>
  <c r="K116" i="12"/>
  <c r="J116" i="12"/>
  <c r="I116" i="12"/>
  <c r="H116" i="12"/>
  <c r="G116" i="12"/>
  <c r="C116" i="12"/>
  <c r="L115" i="12"/>
  <c r="K115" i="12"/>
  <c r="J115" i="12"/>
  <c r="I115" i="12"/>
  <c r="H115" i="12"/>
  <c r="G115" i="12"/>
  <c r="C115" i="12"/>
  <c r="L114" i="12"/>
  <c r="K114" i="12"/>
  <c r="J114" i="12"/>
  <c r="I114" i="12"/>
  <c r="H114" i="12"/>
  <c r="G114" i="12"/>
  <c r="C114" i="12"/>
  <c r="L113" i="12"/>
  <c r="K113" i="12"/>
  <c r="J113" i="12"/>
  <c r="I113" i="12"/>
  <c r="H113" i="12"/>
  <c r="G113" i="12"/>
  <c r="C113" i="12"/>
  <c r="L112" i="12"/>
  <c r="K112" i="12"/>
  <c r="J112" i="12"/>
  <c r="I112" i="12"/>
  <c r="H112" i="12"/>
  <c r="G112" i="12"/>
  <c r="C112" i="12"/>
  <c r="L111" i="12"/>
  <c r="K111" i="12"/>
  <c r="J111" i="12"/>
  <c r="I111" i="12"/>
  <c r="H111" i="12"/>
  <c r="G111" i="12"/>
  <c r="C111" i="12"/>
  <c r="L110" i="12"/>
  <c r="K110" i="12"/>
  <c r="J110" i="12"/>
  <c r="I110" i="12"/>
  <c r="H110" i="12"/>
  <c r="G110" i="12"/>
  <c r="C110" i="12"/>
  <c r="L109" i="12"/>
  <c r="K109" i="12"/>
  <c r="J109" i="12"/>
  <c r="I109" i="12"/>
  <c r="H109" i="12"/>
  <c r="G109" i="12"/>
  <c r="C109" i="12"/>
  <c r="L108" i="12"/>
  <c r="K108" i="12"/>
  <c r="J108" i="12"/>
  <c r="I108" i="12"/>
  <c r="H108" i="12"/>
  <c r="G108" i="12"/>
  <c r="C108" i="12"/>
  <c r="L107" i="12"/>
  <c r="K107" i="12"/>
  <c r="J107" i="12"/>
  <c r="I107" i="12"/>
  <c r="H107" i="12"/>
  <c r="G107" i="12"/>
  <c r="C107" i="12"/>
  <c r="L106" i="12"/>
  <c r="K106" i="12"/>
  <c r="J106" i="12"/>
  <c r="I106" i="12"/>
  <c r="H106" i="12"/>
  <c r="G106" i="12"/>
  <c r="C106" i="12"/>
  <c r="L105" i="12"/>
  <c r="K105" i="12"/>
  <c r="J105" i="12"/>
  <c r="I105" i="12"/>
  <c r="H105" i="12"/>
  <c r="G105" i="12"/>
  <c r="C105" i="12"/>
  <c r="L104" i="12"/>
  <c r="K104" i="12"/>
  <c r="J104" i="12"/>
  <c r="I104" i="12"/>
  <c r="H104" i="12"/>
  <c r="G104" i="12"/>
  <c r="C104" i="12"/>
  <c r="L103" i="12"/>
  <c r="K103" i="12"/>
  <c r="J103" i="12"/>
  <c r="I103" i="12"/>
  <c r="H103" i="12"/>
  <c r="G103" i="12"/>
  <c r="C103" i="12"/>
  <c r="L102" i="12"/>
  <c r="K102" i="12"/>
  <c r="J102" i="12"/>
  <c r="I102" i="12"/>
  <c r="H102" i="12"/>
  <c r="G102" i="12"/>
  <c r="C102" i="12"/>
  <c r="L101" i="12"/>
  <c r="K101" i="12"/>
  <c r="J101" i="12"/>
  <c r="I101" i="12"/>
  <c r="H101" i="12"/>
  <c r="G101" i="12"/>
  <c r="C101" i="12"/>
  <c r="L100" i="12"/>
  <c r="K100" i="12"/>
  <c r="J100" i="12"/>
  <c r="I100" i="12"/>
  <c r="H100" i="12"/>
  <c r="G100" i="12"/>
  <c r="C100" i="12"/>
  <c r="L99" i="12"/>
  <c r="K99" i="12"/>
  <c r="J99" i="12"/>
  <c r="I99" i="12"/>
  <c r="H99" i="12"/>
  <c r="G99" i="12"/>
  <c r="C99" i="12"/>
  <c r="L98" i="12"/>
  <c r="K98" i="12"/>
  <c r="J98" i="12"/>
  <c r="I98" i="12"/>
  <c r="H98" i="12"/>
  <c r="G98" i="12"/>
  <c r="C98" i="12"/>
  <c r="L97" i="12"/>
  <c r="K97" i="12"/>
  <c r="J97" i="12"/>
  <c r="I97" i="12"/>
  <c r="H97" i="12"/>
  <c r="G97" i="12"/>
  <c r="C97" i="12"/>
  <c r="L96" i="12"/>
  <c r="K96" i="12"/>
  <c r="J96" i="12"/>
  <c r="I96" i="12"/>
  <c r="H96" i="12"/>
  <c r="G96" i="12"/>
  <c r="C96" i="12"/>
  <c r="L95" i="12"/>
  <c r="K95" i="12"/>
  <c r="J95" i="12"/>
  <c r="I95" i="12"/>
  <c r="H95" i="12"/>
  <c r="G95" i="12"/>
  <c r="C95" i="12"/>
  <c r="L94" i="12"/>
  <c r="K94" i="12"/>
  <c r="J94" i="12"/>
  <c r="I94" i="12"/>
  <c r="H94" i="12"/>
  <c r="G94" i="12"/>
  <c r="C94" i="12"/>
  <c r="L93" i="12"/>
  <c r="K93" i="12"/>
  <c r="J93" i="12"/>
  <c r="I93" i="12"/>
  <c r="H93" i="12"/>
  <c r="G93" i="12"/>
  <c r="C93" i="12"/>
  <c r="L92" i="12"/>
  <c r="K92" i="12"/>
  <c r="J92" i="12"/>
  <c r="I92" i="12"/>
  <c r="H92" i="12"/>
  <c r="G92" i="12"/>
  <c r="C92" i="12"/>
  <c r="L91" i="12"/>
  <c r="K91" i="12"/>
  <c r="J91" i="12"/>
  <c r="I91" i="12"/>
  <c r="H91" i="12"/>
  <c r="G91" i="12"/>
  <c r="C91" i="12"/>
  <c r="L90" i="12"/>
  <c r="K90" i="12"/>
  <c r="J90" i="12"/>
  <c r="I90" i="12"/>
  <c r="H90" i="12"/>
  <c r="G90" i="12"/>
  <c r="C90" i="12"/>
  <c r="L89" i="12"/>
  <c r="K89" i="12"/>
  <c r="J89" i="12"/>
  <c r="I89" i="12"/>
  <c r="H89" i="12"/>
  <c r="G89" i="12"/>
  <c r="C89" i="12"/>
  <c r="L88" i="12"/>
  <c r="K88" i="12"/>
  <c r="J88" i="12"/>
  <c r="I88" i="12"/>
  <c r="H88" i="12"/>
  <c r="G88" i="12"/>
  <c r="C88" i="12"/>
  <c r="L87" i="12"/>
  <c r="K87" i="12"/>
  <c r="J87" i="12"/>
  <c r="I87" i="12"/>
  <c r="H87" i="12"/>
  <c r="G87" i="12"/>
  <c r="C87" i="12"/>
  <c r="L86" i="12"/>
  <c r="K86" i="12"/>
  <c r="J86" i="12"/>
  <c r="I86" i="12"/>
  <c r="H86" i="12"/>
  <c r="G86" i="12"/>
  <c r="C86" i="12"/>
  <c r="L85" i="12"/>
  <c r="K85" i="12"/>
  <c r="J85" i="12"/>
  <c r="I85" i="12"/>
  <c r="H85" i="12"/>
  <c r="G85" i="12"/>
  <c r="C85" i="12"/>
  <c r="L84" i="12"/>
  <c r="K84" i="12"/>
  <c r="J84" i="12"/>
  <c r="I84" i="12"/>
  <c r="H84" i="12"/>
  <c r="G84" i="12"/>
  <c r="C84" i="12"/>
  <c r="L83" i="12"/>
  <c r="K83" i="12"/>
  <c r="J83" i="12"/>
  <c r="I83" i="12"/>
  <c r="H83" i="12"/>
  <c r="G83" i="12"/>
  <c r="C83" i="12"/>
  <c r="L82" i="12"/>
  <c r="K82" i="12"/>
  <c r="J82" i="12"/>
  <c r="I82" i="12"/>
  <c r="H82" i="12"/>
  <c r="G82" i="12"/>
  <c r="C82" i="12"/>
  <c r="L81" i="12"/>
  <c r="K81" i="12"/>
  <c r="J81" i="12"/>
  <c r="I81" i="12"/>
  <c r="H81" i="12"/>
  <c r="G81" i="12"/>
  <c r="C81" i="12"/>
  <c r="L80" i="12"/>
  <c r="K80" i="12"/>
  <c r="J80" i="12"/>
  <c r="I80" i="12"/>
  <c r="H80" i="12"/>
  <c r="G80" i="12"/>
  <c r="C80" i="12"/>
  <c r="L79" i="12"/>
  <c r="K79" i="12"/>
  <c r="J79" i="12"/>
  <c r="I79" i="12"/>
  <c r="H79" i="12"/>
  <c r="G79" i="12"/>
  <c r="C79" i="12"/>
  <c r="L78" i="12"/>
  <c r="K78" i="12"/>
  <c r="J78" i="12"/>
  <c r="I78" i="12"/>
  <c r="H78" i="12"/>
  <c r="G78" i="12"/>
  <c r="C78" i="12"/>
  <c r="L77" i="12"/>
  <c r="K77" i="12"/>
  <c r="J77" i="12"/>
  <c r="I77" i="12"/>
  <c r="H77" i="12"/>
  <c r="G77" i="12"/>
  <c r="C77" i="12"/>
  <c r="L76" i="12"/>
  <c r="K76" i="12"/>
  <c r="J76" i="12"/>
  <c r="I76" i="12"/>
  <c r="H76" i="12"/>
  <c r="G76" i="12"/>
  <c r="C76" i="12"/>
  <c r="L75" i="12"/>
  <c r="K75" i="12"/>
  <c r="J75" i="12"/>
  <c r="I75" i="12"/>
  <c r="H75" i="12"/>
  <c r="G75" i="12"/>
  <c r="C75" i="12"/>
  <c r="L74" i="12"/>
  <c r="K74" i="12"/>
  <c r="J74" i="12"/>
  <c r="I74" i="12"/>
  <c r="H74" i="12"/>
  <c r="G74" i="12"/>
  <c r="C74" i="12"/>
  <c r="L73" i="12"/>
  <c r="K73" i="12"/>
  <c r="J73" i="12"/>
  <c r="I73" i="12"/>
  <c r="H73" i="12"/>
  <c r="G73" i="12"/>
  <c r="C73" i="12"/>
  <c r="L72" i="12"/>
  <c r="K72" i="12"/>
  <c r="J72" i="12"/>
  <c r="I72" i="12"/>
  <c r="H72" i="12"/>
  <c r="G72" i="12"/>
  <c r="C72" i="12"/>
  <c r="L71" i="12"/>
  <c r="K71" i="12"/>
  <c r="J71" i="12"/>
  <c r="I71" i="12"/>
  <c r="H71" i="12"/>
  <c r="G71" i="12"/>
  <c r="C71" i="12"/>
  <c r="L70" i="12"/>
  <c r="K70" i="12"/>
  <c r="J70" i="12"/>
  <c r="I70" i="12"/>
  <c r="H70" i="12"/>
  <c r="G70" i="12"/>
  <c r="C70" i="12"/>
  <c r="L69" i="12"/>
  <c r="K69" i="12"/>
  <c r="J69" i="12"/>
  <c r="I69" i="12"/>
  <c r="H69" i="12"/>
  <c r="G69" i="12"/>
  <c r="C69" i="12"/>
  <c r="L68" i="12"/>
  <c r="K68" i="12"/>
  <c r="J68" i="12"/>
  <c r="I68" i="12"/>
  <c r="H68" i="12"/>
  <c r="G68" i="12"/>
  <c r="C68" i="12"/>
  <c r="L67" i="12"/>
  <c r="K67" i="12"/>
  <c r="J67" i="12"/>
  <c r="I67" i="12"/>
  <c r="H67" i="12"/>
  <c r="G67" i="12"/>
  <c r="C67" i="12"/>
  <c r="L66" i="12"/>
  <c r="K66" i="12"/>
  <c r="J66" i="12"/>
  <c r="I66" i="12"/>
  <c r="H66" i="12"/>
  <c r="G66" i="12"/>
  <c r="C66" i="12"/>
  <c r="L65" i="12"/>
  <c r="K65" i="12"/>
  <c r="J65" i="12"/>
  <c r="I65" i="12"/>
  <c r="H65" i="12"/>
  <c r="G65" i="12"/>
  <c r="C65" i="12"/>
  <c r="L64" i="12"/>
  <c r="K64" i="12"/>
  <c r="J64" i="12"/>
  <c r="I64" i="12"/>
  <c r="H64" i="12"/>
  <c r="G64" i="12"/>
  <c r="C64" i="12"/>
  <c r="L63" i="12"/>
  <c r="K63" i="12"/>
  <c r="J63" i="12"/>
  <c r="I63" i="12"/>
  <c r="H63" i="12"/>
  <c r="G63" i="12"/>
  <c r="C63" i="12"/>
  <c r="L62" i="12"/>
  <c r="K62" i="12"/>
  <c r="J62" i="12"/>
  <c r="I62" i="12"/>
  <c r="H62" i="12"/>
  <c r="G62" i="12"/>
  <c r="C62" i="12"/>
  <c r="L61" i="12"/>
  <c r="K61" i="12"/>
  <c r="J61" i="12"/>
  <c r="I61" i="12"/>
  <c r="H61" i="12"/>
  <c r="G61" i="12"/>
  <c r="C61" i="12"/>
  <c r="L60" i="12"/>
  <c r="K60" i="12"/>
  <c r="J60" i="12"/>
  <c r="I60" i="12"/>
  <c r="H60" i="12"/>
  <c r="G60" i="12"/>
  <c r="C60" i="12"/>
  <c r="L59" i="12"/>
  <c r="K59" i="12"/>
  <c r="J59" i="12"/>
  <c r="I59" i="12"/>
  <c r="H59" i="12"/>
  <c r="G59" i="12"/>
  <c r="C59" i="12"/>
  <c r="L58" i="12"/>
  <c r="K58" i="12"/>
  <c r="J58" i="12"/>
  <c r="I58" i="12"/>
  <c r="H58" i="12"/>
  <c r="G58" i="12"/>
  <c r="C58" i="12"/>
  <c r="L57" i="12"/>
  <c r="K57" i="12"/>
  <c r="J57" i="12"/>
  <c r="I57" i="12"/>
  <c r="H57" i="12"/>
  <c r="G57" i="12"/>
  <c r="C57" i="12"/>
  <c r="L56" i="12"/>
  <c r="K56" i="12"/>
  <c r="J56" i="12"/>
  <c r="I56" i="12"/>
  <c r="H56" i="12"/>
  <c r="G56" i="12"/>
  <c r="C56" i="12"/>
  <c r="L55" i="12"/>
  <c r="K55" i="12"/>
  <c r="J55" i="12"/>
  <c r="I55" i="12"/>
  <c r="H55" i="12"/>
  <c r="G55" i="12"/>
  <c r="C55" i="12"/>
  <c r="L54" i="12"/>
  <c r="K54" i="12"/>
  <c r="J54" i="12"/>
  <c r="I54" i="12"/>
  <c r="H54" i="12"/>
  <c r="G54" i="12"/>
  <c r="C54" i="12"/>
  <c r="L53" i="12"/>
  <c r="K53" i="12"/>
  <c r="J53" i="12"/>
  <c r="I53" i="12"/>
  <c r="H53" i="12"/>
  <c r="G53" i="12"/>
  <c r="C53" i="12"/>
  <c r="L52" i="12"/>
  <c r="K52" i="12"/>
  <c r="J52" i="12"/>
  <c r="I52" i="12"/>
  <c r="H52" i="12"/>
  <c r="G52" i="12"/>
  <c r="C52" i="12"/>
  <c r="L51" i="12"/>
  <c r="K51" i="12"/>
  <c r="J51" i="12"/>
  <c r="I51" i="12"/>
  <c r="H51" i="12"/>
  <c r="G51" i="12"/>
  <c r="C51" i="12"/>
  <c r="L50" i="12"/>
  <c r="K50" i="12"/>
  <c r="J50" i="12"/>
  <c r="I50" i="12"/>
  <c r="H50" i="12"/>
  <c r="G50" i="12"/>
  <c r="C50" i="12"/>
  <c r="L49" i="12"/>
  <c r="K49" i="12"/>
  <c r="J49" i="12"/>
  <c r="I49" i="12"/>
  <c r="H49" i="12"/>
  <c r="G49" i="12"/>
  <c r="C49" i="12"/>
  <c r="L48" i="12"/>
  <c r="K48" i="12"/>
  <c r="J48" i="12"/>
  <c r="I48" i="12"/>
  <c r="H48" i="12"/>
  <c r="G48" i="12"/>
  <c r="C48" i="12"/>
  <c r="L47" i="12"/>
  <c r="K47" i="12"/>
  <c r="J47" i="12"/>
  <c r="I47" i="12"/>
  <c r="H47" i="12"/>
  <c r="G47" i="12"/>
  <c r="C47" i="12"/>
  <c r="L46" i="12"/>
  <c r="K46" i="12"/>
  <c r="J46" i="12"/>
  <c r="I46" i="12"/>
  <c r="H46" i="12"/>
  <c r="G46" i="12"/>
  <c r="C46" i="12"/>
  <c r="L45" i="12"/>
  <c r="K45" i="12"/>
  <c r="J45" i="12"/>
  <c r="I45" i="12"/>
  <c r="H45" i="12"/>
  <c r="G45" i="12"/>
  <c r="C45" i="12"/>
  <c r="L44" i="12"/>
  <c r="K44" i="12"/>
  <c r="J44" i="12"/>
  <c r="I44" i="12"/>
  <c r="H44" i="12"/>
  <c r="G44" i="12"/>
  <c r="C44" i="12"/>
  <c r="L43" i="12"/>
  <c r="K43" i="12"/>
  <c r="J43" i="12"/>
  <c r="I43" i="12"/>
  <c r="H43" i="12"/>
  <c r="G43" i="12"/>
  <c r="C43" i="12"/>
  <c r="L42" i="12"/>
  <c r="K42" i="12"/>
  <c r="J42" i="12"/>
  <c r="I42" i="12"/>
  <c r="H42" i="12"/>
  <c r="G42" i="12"/>
  <c r="C42" i="12"/>
  <c r="L41" i="12"/>
  <c r="K41" i="12"/>
  <c r="J41" i="12"/>
  <c r="I41" i="12"/>
  <c r="H41" i="12"/>
  <c r="G41" i="12"/>
  <c r="C41" i="12"/>
  <c r="L40" i="12"/>
  <c r="K40" i="12"/>
  <c r="J40" i="12"/>
  <c r="I40" i="12"/>
  <c r="H40" i="12"/>
  <c r="G40" i="12"/>
  <c r="C40" i="12"/>
  <c r="L39" i="12"/>
  <c r="K39" i="12"/>
  <c r="J39" i="12"/>
  <c r="I39" i="12"/>
  <c r="H39" i="12"/>
  <c r="G39" i="12"/>
  <c r="C39" i="12"/>
  <c r="L38" i="12"/>
  <c r="K38" i="12"/>
  <c r="J38" i="12"/>
  <c r="I38" i="12"/>
  <c r="H38" i="12"/>
  <c r="G38" i="12"/>
  <c r="C38" i="12"/>
  <c r="L37" i="12"/>
  <c r="K37" i="12"/>
  <c r="J37" i="12"/>
  <c r="I37" i="12"/>
  <c r="H37" i="12"/>
  <c r="G37" i="12"/>
  <c r="C37" i="12"/>
  <c r="L36" i="12"/>
  <c r="K36" i="12"/>
  <c r="J36" i="12"/>
  <c r="I36" i="12"/>
  <c r="H36" i="12"/>
  <c r="G36" i="12"/>
  <c r="C36" i="12"/>
  <c r="L35" i="12"/>
  <c r="K35" i="12"/>
  <c r="J35" i="12"/>
  <c r="I35" i="12"/>
  <c r="H35" i="12"/>
  <c r="G35" i="12"/>
  <c r="C35" i="12"/>
  <c r="L34" i="12"/>
  <c r="K34" i="12"/>
  <c r="J34" i="12"/>
  <c r="I34" i="12"/>
  <c r="H34" i="12"/>
  <c r="G34" i="12"/>
  <c r="C34" i="12"/>
  <c r="L33" i="12"/>
  <c r="K33" i="12"/>
  <c r="J33" i="12"/>
  <c r="I33" i="12"/>
  <c r="H33" i="12"/>
  <c r="G33" i="12"/>
  <c r="C33" i="12"/>
  <c r="L32" i="12"/>
  <c r="K32" i="12"/>
  <c r="J32" i="12"/>
  <c r="I32" i="12"/>
  <c r="H32" i="12"/>
  <c r="G32" i="12"/>
  <c r="C32" i="12"/>
  <c r="L31" i="12"/>
  <c r="K31" i="12"/>
  <c r="J31" i="12"/>
  <c r="I31" i="12"/>
  <c r="H31" i="12"/>
  <c r="G31" i="12"/>
  <c r="C31" i="12"/>
  <c r="L30" i="12"/>
  <c r="K30" i="12"/>
  <c r="J30" i="12"/>
  <c r="I30" i="12"/>
  <c r="H30" i="12"/>
  <c r="G30" i="12"/>
  <c r="C30" i="12"/>
  <c r="L29" i="12"/>
  <c r="K29" i="12"/>
  <c r="J29" i="12"/>
  <c r="I29" i="12"/>
  <c r="H29" i="12"/>
  <c r="G29" i="12"/>
  <c r="C29" i="12"/>
  <c r="L28" i="12"/>
  <c r="K28" i="12"/>
  <c r="J28" i="12"/>
  <c r="I28" i="12"/>
  <c r="H28" i="12"/>
  <c r="G28" i="12"/>
  <c r="C28" i="12"/>
  <c r="L27" i="12"/>
  <c r="K27" i="12"/>
  <c r="J27" i="12"/>
  <c r="I27" i="12"/>
  <c r="H27" i="12"/>
  <c r="G27" i="12"/>
  <c r="C27" i="12"/>
  <c r="L26" i="12"/>
  <c r="K26" i="12"/>
  <c r="J26" i="12"/>
  <c r="I26" i="12"/>
  <c r="H26" i="12"/>
  <c r="G26" i="12"/>
  <c r="C26" i="12"/>
  <c r="L25" i="12"/>
  <c r="K25" i="12"/>
  <c r="J25" i="12"/>
  <c r="I25" i="12"/>
  <c r="H25" i="12"/>
  <c r="G25" i="12"/>
  <c r="C25" i="12"/>
  <c r="L24" i="12"/>
  <c r="K24" i="12"/>
  <c r="J24" i="12"/>
  <c r="I24" i="12"/>
  <c r="H24" i="12"/>
  <c r="G24" i="12"/>
  <c r="C24" i="12"/>
  <c r="L23" i="12"/>
  <c r="K23" i="12"/>
  <c r="J23" i="12"/>
  <c r="I23" i="12"/>
  <c r="H23" i="12"/>
  <c r="G23" i="12"/>
  <c r="C23" i="12"/>
  <c r="L22" i="12"/>
  <c r="K22" i="12"/>
  <c r="J22" i="12"/>
  <c r="I22" i="12"/>
  <c r="H22" i="12"/>
  <c r="G22" i="12"/>
  <c r="C22" i="12"/>
  <c r="L21" i="12"/>
  <c r="K21" i="12"/>
  <c r="J21" i="12"/>
  <c r="I21" i="12"/>
  <c r="H21" i="12"/>
  <c r="G21" i="12"/>
  <c r="C21" i="12"/>
  <c r="L20" i="12"/>
  <c r="K20" i="12"/>
  <c r="J20" i="12"/>
  <c r="I20" i="12"/>
  <c r="H20" i="12"/>
  <c r="G20" i="12"/>
  <c r="C20" i="12"/>
  <c r="L19" i="12"/>
  <c r="K19" i="12"/>
  <c r="J19" i="12"/>
  <c r="I19" i="12"/>
  <c r="H19" i="12"/>
  <c r="G19" i="12"/>
  <c r="C19" i="12"/>
  <c r="L18" i="12"/>
  <c r="K18" i="12"/>
  <c r="J18" i="12"/>
  <c r="I18" i="12"/>
  <c r="H18" i="12"/>
  <c r="G18" i="12"/>
  <c r="C18" i="12"/>
  <c r="L17" i="12"/>
  <c r="K17" i="12"/>
  <c r="J17" i="12"/>
  <c r="I17" i="12"/>
  <c r="H17" i="12"/>
  <c r="G17" i="12"/>
  <c r="C17" i="12"/>
  <c r="L16" i="12"/>
  <c r="K16" i="12"/>
  <c r="J16" i="12"/>
  <c r="I16" i="12"/>
  <c r="H16" i="12"/>
  <c r="G16" i="12"/>
  <c r="C16" i="12"/>
  <c r="L15" i="12"/>
  <c r="K15" i="12"/>
  <c r="J15" i="12"/>
  <c r="I15" i="12"/>
  <c r="H15" i="12"/>
  <c r="G15" i="12"/>
  <c r="C15" i="12"/>
  <c r="L14" i="12"/>
  <c r="K14" i="12"/>
  <c r="J14" i="12"/>
  <c r="I14" i="12"/>
  <c r="H14" i="12"/>
  <c r="G14" i="12"/>
  <c r="C14" i="12"/>
  <c r="L13" i="12"/>
  <c r="K13" i="12"/>
  <c r="J13" i="12"/>
  <c r="I13" i="12"/>
  <c r="H13" i="12"/>
  <c r="G13" i="12"/>
  <c r="C13" i="12"/>
  <c r="L12" i="12"/>
  <c r="K12" i="12"/>
  <c r="J12" i="12"/>
  <c r="I12" i="12"/>
  <c r="H12" i="12"/>
  <c r="G12" i="12"/>
  <c r="C12" i="12"/>
  <c r="L11" i="12"/>
  <c r="K11" i="12"/>
  <c r="J11" i="12"/>
  <c r="I11" i="12"/>
  <c r="H11" i="12"/>
  <c r="G11" i="12"/>
  <c r="C11" i="12"/>
  <c r="L10" i="12"/>
  <c r="K10" i="12"/>
  <c r="J10" i="12"/>
  <c r="I10" i="12"/>
  <c r="H10" i="12"/>
  <c r="G10" i="12"/>
  <c r="C10" i="12"/>
  <c r="L9" i="12"/>
  <c r="K9" i="12"/>
  <c r="J9" i="12"/>
  <c r="I9" i="12"/>
  <c r="H9" i="12"/>
  <c r="G9" i="12"/>
  <c r="C9" i="12"/>
  <c r="C2" i="12"/>
  <c r="C3" i="12"/>
  <c r="C4" i="12"/>
  <c r="C5" i="12"/>
  <c r="G2" i="12"/>
  <c r="H2" i="12"/>
  <c r="I2" i="12"/>
  <c r="J2" i="12"/>
  <c r="K2" i="12"/>
  <c r="L2" i="12"/>
  <c r="G3" i="12"/>
  <c r="H3" i="12"/>
  <c r="I3" i="12"/>
  <c r="J3" i="12"/>
  <c r="K3" i="12"/>
  <c r="L3" i="12"/>
  <c r="G4" i="12"/>
  <c r="H4" i="12"/>
  <c r="I4" i="12"/>
  <c r="J4" i="12"/>
  <c r="K4" i="12"/>
  <c r="L4" i="12"/>
  <c r="G5" i="12"/>
  <c r="H5" i="12"/>
  <c r="I5" i="12"/>
  <c r="J5" i="12"/>
  <c r="K5" i="12"/>
  <c r="L5" i="12"/>
  <c r="C6" i="12"/>
  <c r="G6" i="12"/>
  <c r="H6" i="12"/>
  <c r="I6" i="12"/>
  <c r="J6" i="12"/>
  <c r="K6" i="12"/>
  <c r="L6" i="12"/>
  <c r="C7" i="12"/>
  <c r="G7" i="12"/>
  <c r="H7" i="12"/>
  <c r="I7" i="12"/>
  <c r="J7" i="12"/>
  <c r="K7" i="12"/>
  <c r="L7" i="12"/>
  <c r="C8" i="12"/>
  <c r="G8" i="12"/>
  <c r="H8" i="12"/>
  <c r="I8" i="12"/>
  <c r="J8" i="12"/>
  <c r="K8" i="12"/>
  <c r="L8" i="12"/>
  <c r="BX3" i="12"/>
  <c r="BX4" i="12"/>
  <c r="BX5" i="12"/>
  <c r="BX6" i="12"/>
  <c r="BX7" i="12"/>
  <c r="BX8" i="12"/>
  <c r="BW3" i="12"/>
  <c r="BW4" i="12"/>
  <c r="BW5" i="12"/>
  <c r="BW6" i="12"/>
  <c r="BW7" i="12"/>
  <c r="BW8" i="12"/>
  <c r="BV3" i="12"/>
  <c r="BV4" i="12"/>
  <c r="BV5" i="12"/>
  <c r="BV6" i="12"/>
  <c r="BV7" i="12"/>
  <c r="BV8" i="12"/>
  <c r="BU3" i="12"/>
  <c r="BU4" i="12"/>
  <c r="BU5" i="12"/>
  <c r="BU6" i="12"/>
  <c r="BU7" i="12"/>
  <c r="BU8" i="12"/>
  <c r="BT3" i="12"/>
  <c r="BT4" i="12"/>
  <c r="BT5" i="12"/>
  <c r="BT6" i="12"/>
  <c r="BT7" i="12"/>
  <c r="BT8" i="12"/>
  <c r="BS3" i="12"/>
  <c r="BS4" i="12"/>
  <c r="BS5" i="12"/>
  <c r="BS6" i="12"/>
  <c r="BS7" i="12"/>
  <c r="BS8" i="12"/>
  <c r="BR3" i="12"/>
  <c r="BR4" i="12"/>
  <c r="BR5" i="12"/>
  <c r="BR6" i="12"/>
  <c r="BR7" i="12"/>
  <c r="BR8" i="12"/>
  <c r="BQ3" i="12"/>
  <c r="BQ4" i="12"/>
  <c r="BQ5" i="12"/>
  <c r="BQ6" i="12"/>
  <c r="BQ7" i="12"/>
  <c r="BQ8" i="12"/>
  <c r="BP3" i="12"/>
  <c r="BP4" i="12"/>
  <c r="BP5" i="12"/>
  <c r="BP6" i="12"/>
  <c r="BP7" i="12"/>
  <c r="BP8" i="12"/>
  <c r="BO3" i="12"/>
  <c r="BO4" i="12"/>
  <c r="BO5" i="12"/>
  <c r="BO6" i="12"/>
  <c r="BO7" i="12"/>
  <c r="BO8" i="12"/>
  <c r="BN3" i="12"/>
  <c r="BN4" i="12"/>
  <c r="BN5" i="12"/>
  <c r="BN6" i="12"/>
  <c r="BN7" i="12"/>
  <c r="BN8" i="12"/>
  <c r="BM3" i="12"/>
  <c r="BM4" i="12"/>
  <c r="BM5" i="12"/>
  <c r="BM6" i="12"/>
  <c r="BM7" i="12"/>
  <c r="BM8" i="12"/>
  <c r="BL3" i="12"/>
  <c r="BL4" i="12"/>
  <c r="BL5" i="12"/>
  <c r="BL6" i="12"/>
  <c r="BL7" i="12"/>
  <c r="BL8" i="12"/>
  <c r="BK3" i="12"/>
  <c r="BK4" i="12"/>
  <c r="BK5" i="12"/>
  <c r="BK6" i="12"/>
  <c r="BK7" i="12"/>
  <c r="BK8" i="12"/>
  <c r="BJ3" i="12"/>
  <c r="BJ4" i="12"/>
  <c r="BJ5" i="12"/>
  <c r="BJ6" i="12"/>
  <c r="BJ7" i="12"/>
  <c r="BJ8" i="12"/>
  <c r="BI3" i="12"/>
  <c r="BI4" i="12"/>
  <c r="BI5" i="12"/>
  <c r="BI6" i="12"/>
  <c r="BI7" i="12"/>
  <c r="BI8" i="12"/>
  <c r="BH3" i="12"/>
  <c r="BH4" i="12"/>
  <c r="BH5" i="12"/>
  <c r="BH6" i="12"/>
  <c r="BH7" i="12"/>
  <c r="BH8" i="12"/>
  <c r="BG3" i="12"/>
  <c r="BG4" i="12"/>
  <c r="BG5" i="12"/>
  <c r="BG6" i="12"/>
  <c r="BG7" i="12"/>
  <c r="BG8" i="12"/>
  <c r="BF3" i="12"/>
  <c r="BF4" i="12"/>
  <c r="BF5" i="12"/>
  <c r="BF6" i="12"/>
  <c r="BF7" i="12"/>
  <c r="BF8" i="12"/>
  <c r="BE3" i="12"/>
  <c r="BE4" i="12"/>
  <c r="BE5" i="12"/>
  <c r="BE6" i="12"/>
  <c r="BE7" i="12"/>
  <c r="BE8" i="12"/>
  <c r="BD3" i="12"/>
  <c r="BD4" i="12"/>
  <c r="BD5" i="12"/>
  <c r="BD6" i="12"/>
  <c r="BD7" i="12"/>
  <c r="BD8" i="12"/>
  <c r="BC3" i="12"/>
  <c r="BC4" i="12"/>
  <c r="BC5" i="12"/>
  <c r="BC6" i="12"/>
  <c r="BC7" i="12"/>
  <c r="BC8" i="12"/>
  <c r="BB3" i="12"/>
  <c r="BB4" i="12"/>
  <c r="BB5" i="12"/>
  <c r="BB6" i="12"/>
  <c r="BB7" i="12"/>
  <c r="BB8" i="12"/>
  <c r="BA3" i="12"/>
  <c r="BA4" i="12"/>
  <c r="BA5" i="12"/>
  <c r="BA6" i="12"/>
  <c r="BA7" i="12"/>
  <c r="BA8" i="12"/>
  <c r="AZ3" i="12"/>
  <c r="AZ4" i="12"/>
  <c r="AZ5" i="12"/>
  <c r="AZ6" i="12"/>
  <c r="AZ7" i="12"/>
  <c r="AZ8" i="12"/>
  <c r="AY3" i="12"/>
  <c r="AY4" i="12"/>
  <c r="AY5" i="12"/>
  <c r="AY6" i="12"/>
  <c r="AY7" i="12"/>
  <c r="AY8" i="12"/>
  <c r="AX3" i="12"/>
  <c r="AX4" i="12"/>
  <c r="AX5" i="12"/>
  <c r="AX6" i="12"/>
  <c r="AX7" i="12"/>
  <c r="AX8" i="12"/>
  <c r="AW3" i="12"/>
  <c r="AW4" i="12"/>
  <c r="AW5" i="12"/>
  <c r="AW6" i="12"/>
  <c r="AW7" i="12"/>
  <c r="AW8" i="12"/>
  <c r="AV3" i="12"/>
  <c r="AV4" i="12"/>
  <c r="AV5" i="12"/>
  <c r="AV6" i="12"/>
  <c r="AV7" i="12"/>
  <c r="AV8" i="12"/>
  <c r="AU3" i="12"/>
  <c r="AU4" i="12"/>
  <c r="AU5" i="12"/>
  <c r="AU6" i="12"/>
  <c r="AU7" i="12"/>
  <c r="AU8" i="12"/>
  <c r="AT3" i="12"/>
  <c r="AT4" i="12"/>
  <c r="AT5" i="12"/>
  <c r="AT6" i="12"/>
  <c r="AT7" i="12"/>
  <c r="AT8" i="12"/>
  <c r="AS3" i="12"/>
  <c r="AS4" i="12"/>
  <c r="AS5" i="12"/>
  <c r="AS6" i="12"/>
  <c r="AS7" i="12"/>
  <c r="AS8" i="12"/>
  <c r="AR3" i="12"/>
  <c r="AR4" i="12"/>
  <c r="AR5" i="12"/>
  <c r="AR6" i="12"/>
  <c r="AR7" i="12"/>
  <c r="AR8" i="12"/>
  <c r="AQ3" i="12"/>
  <c r="AQ4" i="12"/>
  <c r="AQ5" i="12"/>
  <c r="AQ6" i="12"/>
  <c r="AQ7" i="12"/>
  <c r="AQ8" i="12"/>
  <c r="AP3" i="12"/>
  <c r="AP4" i="12"/>
  <c r="AP5" i="12"/>
  <c r="AP6" i="12"/>
  <c r="AP7" i="12"/>
  <c r="AP8" i="12"/>
  <c r="AO3" i="12"/>
  <c r="AO4" i="12"/>
  <c r="AO5" i="12"/>
  <c r="AO6" i="12"/>
  <c r="AO7" i="12"/>
  <c r="AO8" i="12"/>
  <c r="AN3" i="12"/>
  <c r="AN4" i="12"/>
  <c r="AN5" i="12"/>
  <c r="AN6" i="12"/>
  <c r="AN7" i="12"/>
  <c r="AN8" i="12"/>
  <c r="AM3" i="12"/>
  <c r="AM4" i="12"/>
  <c r="AM5" i="12"/>
  <c r="AM6" i="12"/>
  <c r="AM7" i="12"/>
  <c r="AM8" i="12"/>
  <c r="AL3" i="12"/>
  <c r="AL4" i="12"/>
  <c r="AL5" i="12"/>
  <c r="AL6" i="12"/>
  <c r="AL7" i="12"/>
  <c r="AL8" i="12"/>
  <c r="AK3" i="12"/>
  <c r="AK4" i="12"/>
  <c r="AK5" i="12"/>
  <c r="AK6" i="12"/>
  <c r="AK7" i="12"/>
  <c r="AK8" i="12"/>
  <c r="AJ3" i="12"/>
  <c r="AJ4" i="12"/>
  <c r="AJ5" i="12"/>
  <c r="AJ6" i="12"/>
  <c r="AJ7" i="12"/>
  <c r="AJ8" i="12"/>
  <c r="AI3" i="12"/>
  <c r="AI4" i="12"/>
  <c r="AI5" i="12"/>
  <c r="AI6" i="12"/>
  <c r="AI7" i="12"/>
  <c r="AI8" i="12"/>
  <c r="AH3" i="12"/>
  <c r="AH4" i="12"/>
  <c r="AH5" i="12"/>
  <c r="AH6" i="12"/>
  <c r="AH7" i="12"/>
  <c r="AH8" i="12"/>
  <c r="AG3" i="12"/>
  <c r="AG4" i="12"/>
  <c r="AG5" i="12"/>
  <c r="AG6" i="12"/>
  <c r="AG7" i="12"/>
  <c r="AG8" i="12"/>
  <c r="AF3" i="12"/>
  <c r="AF4" i="12"/>
  <c r="AF5" i="12"/>
  <c r="AF6" i="12"/>
  <c r="AF7" i="12"/>
  <c r="AF8" i="12"/>
  <c r="AE3" i="12"/>
  <c r="AE4" i="12"/>
  <c r="AE5" i="12"/>
  <c r="AE6" i="12"/>
  <c r="AE7" i="12"/>
  <c r="AE8" i="12"/>
  <c r="AD3" i="12"/>
  <c r="AD4" i="12"/>
  <c r="AD5" i="12"/>
  <c r="AD6" i="12"/>
  <c r="AD7" i="12"/>
  <c r="AD8" i="12"/>
  <c r="AC3" i="12"/>
  <c r="AC4" i="12"/>
  <c r="AC5" i="12"/>
  <c r="AC6" i="12"/>
  <c r="AC7" i="12"/>
  <c r="AC8" i="12"/>
  <c r="AB3" i="12"/>
  <c r="AB4" i="12"/>
  <c r="AB5" i="12"/>
  <c r="AB6" i="12"/>
  <c r="AB7" i="12"/>
  <c r="AB8" i="12"/>
  <c r="AA3" i="12"/>
  <c r="AA4" i="12"/>
  <c r="AA5" i="12"/>
  <c r="AA6" i="12"/>
  <c r="AA7" i="12"/>
  <c r="AA8" i="12"/>
  <c r="Z3" i="12"/>
  <c r="Z4" i="12"/>
  <c r="Z5" i="12"/>
  <c r="Z6" i="12"/>
  <c r="Z7" i="12"/>
  <c r="Z8" i="12"/>
  <c r="Y3" i="12"/>
  <c r="Y4" i="12"/>
  <c r="Y5" i="12"/>
  <c r="Y6" i="12"/>
  <c r="Y7" i="12"/>
  <c r="Y8" i="12"/>
  <c r="X3" i="12"/>
  <c r="X4" i="12"/>
  <c r="X5" i="12"/>
  <c r="X6" i="12"/>
  <c r="X7" i="12"/>
  <c r="X8" i="12"/>
  <c r="V8" i="12"/>
  <c r="U8" i="12"/>
  <c r="T8" i="12"/>
  <c r="S8" i="12"/>
  <c r="R8" i="12"/>
  <c r="Q8" i="12"/>
  <c r="O8" i="12"/>
  <c r="N8" i="12"/>
  <c r="V7" i="12"/>
  <c r="U7" i="12"/>
  <c r="T7" i="12"/>
  <c r="S7" i="12"/>
  <c r="R7" i="12"/>
  <c r="Q7" i="12"/>
  <c r="O7" i="12"/>
  <c r="N7" i="12"/>
  <c r="V6" i="12"/>
  <c r="U6" i="12"/>
  <c r="T6" i="12"/>
  <c r="S6" i="12"/>
  <c r="R6" i="12"/>
  <c r="Q6" i="12"/>
  <c r="O6" i="12"/>
  <c r="N6" i="12"/>
  <c r="M6" i="12"/>
  <c r="V5" i="12"/>
  <c r="U5" i="12"/>
  <c r="T5" i="12"/>
  <c r="S5" i="12"/>
  <c r="R5" i="12"/>
  <c r="Q5" i="12"/>
  <c r="O5" i="12"/>
  <c r="N5" i="12"/>
  <c r="M5" i="12"/>
  <c r="V4" i="12"/>
  <c r="U4" i="12"/>
  <c r="T4" i="12"/>
  <c r="S4" i="12"/>
  <c r="R4" i="12"/>
  <c r="Q4" i="12"/>
  <c r="O4" i="12"/>
  <c r="N4" i="12"/>
  <c r="V3" i="12"/>
  <c r="U3" i="12"/>
  <c r="T3" i="12"/>
  <c r="S3" i="12"/>
  <c r="R3" i="12"/>
  <c r="Q3" i="12"/>
  <c r="O3" i="12"/>
  <c r="N3" i="12"/>
  <c r="W2" i="12"/>
  <c r="I3" i="6"/>
  <c r="J3" i="6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0" i="6"/>
  <c r="J40" i="6"/>
  <c r="I41" i="6"/>
  <c r="J41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6" i="6"/>
  <c r="J56" i="6"/>
  <c r="I57" i="6"/>
  <c r="J57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1" i="6"/>
  <c r="J71" i="6"/>
  <c r="I72" i="6"/>
  <c r="J72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I87" i="6"/>
  <c r="J87" i="6"/>
  <c r="I88" i="6"/>
  <c r="J88" i="6"/>
  <c r="I89" i="6"/>
  <c r="J89" i="6"/>
  <c r="I90" i="6"/>
  <c r="J90" i="6"/>
  <c r="I91" i="6"/>
  <c r="J91" i="6"/>
  <c r="I92" i="6"/>
  <c r="J92" i="6"/>
  <c r="I93" i="6"/>
  <c r="J93" i="6"/>
  <c r="I94" i="6"/>
  <c r="J94" i="6"/>
  <c r="I95" i="6"/>
  <c r="J95" i="6"/>
  <c r="I96" i="6"/>
  <c r="J96" i="6"/>
  <c r="I97" i="6"/>
  <c r="J97" i="6"/>
  <c r="I98" i="6"/>
  <c r="J98" i="6"/>
  <c r="I99" i="6"/>
  <c r="J99" i="6"/>
  <c r="I100" i="6"/>
  <c r="J100" i="6"/>
  <c r="I101" i="6"/>
  <c r="J101" i="6"/>
  <c r="I102" i="6"/>
  <c r="J102" i="6"/>
  <c r="I103" i="6"/>
  <c r="J103" i="6"/>
  <c r="I104" i="6"/>
  <c r="J104" i="6"/>
  <c r="I105" i="6"/>
  <c r="J105" i="6"/>
  <c r="I106" i="6"/>
  <c r="J106" i="6"/>
  <c r="I107" i="6"/>
  <c r="J107" i="6"/>
  <c r="I108" i="6"/>
  <c r="J108" i="6"/>
  <c r="I109" i="6"/>
  <c r="J109" i="6"/>
  <c r="I110" i="6"/>
  <c r="J110" i="6"/>
  <c r="I111" i="6"/>
  <c r="J111" i="6"/>
  <c r="I112" i="6"/>
  <c r="J112" i="6"/>
  <c r="I113" i="6"/>
  <c r="J113" i="6"/>
  <c r="I114" i="6"/>
  <c r="J114" i="6"/>
  <c r="I115" i="6"/>
  <c r="J115" i="6"/>
  <c r="I116" i="6"/>
  <c r="J116" i="6"/>
  <c r="I117" i="6"/>
  <c r="J117" i="6"/>
  <c r="I118" i="6"/>
  <c r="J118" i="6"/>
  <c r="I119" i="6"/>
  <c r="J119" i="6"/>
  <c r="I120" i="6"/>
  <c r="J120" i="6"/>
  <c r="I121" i="6"/>
  <c r="J121" i="6"/>
  <c r="I122" i="6"/>
  <c r="J122" i="6"/>
  <c r="I123" i="6"/>
  <c r="J123" i="6"/>
  <c r="I124" i="6"/>
  <c r="J124" i="6"/>
  <c r="I125" i="6"/>
  <c r="J125" i="6"/>
  <c r="I126" i="6"/>
  <c r="J126" i="6"/>
  <c r="I127" i="6"/>
  <c r="J127" i="6"/>
  <c r="I128" i="6"/>
  <c r="J128" i="6"/>
  <c r="I129" i="6"/>
  <c r="J129" i="6"/>
  <c r="I130" i="6"/>
  <c r="J130" i="6"/>
  <c r="I131" i="6"/>
  <c r="J131" i="6"/>
  <c r="I132" i="6"/>
  <c r="J132" i="6"/>
  <c r="I133" i="6"/>
  <c r="J133" i="6"/>
  <c r="I134" i="6"/>
  <c r="J134" i="6"/>
  <c r="I135" i="6"/>
  <c r="J135" i="6"/>
  <c r="I136" i="6"/>
  <c r="J136" i="6"/>
  <c r="I137" i="6"/>
  <c r="J137" i="6"/>
  <c r="I138" i="6"/>
  <c r="J138" i="6"/>
  <c r="I139" i="6"/>
  <c r="J139" i="6"/>
  <c r="I140" i="6"/>
  <c r="J140" i="6"/>
  <c r="I141" i="6"/>
  <c r="J141" i="6"/>
  <c r="I142" i="6"/>
  <c r="J142" i="6"/>
  <c r="I143" i="6"/>
  <c r="J143" i="6"/>
  <c r="I144" i="6"/>
  <c r="J144" i="6"/>
  <c r="I145" i="6"/>
  <c r="J145" i="6"/>
  <c r="I146" i="6"/>
  <c r="J146" i="6"/>
  <c r="I147" i="6"/>
  <c r="J147" i="6"/>
  <c r="I148" i="6"/>
  <c r="J148" i="6"/>
  <c r="I149" i="6"/>
  <c r="J149" i="6"/>
  <c r="I150" i="6"/>
  <c r="J150" i="6"/>
  <c r="I151" i="6"/>
  <c r="J151" i="6"/>
  <c r="I152" i="6"/>
  <c r="J152" i="6"/>
  <c r="I153" i="6"/>
  <c r="J153" i="6"/>
  <c r="I154" i="6"/>
  <c r="J154" i="6"/>
  <c r="I155" i="6"/>
  <c r="J155" i="6"/>
  <c r="I156" i="6"/>
  <c r="J156" i="6"/>
  <c r="I157" i="6"/>
  <c r="J157" i="6"/>
  <c r="I158" i="6"/>
  <c r="J158" i="6"/>
  <c r="I159" i="6"/>
  <c r="J159" i="6"/>
  <c r="I160" i="6"/>
  <c r="J160" i="6"/>
  <c r="I161" i="6"/>
  <c r="J161" i="6"/>
  <c r="I162" i="6"/>
  <c r="J162" i="6"/>
  <c r="I163" i="6"/>
  <c r="J163" i="6"/>
  <c r="I164" i="6"/>
  <c r="J164" i="6"/>
  <c r="I165" i="6"/>
  <c r="J165" i="6"/>
  <c r="I166" i="6"/>
  <c r="J166" i="6"/>
  <c r="I167" i="6"/>
  <c r="J167" i="6"/>
  <c r="I168" i="6"/>
  <c r="J168" i="6"/>
  <c r="I169" i="6"/>
  <c r="J169" i="6"/>
  <c r="I170" i="6"/>
  <c r="J170" i="6"/>
  <c r="I171" i="6"/>
  <c r="J171" i="6"/>
  <c r="I172" i="6"/>
  <c r="J172" i="6"/>
  <c r="I173" i="6"/>
  <c r="J173" i="6"/>
  <c r="I174" i="6"/>
  <c r="J174" i="6"/>
  <c r="I175" i="6"/>
  <c r="J175" i="6"/>
  <c r="I176" i="6"/>
  <c r="J176" i="6"/>
  <c r="I177" i="6"/>
  <c r="J177" i="6"/>
  <c r="I178" i="6"/>
  <c r="J178" i="6"/>
  <c r="I179" i="6"/>
  <c r="J179" i="6"/>
  <c r="I180" i="6"/>
  <c r="J180" i="6"/>
  <c r="I181" i="6"/>
  <c r="J181" i="6"/>
  <c r="I182" i="6"/>
  <c r="J182" i="6"/>
  <c r="I183" i="6"/>
  <c r="J183" i="6"/>
  <c r="I184" i="6"/>
  <c r="J184" i="6"/>
  <c r="I185" i="6"/>
  <c r="J185" i="6"/>
  <c r="I186" i="6"/>
  <c r="J186" i="6"/>
  <c r="I187" i="6"/>
  <c r="J187" i="6"/>
  <c r="I188" i="6"/>
  <c r="J188" i="6"/>
  <c r="I189" i="6"/>
  <c r="J189" i="6"/>
  <c r="I190" i="6"/>
  <c r="J190" i="6"/>
  <c r="I191" i="6"/>
  <c r="J191" i="6"/>
  <c r="I192" i="6"/>
  <c r="J192" i="6"/>
  <c r="I193" i="6"/>
  <c r="J193" i="6"/>
  <c r="I194" i="6"/>
  <c r="J194" i="6"/>
  <c r="I195" i="6"/>
  <c r="J195" i="6"/>
  <c r="I196" i="6"/>
  <c r="J196" i="6"/>
  <c r="I197" i="6"/>
  <c r="J197" i="6"/>
  <c r="I198" i="6"/>
  <c r="J198" i="6"/>
  <c r="I199" i="6"/>
  <c r="J199" i="6"/>
  <c r="I200" i="6"/>
  <c r="J200" i="6"/>
  <c r="I201" i="6"/>
  <c r="J201" i="6"/>
  <c r="I202" i="6"/>
  <c r="J202" i="6"/>
  <c r="I203" i="6"/>
  <c r="J203" i="6"/>
  <c r="I204" i="6"/>
  <c r="J204" i="6"/>
  <c r="I205" i="6"/>
  <c r="J205" i="6"/>
  <c r="I206" i="6"/>
  <c r="J206" i="6"/>
  <c r="I207" i="6"/>
  <c r="J207" i="6"/>
  <c r="I208" i="6"/>
  <c r="J208" i="6"/>
  <c r="I209" i="6"/>
  <c r="J209" i="6"/>
  <c r="I210" i="6"/>
  <c r="J210" i="6"/>
  <c r="I211" i="6"/>
  <c r="J211" i="6"/>
  <c r="I212" i="6"/>
  <c r="J212" i="6"/>
  <c r="I213" i="6"/>
  <c r="J213" i="6"/>
  <c r="I214" i="6"/>
  <c r="J214" i="6"/>
  <c r="I215" i="6"/>
  <c r="J215" i="6"/>
  <c r="I216" i="6"/>
  <c r="J216" i="6"/>
  <c r="I217" i="6"/>
  <c r="J217" i="6"/>
  <c r="I218" i="6"/>
  <c r="J218" i="6"/>
  <c r="I219" i="6"/>
  <c r="J219" i="6"/>
  <c r="I220" i="6"/>
  <c r="J220" i="6"/>
  <c r="I221" i="6"/>
  <c r="J221" i="6"/>
  <c r="I222" i="6"/>
  <c r="J222" i="6"/>
  <c r="I223" i="6"/>
  <c r="J223" i="6"/>
  <c r="I224" i="6"/>
  <c r="J224" i="6"/>
  <c r="I225" i="6"/>
  <c r="J225" i="6"/>
  <c r="I226" i="6"/>
  <c r="J226" i="6"/>
  <c r="I227" i="6"/>
  <c r="J227" i="6"/>
  <c r="I228" i="6"/>
  <c r="J228" i="6"/>
  <c r="I229" i="6"/>
  <c r="J229" i="6"/>
  <c r="I230" i="6"/>
  <c r="J230" i="6"/>
  <c r="I231" i="6"/>
  <c r="J231" i="6"/>
  <c r="I232" i="6"/>
  <c r="J232" i="6"/>
  <c r="I233" i="6"/>
  <c r="J233" i="6"/>
  <c r="I234" i="6"/>
  <c r="J234" i="6"/>
  <c r="I235" i="6"/>
  <c r="J235" i="6"/>
  <c r="I236" i="6"/>
  <c r="J236" i="6"/>
  <c r="I237" i="6"/>
  <c r="J237" i="6"/>
  <c r="I238" i="6"/>
  <c r="J238" i="6"/>
  <c r="I239" i="6"/>
  <c r="J239" i="6"/>
  <c r="I240" i="6"/>
  <c r="J240" i="6"/>
  <c r="I241" i="6"/>
  <c r="J241" i="6"/>
  <c r="I242" i="6"/>
  <c r="J242" i="6"/>
  <c r="I243" i="6"/>
  <c r="J243" i="6"/>
  <c r="I244" i="6"/>
  <c r="J244" i="6"/>
  <c r="I245" i="6"/>
  <c r="J245" i="6"/>
  <c r="I246" i="6"/>
  <c r="J246" i="6"/>
  <c r="I247" i="6"/>
  <c r="J247" i="6"/>
  <c r="I248" i="6"/>
  <c r="J248" i="6"/>
  <c r="I249" i="6"/>
  <c r="J249" i="6"/>
  <c r="I250" i="6"/>
  <c r="J250" i="6"/>
  <c r="I251" i="6"/>
  <c r="J251" i="6"/>
  <c r="I252" i="6"/>
  <c r="J252" i="6"/>
  <c r="I253" i="6"/>
  <c r="J253" i="6"/>
  <c r="I254" i="6"/>
  <c r="J254" i="6"/>
  <c r="I255" i="6"/>
  <c r="J255" i="6"/>
  <c r="I256" i="6"/>
  <c r="J256" i="6"/>
  <c r="I257" i="6"/>
  <c r="J257" i="6"/>
  <c r="I258" i="6"/>
  <c r="J258" i="6"/>
  <c r="I259" i="6"/>
  <c r="J259" i="6"/>
  <c r="I260" i="6"/>
  <c r="J260" i="6"/>
  <c r="I261" i="6"/>
  <c r="J261" i="6"/>
  <c r="I262" i="6"/>
  <c r="J262" i="6"/>
  <c r="I263" i="6"/>
  <c r="J263" i="6"/>
  <c r="I264" i="6"/>
  <c r="J264" i="6"/>
  <c r="I265" i="6"/>
  <c r="J265" i="6"/>
  <c r="I266" i="6"/>
  <c r="J266" i="6"/>
  <c r="I267" i="6"/>
  <c r="J267" i="6"/>
  <c r="I268" i="6"/>
  <c r="J268" i="6"/>
  <c r="I269" i="6"/>
  <c r="J269" i="6"/>
  <c r="I270" i="6"/>
  <c r="J270" i="6"/>
  <c r="I271" i="6"/>
  <c r="J271" i="6"/>
  <c r="I272" i="6"/>
  <c r="J272" i="6"/>
  <c r="I273" i="6"/>
  <c r="J273" i="6"/>
  <c r="I274" i="6"/>
  <c r="J274" i="6"/>
  <c r="I275" i="6"/>
  <c r="J275" i="6"/>
  <c r="I276" i="6"/>
  <c r="J276" i="6"/>
  <c r="I277" i="6"/>
  <c r="J277" i="6"/>
  <c r="I278" i="6"/>
  <c r="J278" i="6"/>
  <c r="I279" i="6"/>
  <c r="J279" i="6"/>
  <c r="I280" i="6"/>
  <c r="J280" i="6"/>
  <c r="I281" i="6"/>
  <c r="J281" i="6"/>
  <c r="I282" i="6"/>
  <c r="J282" i="6"/>
  <c r="I283" i="6"/>
  <c r="J283" i="6"/>
  <c r="I284" i="6"/>
  <c r="J284" i="6"/>
  <c r="I285" i="6"/>
  <c r="J285" i="6"/>
  <c r="I286" i="6"/>
  <c r="J286" i="6"/>
  <c r="I287" i="6"/>
  <c r="J287" i="6"/>
  <c r="I288" i="6"/>
  <c r="J288" i="6"/>
  <c r="I289" i="6"/>
  <c r="J289" i="6"/>
  <c r="I290" i="6"/>
  <c r="J290" i="6"/>
  <c r="I291" i="6"/>
  <c r="J291" i="6"/>
  <c r="I292" i="6"/>
  <c r="J292" i="6"/>
  <c r="I293" i="6"/>
  <c r="J293" i="6"/>
  <c r="I294" i="6"/>
  <c r="J294" i="6"/>
  <c r="I295" i="6"/>
  <c r="J295" i="6"/>
  <c r="I296" i="6"/>
  <c r="J296" i="6"/>
  <c r="I297" i="6"/>
  <c r="J297" i="6"/>
  <c r="I298" i="6"/>
  <c r="J298" i="6"/>
  <c r="I299" i="6"/>
  <c r="J299" i="6"/>
  <c r="I300" i="6"/>
  <c r="J300" i="6"/>
  <c r="I301" i="6"/>
  <c r="J301" i="6"/>
  <c r="I302" i="6"/>
  <c r="J302" i="6"/>
  <c r="I303" i="6"/>
  <c r="J303" i="6"/>
  <c r="I304" i="6"/>
  <c r="J304" i="6"/>
  <c r="I305" i="6"/>
  <c r="J305" i="6"/>
  <c r="I306" i="6"/>
  <c r="J306" i="6"/>
  <c r="I307" i="6"/>
  <c r="J307" i="6"/>
  <c r="I308" i="6"/>
  <c r="J308" i="6"/>
  <c r="I309" i="6"/>
  <c r="J309" i="6"/>
  <c r="I310" i="6"/>
  <c r="J310" i="6"/>
  <c r="I311" i="6"/>
  <c r="J311" i="6"/>
  <c r="I312" i="6"/>
  <c r="J312" i="6"/>
  <c r="I313" i="6"/>
  <c r="J313" i="6"/>
  <c r="I314" i="6"/>
  <c r="J314" i="6"/>
  <c r="I315" i="6"/>
  <c r="J315" i="6"/>
  <c r="I316" i="6"/>
  <c r="J316" i="6"/>
  <c r="I317" i="6"/>
  <c r="J317" i="6"/>
  <c r="I318" i="6"/>
  <c r="J318" i="6"/>
  <c r="I319" i="6"/>
  <c r="J319" i="6"/>
  <c r="I320" i="6"/>
  <c r="J320" i="6"/>
  <c r="I321" i="6"/>
  <c r="J321" i="6"/>
  <c r="I322" i="6"/>
  <c r="J322" i="6"/>
  <c r="I323" i="6"/>
  <c r="J323" i="6"/>
  <c r="I324" i="6"/>
  <c r="J324" i="6"/>
  <c r="I325" i="6"/>
  <c r="J325" i="6"/>
  <c r="I326" i="6"/>
  <c r="J326" i="6"/>
  <c r="I327" i="6"/>
  <c r="J327" i="6"/>
  <c r="I328" i="6"/>
  <c r="J328" i="6"/>
  <c r="I329" i="6"/>
  <c r="J329" i="6"/>
  <c r="I330" i="6"/>
  <c r="J330" i="6"/>
  <c r="I331" i="6"/>
  <c r="J331" i="6"/>
  <c r="I332" i="6"/>
  <c r="J332" i="6"/>
  <c r="I333" i="6"/>
  <c r="J333" i="6"/>
  <c r="I334" i="6"/>
  <c r="J334" i="6"/>
  <c r="I335" i="6"/>
  <c r="J335" i="6"/>
  <c r="I336" i="6"/>
  <c r="J336" i="6"/>
  <c r="I337" i="6"/>
  <c r="J337" i="6"/>
  <c r="I338" i="6"/>
  <c r="J338" i="6"/>
  <c r="I339" i="6"/>
  <c r="J339" i="6"/>
  <c r="I340" i="6"/>
  <c r="J340" i="6"/>
  <c r="I341" i="6"/>
  <c r="J341" i="6"/>
  <c r="I342" i="6"/>
  <c r="J342" i="6"/>
  <c r="I343" i="6"/>
  <c r="J343" i="6"/>
  <c r="I344" i="6"/>
  <c r="J344" i="6"/>
  <c r="I345" i="6"/>
  <c r="J345" i="6"/>
  <c r="I346" i="6"/>
  <c r="J346" i="6"/>
  <c r="I347" i="6"/>
  <c r="J347" i="6"/>
  <c r="I348" i="6"/>
  <c r="J348" i="6"/>
  <c r="I349" i="6"/>
  <c r="J349" i="6"/>
  <c r="I350" i="6"/>
  <c r="J350" i="6"/>
  <c r="I351" i="6"/>
  <c r="J351" i="6"/>
  <c r="I352" i="6"/>
  <c r="J352" i="6"/>
  <c r="I353" i="6"/>
  <c r="J353" i="6"/>
  <c r="I354" i="6"/>
  <c r="J354" i="6"/>
  <c r="I355" i="6"/>
  <c r="J355" i="6"/>
  <c r="I356" i="6"/>
  <c r="J356" i="6"/>
  <c r="I357" i="6"/>
  <c r="J357" i="6"/>
  <c r="I358" i="6"/>
  <c r="J358" i="6"/>
  <c r="I359" i="6"/>
  <c r="J359" i="6"/>
  <c r="I360" i="6"/>
  <c r="J360" i="6"/>
  <c r="I361" i="6"/>
  <c r="J361" i="6"/>
  <c r="I362" i="6"/>
  <c r="J362" i="6"/>
  <c r="I363" i="6"/>
  <c r="J363" i="6"/>
  <c r="I364" i="6"/>
  <c r="J364" i="6"/>
  <c r="I365" i="6"/>
  <c r="J365" i="6"/>
  <c r="I366" i="6"/>
  <c r="J366" i="6"/>
  <c r="I367" i="6"/>
  <c r="J367" i="6"/>
  <c r="I368" i="6"/>
  <c r="J368" i="6"/>
  <c r="I369" i="6"/>
  <c r="J369" i="6"/>
  <c r="I370" i="6"/>
  <c r="J370" i="6"/>
  <c r="I371" i="6"/>
  <c r="J371" i="6"/>
  <c r="I372" i="6"/>
  <c r="J372" i="6"/>
  <c r="I373" i="6"/>
  <c r="J373" i="6"/>
  <c r="I374" i="6"/>
  <c r="J374" i="6"/>
  <c r="I375" i="6"/>
  <c r="J375" i="6"/>
  <c r="I376" i="6"/>
  <c r="J376" i="6"/>
  <c r="I377" i="6"/>
  <c r="J377" i="6"/>
  <c r="I378" i="6"/>
  <c r="J378" i="6"/>
  <c r="I379" i="6"/>
  <c r="J379" i="6"/>
  <c r="I380" i="6"/>
  <c r="J380" i="6"/>
  <c r="I381" i="6"/>
  <c r="J381" i="6"/>
  <c r="I382" i="6"/>
  <c r="J382" i="6"/>
  <c r="I383" i="6"/>
  <c r="J383" i="6"/>
  <c r="I384" i="6"/>
  <c r="J384" i="6"/>
  <c r="I385" i="6"/>
  <c r="J385" i="6"/>
  <c r="I386" i="6"/>
  <c r="J386" i="6"/>
  <c r="I387" i="6"/>
  <c r="J387" i="6"/>
  <c r="I388" i="6"/>
  <c r="J388" i="6"/>
  <c r="I389" i="6"/>
  <c r="J389" i="6"/>
  <c r="I390" i="6"/>
  <c r="J390" i="6"/>
  <c r="I391" i="6"/>
  <c r="J391" i="6"/>
  <c r="I392" i="6"/>
  <c r="J392" i="6"/>
  <c r="I393" i="6"/>
  <c r="J393" i="6"/>
  <c r="I394" i="6"/>
  <c r="J394" i="6"/>
  <c r="I395" i="6"/>
  <c r="J395" i="6"/>
  <c r="I396" i="6"/>
  <c r="J396" i="6"/>
  <c r="I397" i="6"/>
  <c r="J397" i="6"/>
  <c r="I398" i="6"/>
  <c r="J398" i="6"/>
  <c r="I399" i="6"/>
  <c r="J399" i="6"/>
  <c r="I400" i="6"/>
  <c r="J400" i="6"/>
  <c r="I401" i="6"/>
  <c r="J401" i="6"/>
  <c r="I402" i="6"/>
  <c r="J402" i="6"/>
  <c r="I403" i="6"/>
  <c r="J403" i="6"/>
  <c r="I404" i="6"/>
  <c r="J404" i="6"/>
  <c r="I405" i="6"/>
  <c r="J405" i="6"/>
  <c r="I406" i="6"/>
  <c r="J406" i="6"/>
  <c r="I407" i="6"/>
  <c r="J407" i="6"/>
  <c r="I408" i="6"/>
  <c r="J408" i="6"/>
  <c r="I409" i="6"/>
  <c r="J409" i="6"/>
  <c r="I410" i="6"/>
  <c r="J410" i="6"/>
  <c r="I411" i="6"/>
  <c r="J411" i="6"/>
  <c r="I412" i="6"/>
  <c r="J412" i="6"/>
  <c r="I413" i="6"/>
  <c r="J413" i="6"/>
  <c r="I414" i="6"/>
  <c r="J414" i="6"/>
  <c r="I415" i="6"/>
  <c r="J415" i="6"/>
  <c r="I416" i="6"/>
  <c r="J416" i="6"/>
  <c r="I417" i="6"/>
  <c r="J417" i="6"/>
  <c r="I418" i="6"/>
  <c r="J418" i="6"/>
  <c r="I419" i="6"/>
  <c r="J419" i="6"/>
  <c r="I420" i="6"/>
  <c r="J420" i="6"/>
  <c r="I421" i="6"/>
  <c r="J421" i="6"/>
  <c r="I422" i="6"/>
  <c r="J422" i="6"/>
  <c r="I423" i="6"/>
  <c r="J423" i="6"/>
  <c r="I424" i="6"/>
  <c r="J424" i="6"/>
  <c r="I425" i="6"/>
  <c r="J425" i="6"/>
  <c r="I426" i="6"/>
  <c r="J426" i="6"/>
  <c r="I427" i="6"/>
  <c r="J427" i="6"/>
  <c r="I428" i="6"/>
  <c r="J428" i="6"/>
  <c r="I429" i="6"/>
  <c r="J429" i="6"/>
  <c r="I430" i="6"/>
  <c r="J430" i="6"/>
  <c r="I431" i="6"/>
  <c r="J431" i="6"/>
  <c r="I432" i="6"/>
  <c r="J432" i="6"/>
  <c r="I433" i="6"/>
  <c r="J433" i="6"/>
  <c r="I434" i="6"/>
  <c r="J434" i="6"/>
  <c r="I435" i="6"/>
  <c r="J435" i="6"/>
  <c r="I436" i="6"/>
  <c r="J436" i="6"/>
  <c r="I437" i="6"/>
  <c r="J437" i="6"/>
  <c r="I438" i="6"/>
  <c r="J438" i="6"/>
  <c r="I439" i="6"/>
  <c r="J439" i="6"/>
  <c r="I440" i="6"/>
  <c r="J440" i="6"/>
  <c r="I441" i="6"/>
  <c r="J441" i="6"/>
  <c r="I442" i="6"/>
  <c r="J442" i="6"/>
  <c r="I443" i="6"/>
  <c r="J443" i="6"/>
  <c r="I444" i="6"/>
  <c r="J444" i="6"/>
  <c r="I445" i="6"/>
  <c r="J445" i="6"/>
  <c r="I446" i="6"/>
  <c r="J446" i="6"/>
  <c r="I447" i="6"/>
  <c r="J447" i="6"/>
  <c r="I448" i="6"/>
  <c r="J448" i="6"/>
  <c r="I449" i="6"/>
  <c r="J449" i="6"/>
  <c r="I450" i="6"/>
  <c r="J450" i="6"/>
  <c r="I451" i="6"/>
  <c r="J451" i="6"/>
  <c r="I452" i="6"/>
  <c r="J452" i="6"/>
  <c r="I453" i="6"/>
  <c r="J453" i="6"/>
  <c r="I454" i="6"/>
  <c r="J454" i="6"/>
  <c r="I455" i="6"/>
  <c r="J455" i="6"/>
  <c r="I456" i="6"/>
  <c r="J456" i="6"/>
  <c r="I457" i="6"/>
  <c r="J457" i="6"/>
  <c r="I458" i="6"/>
  <c r="J458" i="6"/>
  <c r="I459" i="6"/>
  <c r="J459" i="6"/>
  <c r="I460" i="6"/>
  <c r="J460" i="6"/>
  <c r="I461" i="6"/>
  <c r="J461" i="6"/>
  <c r="I462" i="6"/>
  <c r="J462" i="6"/>
  <c r="I463" i="6"/>
  <c r="J463" i="6"/>
  <c r="I464" i="6"/>
  <c r="J464" i="6"/>
  <c r="I465" i="6"/>
  <c r="J465" i="6"/>
  <c r="I466" i="6"/>
  <c r="J466" i="6"/>
  <c r="I467" i="6"/>
  <c r="J467" i="6"/>
  <c r="I468" i="6"/>
  <c r="J468" i="6"/>
  <c r="I469" i="6"/>
  <c r="J469" i="6"/>
  <c r="I470" i="6"/>
  <c r="J470" i="6"/>
  <c r="I471" i="6"/>
  <c r="J471" i="6"/>
  <c r="I472" i="6"/>
  <c r="J472" i="6"/>
  <c r="I2" i="6"/>
  <c r="J2" i="6"/>
  <c r="G2" i="9"/>
  <c r="G3" i="9"/>
  <c r="G4" i="9"/>
  <c r="G5" i="9"/>
  <c r="H2" i="9"/>
  <c r="I2" i="9"/>
  <c r="J2" i="9"/>
  <c r="K2" i="9"/>
  <c r="L2" i="9"/>
  <c r="H3" i="9"/>
  <c r="I3" i="9"/>
  <c r="J3" i="9"/>
  <c r="K3" i="9"/>
  <c r="L3" i="9"/>
  <c r="H4" i="9"/>
  <c r="I4" i="9"/>
  <c r="J4" i="9"/>
  <c r="K4" i="9"/>
  <c r="L4" i="9"/>
  <c r="H5" i="9"/>
  <c r="I5" i="9"/>
  <c r="J5" i="9"/>
  <c r="K5" i="9"/>
  <c r="L5" i="9"/>
  <c r="G6" i="9"/>
  <c r="H6" i="9"/>
  <c r="I6" i="9"/>
  <c r="J6" i="9"/>
  <c r="K6" i="9"/>
  <c r="L6" i="9"/>
  <c r="G7" i="9"/>
  <c r="H7" i="9"/>
  <c r="I7" i="9"/>
  <c r="J7" i="9"/>
  <c r="K7" i="9"/>
  <c r="L7" i="9"/>
  <c r="G8" i="9"/>
  <c r="H8" i="9"/>
  <c r="I8" i="9"/>
  <c r="J8" i="9"/>
  <c r="K8" i="9"/>
  <c r="L8" i="9"/>
  <c r="G9" i="9"/>
  <c r="H9" i="9"/>
  <c r="I9" i="9"/>
  <c r="J9" i="9"/>
  <c r="K9" i="9"/>
  <c r="L9" i="9"/>
  <c r="G10" i="9"/>
  <c r="H10" i="9"/>
  <c r="I10" i="9"/>
  <c r="J10" i="9"/>
  <c r="K10" i="9"/>
  <c r="L10" i="9"/>
  <c r="G11" i="9"/>
  <c r="H11" i="9"/>
  <c r="I11" i="9"/>
  <c r="J11" i="9"/>
  <c r="K11" i="9"/>
  <c r="L11" i="9"/>
  <c r="G12" i="9"/>
  <c r="H12" i="9"/>
  <c r="I12" i="9"/>
  <c r="J12" i="9"/>
  <c r="K12" i="9"/>
  <c r="L12" i="9"/>
  <c r="G13" i="9"/>
  <c r="H13" i="9"/>
  <c r="I13" i="9"/>
  <c r="J13" i="9"/>
  <c r="K13" i="9"/>
  <c r="L13" i="9"/>
  <c r="G14" i="9"/>
  <c r="H14" i="9"/>
  <c r="I14" i="9"/>
  <c r="J14" i="9"/>
  <c r="K14" i="9"/>
  <c r="L14" i="9"/>
  <c r="G15" i="9"/>
  <c r="H15" i="9"/>
  <c r="I15" i="9"/>
  <c r="J15" i="9"/>
  <c r="K15" i="9"/>
  <c r="L15" i="9"/>
  <c r="G16" i="9"/>
  <c r="H16" i="9"/>
  <c r="I16" i="9"/>
  <c r="J16" i="9"/>
  <c r="K16" i="9"/>
  <c r="L16" i="9"/>
  <c r="G17" i="9"/>
  <c r="H17" i="9"/>
  <c r="I17" i="9"/>
  <c r="J17" i="9"/>
  <c r="K17" i="9"/>
  <c r="L17" i="9"/>
  <c r="G18" i="9"/>
  <c r="H18" i="9"/>
  <c r="I18" i="9"/>
  <c r="J18" i="9"/>
  <c r="K18" i="9"/>
  <c r="L18" i="9"/>
  <c r="G19" i="9"/>
  <c r="H19" i="9"/>
  <c r="I19" i="9"/>
  <c r="J19" i="9"/>
  <c r="K19" i="9"/>
  <c r="L19" i="9"/>
  <c r="G20" i="9"/>
  <c r="H20" i="9"/>
  <c r="I20" i="9"/>
  <c r="J20" i="9"/>
  <c r="K20" i="9"/>
  <c r="L20" i="9"/>
  <c r="G21" i="9"/>
  <c r="H21" i="9"/>
  <c r="I21" i="9"/>
  <c r="J21" i="9"/>
  <c r="K21" i="9"/>
  <c r="L21" i="9"/>
  <c r="G22" i="9"/>
  <c r="H22" i="9"/>
  <c r="I22" i="9"/>
  <c r="J22" i="9"/>
  <c r="K22" i="9"/>
  <c r="L22" i="9"/>
  <c r="G23" i="9"/>
  <c r="H23" i="9"/>
  <c r="I23" i="9"/>
  <c r="J23" i="9"/>
  <c r="K23" i="9"/>
  <c r="L23" i="9"/>
  <c r="G24" i="9"/>
  <c r="H24" i="9"/>
  <c r="I24" i="9"/>
  <c r="J24" i="9"/>
  <c r="K24" i="9"/>
  <c r="L24" i="9"/>
  <c r="G25" i="9"/>
  <c r="H25" i="9"/>
  <c r="I25" i="9"/>
  <c r="J25" i="9"/>
  <c r="K25" i="9"/>
  <c r="L25" i="9"/>
  <c r="G26" i="9"/>
  <c r="H26" i="9"/>
  <c r="I26" i="9"/>
  <c r="J26" i="9"/>
  <c r="K26" i="9"/>
  <c r="L26" i="9"/>
  <c r="G27" i="9"/>
  <c r="H27" i="9"/>
  <c r="I27" i="9"/>
  <c r="J27" i="9"/>
  <c r="K27" i="9"/>
  <c r="L27" i="9"/>
  <c r="G28" i="9"/>
  <c r="H28" i="9"/>
  <c r="I28" i="9"/>
  <c r="J28" i="9"/>
  <c r="K28" i="9"/>
  <c r="L28" i="9"/>
  <c r="G29" i="9"/>
  <c r="H29" i="9"/>
  <c r="I29" i="9"/>
  <c r="J29" i="9"/>
  <c r="K29" i="9"/>
  <c r="L29" i="9"/>
  <c r="G30" i="9"/>
  <c r="H30" i="9"/>
  <c r="I30" i="9"/>
  <c r="J30" i="9"/>
  <c r="K30" i="9"/>
  <c r="L30" i="9"/>
  <c r="G31" i="9"/>
  <c r="H31" i="9"/>
  <c r="I31" i="9"/>
  <c r="J31" i="9"/>
  <c r="K31" i="9"/>
  <c r="L31" i="9"/>
  <c r="G32" i="9"/>
  <c r="H32" i="9"/>
  <c r="I32" i="9"/>
  <c r="J32" i="9"/>
  <c r="K32" i="9"/>
  <c r="L32" i="9"/>
  <c r="G33" i="9"/>
  <c r="H33" i="9"/>
  <c r="I33" i="9"/>
  <c r="J33" i="9"/>
  <c r="K33" i="9"/>
  <c r="L33" i="9"/>
  <c r="G34" i="9"/>
  <c r="H34" i="9"/>
  <c r="I34" i="9"/>
  <c r="J34" i="9"/>
  <c r="K34" i="9"/>
  <c r="L34" i="9"/>
  <c r="G35" i="9"/>
  <c r="H35" i="9"/>
  <c r="I35" i="9"/>
  <c r="J35" i="9"/>
  <c r="K35" i="9"/>
  <c r="L35" i="9"/>
  <c r="G36" i="9"/>
  <c r="H36" i="9"/>
  <c r="I36" i="9"/>
  <c r="J36" i="9"/>
  <c r="K36" i="9"/>
  <c r="L36" i="9"/>
  <c r="G37" i="9"/>
  <c r="H37" i="9"/>
  <c r="I37" i="9"/>
  <c r="J37" i="9"/>
  <c r="K37" i="9"/>
  <c r="L37" i="9"/>
  <c r="G38" i="9"/>
  <c r="H38" i="9"/>
  <c r="I38" i="9"/>
  <c r="J38" i="9"/>
  <c r="K38" i="9"/>
  <c r="L38" i="9"/>
  <c r="G39" i="9"/>
  <c r="H39" i="9"/>
  <c r="I39" i="9"/>
  <c r="J39" i="9"/>
  <c r="K39" i="9"/>
  <c r="L39" i="9"/>
  <c r="G40" i="9"/>
  <c r="H40" i="9"/>
  <c r="I40" i="9"/>
  <c r="J40" i="9"/>
  <c r="K40" i="9"/>
  <c r="L40" i="9"/>
  <c r="G41" i="9"/>
  <c r="H41" i="9"/>
  <c r="I41" i="9"/>
  <c r="J41" i="9"/>
  <c r="K41" i="9"/>
  <c r="L41" i="9"/>
  <c r="G42" i="9"/>
  <c r="H42" i="9"/>
  <c r="I42" i="9"/>
  <c r="J42" i="9"/>
  <c r="K42" i="9"/>
  <c r="L42" i="9"/>
  <c r="G43" i="9"/>
  <c r="H43" i="9"/>
  <c r="I43" i="9"/>
  <c r="J43" i="9"/>
  <c r="K43" i="9"/>
  <c r="L43" i="9"/>
  <c r="G44" i="9"/>
  <c r="H44" i="9"/>
  <c r="I44" i="9"/>
  <c r="J44" i="9"/>
  <c r="K44" i="9"/>
  <c r="L44" i="9"/>
  <c r="G45" i="9"/>
  <c r="H45" i="9"/>
  <c r="I45" i="9"/>
  <c r="J45" i="9"/>
  <c r="K45" i="9"/>
  <c r="L45" i="9"/>
  <c r="G46" i="9"/>
  <c r="H46" i="9"/>
  <c r="I46" i="9"/>
  <c r="J46" i="9"/>
  <c r="K46" i="9"/>
  <c r="L46" i="9"/>
  <c r="G47" i="9"/>
  <c r="H47" i="9"/>
  <c r="I47" i="9"/>
  <c r="J47" i="9"/>
  <c r="K47" i="9"/>
  <c r="L47" i="9"/>
  <c r="G48" i="9"/>
  <c r="H48" i="9"/>
  <c r="I48" i="9"/>
  <c r="J48" i="9"/>
  <c r="K48" i="9"/>
  <c r="L48" i="9"/>
  <c r="G49" i="9"/>
  <c r="H49" i="9"/>
  <c r="I49" i="9"/>
  <c r="J49" i="9"/>
  <c r="K49" i="9"/>
  <c r="L49" i="9"/>
  <c r="G50" i="9"/>
  <c r="H50" i="9"/>
  <c r="I50" i="9"/>
  <c r="J50" i="9"/>
  <c r="K50" i="9"/>
  <c r="L50" i="9"/>
  <c r="G51" i="9"/>
  <c r="H51" i="9"/>
  <c r="I51" i="9"/>
  <c r="J51" i="9"/>
  <c r="K51" i="9"/>
  <c r="L51" i="9"/>
  <c r="G52" i="9"/>
  <c r="H52" i="9"/>
  <c r="I52" i="9"/>
  <c r="J52" i="9"/>
  <c r="K52" i="9"/>
  <c r="L52" i="9"/>
  <c r="G53" i="9"/>
  <c r="H53" i="9"/>
  <c r="I53" i="9"/>
  <c r="J53" i="9"/>
  <c r="K53" i="9"/>
  <c r="L53" i="9"/>
  <c r="G54" i="9"/>
  <c r="H54" i="9"/>
  <c r="I54" i="9"/>
  <c r="J54" i="9"/>
  <c r="K54" i="9"/>
  <c r="L54" i="9"/>
  <c r="G55" i="9"/>
  <c r="H55" i="9"/>
  <c r="I55" i="9"/>
  <c r="J55" i="9"/>
  <c r="K55" i="9"/>
  <c r="L55" i="9"/>
  <c r="G56" i="9"/>
  <c r="H56" i="9"/>
  <c r="I56" i="9"/>
  <c r="J56" i="9"/>
  <c r="K56" i="9"/>
  <c r="L56" i="9"/>
  <c r="G57" i="9"/>
  <c r="H57" i="9"/>
  <c r="I57" i="9"/>
  <c r="J57" i="9"/>
  <c r="K57" i="9"/>
  <c r="L57" i="9"/>
  <c r="G58" i="9"/>
  <c r="H58" i="9"/>
  <c r="I58" i="9"/>
  <c r="J58" i="9"/>
  <c r="K58" i="9"/>
  <c r="L58" i="9"/>
  <c r="G59" i="9"/>
  <c r="H59" i="9"/>
  <c r="I59" i="9"/>
  <c r="J59" i="9"/>
  <c r="K59" i="9"/>
  <c r="L59" i="9"/>
  <c r="G60" i="9"/>
  <c r="H60" i="9"/>
  <c r="I60" i="9"/>
  <c r="J60" i="9"/>
  <c r="K60" i="9"/>
  <c r="L60" i="9"/>
  <c r="G61" i="9"/>
  <c r="H61" i="9"/>
  <c r="I61" i="9"/>
  <c r="J61" i="9"/>
  <c r="K61" i="9"/>
  <c r="L61" i="9"/>
  <c r="G62" i="9"/>
  <c r="H62" i="9"/>
  <c r="I62" i="9"/>
  <c r="J62" i="9"/>
  <c r="K62" i="9"/>
  <c r="L62" i="9"/>
  <c r="G63" i="9"/>
  <c r="H63" i="9"/>
  <c r="I63" i="9"/>
  <c r="J63" i="9"/>
  <c r="K63" i="9"/>
  <c r="L63" i="9"/>
  <c r="G64" i="9"/>
  <c r="H64" i="9"/>
  <c r="I64" i="9"/>
  <c r="J64" i="9"/>
  <c r="K64" i="9"/>
  <c r="L64" i="9"/>
  <c r="G65" i="9"/>
  <c r="H65" i="9"/>
  <c r="I65" i="9"/>
  <c r="J65" i="9"/>
  <c r="K65" i="9"/>
  <c r="L65" i="9"/>
  <c r="G66" i="9"/>
  <c r="H66" i="9"/>
  <c r="I66" i="9"/>
  <c r="J66" i="9"/>
  <c r="K66" i="9"/>
  <c r="L66" i="9"/>
  <c r="G67" i="9"/>
  <c r="H67" i="9"/>
  <c r="I67" i="9"/>
  <c r="J67" i="9"/>
  <c r="K67" i="9"/>
  <c r="L67" i="9"/>
  <c r="G68" i="9"/>
  <c r="H68" i="9"/>
  <c r="I68" i="9"/>
  <c r="J68" i="9"/>
  <c r="K68" i="9"/>
  <c r="L68" i="9"/>
  <c r="G69" i="9"/>
  <c r="H69" i="9"/>
  <c r="I69" i="9"/>
  <c r="J69" i="9"/>
  <c r="K69" i="9"/>
  <c r="L69" i="9"/>
  <c r="G70" i="9"/>
  <c r="H70" i="9"/>
  <c r="I70" i="9"/>
  <c r="J70" i="9"/>
  <c r="K70" i="9"/>
  <c r="L70" i="9"/>
  <c r="G71" i="9"/>
  <c r="H71" i="9"/>
  <c r="I71" i="9"/>
  <c r="J71" i="9"/>
  <c r="K71" i="9"/>
  <c r="L71" i="9"/>
  <c r="G72" i="9"/>
  <c r="H72" i="9"/>
  <c r="I72" i="9"/>
  <c r="J72" i="9"/>
  <c r="K72" i="9"/>
  <c r="L72" i="9"/>
  <c r="G73" i="9"/>
  <c r="H73" i="9"/>
  <c r="I73" i="9"/>
  <c r="J73" i="9"/>
  <c r="K73" i="9"/>
  <c r="L73" i="9"/>
  <c r="G74" i="9"/>
  <c r="H74" i="9"/>
  <c r="I74" i="9"/>
  <c r="J74" i="9"/>
  <c r="K74" i="9"/>
  <c r="L74" i="9"/>
  <c r="G75" i="9"/>
  <c r="H75" i="9"/>
  <c r="I75" i="9"/>
  <c r="J75" i="9"/>
  <c r="K75" i="9"/>
  <c r="L75" i="9"/>
  <c r="G76" i="9"/>
  <c r="H76" i="9"/>
  <c r="I76" i="9"/>
  <c r="J76" i="9"/>
  <c r="K76" i="9"/>
  <c r="L76" i="9"/>
  <c r="G77" i="9"/>
  <c r="H77" i="9"/>
  <c r="I77" i="9"/>
  <c r="J77" i="9"/>
  <c r="K77" i="9"/>
  <c r="L77" i="9"/>
  <c r="G78" i="9"/>
  <c r="H78" i="9"/>
  <c r="I78" i="9"/>
  <c r="J78" i="9"/>
  <c r="K78" i="9"/>
  <c r="L78" i="9"/>
  <c r="G79" i="9"/>
  <c r="H79" i="9"/>
  <c r="I79" i="9"/>
  <c r="J79" i="9"/>
  <c r="K79" i="9"/>
  <c r="L79" i="9"/>
  <c r="G80" i="9"/>
  <c r="H80" i="9"/>
  <c r="I80" i="9"/>
  <c r="J80" i="9"/>
  <c r="K80" i="9"/>
  <c r="L80" i="9"/>
  <c r="G81" i="9"/>
  <c r="H81" i="9"/>
  <c r="I81" i="9"/>
  <c r="J81" i="9"/>
  <c r="K81" i="9"/>
  <c r="L81" i="9"/>
  <c r="G82" i="9"/>
  <c r="H82" i="9"/>
  <c r="I82" i="9"/>
  <c r="J82" i="9"/>
  <c r="K82" i="9"/>
  <c r="L82" i="9"/>
  <c r="G83" i="9"/>
  <c r="H83" i="9"/>
  <c r="I83" i="9"/>
  <c r="J83" i="9"/>
  <c r="K83" i="9"/>
  <c r="L83" i="9"/>
  <c r="G84" i="9"/>
  <c r="H84" i="9"/>
  <c r="I84" i="9"/>
  <c r="J84" i="9"/>
  <c r="K84" i="9"/>
  <c r="L84" i="9"/>
  <c r="G85" i="9"/>
  <c r="H85" i="9"/>
  <c r="I85" i="9"/>
  <c r="J85" i="9"/>
  <c r="K85" i="9"/>
  <c r="L85" i="9"/>
  <c r="G86" i="9"/>
  <c r="H86" i="9"/>
  <c r="I86" i="9"/>
  <c r="J86" i="9"/>
  <c r="K86" i="9"/>
  <c r="L86" i="9"/>
  <c r="G87" i="9"/>
  <c r="H87" i="9"/>
  <c r="I87" i="9"/>
  <c r="J87" i="9"/>
  <c r="K87" i="9"/>
  <c r="L87" i="9"/>
  <c r="G88" i="9"/>
  <c r="H88" i="9"/>
  <c r="I88" i="9"/>
  <c r="J88" i="9"/>
  <c r="K88" i="9"/>
  <c r="L88" i="9"/>
  <c r="G89" i="9"/>
  <c r="H89" i="9"/>
  <c r="I89" i="9"/>
  <c r="J89" i="9"/>
  <c r="K89" i="9"/>
  <c r="L89" i="9"/>
  <c r="G90" i="9"/>
  <c r="H90" i="9"/>
  <c r="I90" i="9"/>
  <c r="J90" i="9"/>
  <c r="K90" i="9"/>
  <c r="L90" i="9"/>
  <c r="G91" i="9"/>
  <c r="H91" i="9"/>
  <c r="I91" i="9"/>
  <c r="J91" i="9"/>
  <c r="K91" i="9"/>
  <c r="L91" i="9"/>
  <c r="G92" i="9"/>
  <c r="H92" i="9"/>
  <c r="I92" i="9"/>
  <c r="J92" i="9"/>
  <c r="K92" i="9"/>
  <c r="L92" i="9"/>
  <c r="G93" i="9"/>
  <c r="H93" i="9"/>
  <c r="I93" i="9"/>
  <c r="J93" i="9"/>
  <c r="K93" i="9"/>
  <c r="L93" i="9"/>
  <c r="G94" i="9"/>
  <c r="H94" i="9"/>
  <c r="I94" i="9"/>
  <c r="J94" i="9"/>
  <c r="K94" i="9"/>
  <c r="L94" i="9"/>
  <c r="G95" i="9"/>
  <c r="H95" i="9"/>
  <c r="I95" i="9"/>
  <c r="J95" i="9"/>
  <c r="K95" i="9"/>
  <c r="L95" i="9"/>
  <c r="G96" i="9"/>
  <c r="H96" i="9"/>
  <c r="I96" i="9"/>
  <c r="J96" i="9"/>
  <c r="K96" i="9"/>
  <c r="L96" i="9"/>
  <c r="G97" i="9"/>
  <c r="H97" i="9"/>
  <c r="I97" i="9"/>
  <c r="J97" i="9"/>
  <c r="K97" i="9"/>
  <c r="L97" i="9"/>
  <c r="G98" i="9"/>
  <c r="H98" i="9"/>
  <c r="I98" i="9"/>
  <c r="J98" i="9"/>
  <c r="K98" i="9"/>
  <c r="L98" i="9"/>
  <c r="G99" i="9"/>
  <c r="H99" i="9"/>
  <c r="I99" i="9"/>
  <c r="J99" i="9"/>
  <c r="K99" i="9"/>
  <c r="L99" i="9"/>
  <c r="G100" i="9"/>
  <c r="H100" i="9"/>
  <c r="I100" i="9"/>
  <c r="J100" i="9"/>
  <c r="K100" i="9"/>
  <c r="L100" i="9"/>
  <c r="G101" i="9"/>
  <c r="H101" i="9"/>
  <c r="I101" i="9"/>
  <c r="J101" i="9"/>
  <c r="K101" i="9"/>
  <c r="L101" i="9"/>
  <c r="G102" i="9"/>
  <c r="H102" i="9"/>
  <c r="I102" i="9"/>
  <c r="J102" i="9"/>
  <c r="K102" i="9"/>
  <c r="L102" i="9"/>
  <c r="G103" i="9"/>
  <c r="H103" i="9"/>
  <c r="I103" i="9"/>
  <c r="J103" i="9"/>
  <c r="K103" i="9"/>
  <c r="L103" i="9"/>
  <c r="G104" i="9"/>
  <c r="H104" i="9"/>
  <c r="I104" i="9"/>
  <c r="J104" i="9"/>
  <c r="K104" i="9"/>
  <c r="L104" i="9"/>
  <c r="G105" i="9"/>
  <c r="H105" i="9"/>
  <c r="I105" i="9"/>
  <c r="J105" i="9"/>
  <c r="K105" i="9"/>
  <c r="L105" i="9"/>
  <c r="G106" i="9"/>
  <c r="H106" i="9"/>
  <c r="I106" i="9"/>
  <c r="J106" i="9"/>
  <c r="K106" i="9"/>
  <c r="L106" i="9"/>
  <c r="G107" i="9"/>
  <c r="H107" i="9"/>
  <c r="I107" i="9"/>
  <c r="J107" i="9"/>
  <c r="K107" i="9"/>
  <c r="L107" i="9"/>
  <c r="G108" i="9"/>
  <c r="H108" i="9"/>
  <c r="I108" i="9"/>
  <c r="J108" i="9"/>
  <c r="K108" i="9"/>
  <c r="L108" i="9"/>
  <c r="G109" i="9"/>
  <c r="H109" i="9"/>
  <c r="I109" i="9"/>
  <c r="J109" i="9"/>
  <c r="K109" i="9"/>
  <c r="L109" i="9"/>
  <c r="G110" i="9"/>
  <c r="H110" i="9"/>
  <c r="I110" i="9"/>
  <c r="J110" i="9"/>
  <c r="K110" i="9"/>
  <c r="L110" i="9"/>
  <c r="G111" i="9"/>
  <c r="H111" i="9"/>
  <c r="I111" i="9"/>
  <c r="J111" i="9"/>
  <c r="K111" i="9"/>
  <c r="L111" i="9"/>
  <c r="G112" i="9"/>
  <c r="H112" i="9"/>
  <c r="I112" i="9"/>
  <c r="J112" i="9"/>
  <c r="K112" i="9"/>
  <c r="L112" i="9"/>
  <c r="G113" i="9"/>
  <c r="H113" i="9"/>
  <c r="I113" i="9"/>
  <c r="J113" i="9"/>
  <c r="K113" i="9"/>
  <c r="L113" i="9"/>
  <c r="G114" i="9"/>
  <c r="H114" i="9"/>
  <c r="I114" i="9"/>
  <c r="J114" i="9"/>
  <c r="K114" i="9"/>
  <c r="L114" i="9"/>
  <c r="G115" i="9"/>
  <c r="H115" i="9"/>
  <c r="I115" i="9"/>
  <c r="J115" i="9"/>
  <c r="K115" i="9"/>
  <c r="L115" i="9"/>
  <c r="G116" i="9"/>
  <c r="H116" i="9"/>
  <c r="I116" i="9"/>
  <c r="J116" i="9"/>
  <c r="K116" i="9"/>
  <c r="L116" i="9"/>
  <c r="G117" i="9"/>
  <c r="H117" i="9"/>
  <c r="I117" i="9"/>
  <c r="J117" i="9"/>
  <c r="K117" i="9"/>
  <c r="L117" i="9"/>
  <c r="G118" i="9"/>
  <c r="H118" i="9"/>
  <c r="I118" i="9"/>
  <c r="J118" i="9"/>
  <c r="K118" i="9"/>
  <c r="L118" i="9"/>
  <c r="G119" i="9"/>
  <c r="H119" i="9"/>
  <c r="I119" i="9"/>
  <c r="J119" i="9"/>
  <c r="K119" i="9"/>
  <c r="L119" i="9"/>
  <c r="G120" i="9"/>
  <c r="H120" i="9"/>
  <c r="I120" i="9"/>
  <c r="J120" i="9"/>
  <c r="K120" i="9"/>
  <c r="L120" i="9"/>
  <c r="G121" i="9"/>
  <c r="H121" i="9"/>
  <c r="I121" i="9"/>
  <c r="J121" i="9"/>
  <c r="K121" i="9"/>
  <c r="L121" i="9"/>
  <c r="G122" i="9"/>
  <c r="H122" i="9"/>
  <c r="I122" i="9"/>
  <c r="J122" i="9"/>
  <c r="K122" i="9"/>
  <c r="L122" i="9"/>
  <c r="G123" i="9"/>
  <c r="H123" i="9"/>
  <c r="I123" i="9"/>
  <c r="J123" i="9"/>
  <c r="K123" i="9"/>
  <c r="L123" i="9"/>
  <c r="G124" i="9"/>
  <c r="H124" i="9"/>
  <c r="I124" i="9"/>
  <c r="J124" i="9"/>
  <c r="K124" i="9"/>
  <c r="L124" i="9"/>
  <c r="G125" i="9"/>
  <c r="H125" i="9"/>
  <c r="I125" i="9"/>
  <c r="J125" i="9"/>
  <c r="K125" i="9"/>
  <c r="L125" i="9"/>
  <c r="G126" i="9"/>
  <c r="H126" i="9"/>
  <c r="I126" i="9"/>
  <c r="J126" i="9"/>
  <c r="K126" i="9"/>
  <c r="L126" i="9"/>
  <c r="G127" i="9"/>
  <c r="H127" i="9"/>
  <c r="I127" i="9"/>
  <c r="J127" i="9"/>
  <c r="K127" i="9"/>
  <c r="L127" i="9"/>
  <c r="G128" i="9"/>
  <c r="H128" i="9"/>
  <c r="I128" i="9"/>
  <c r="J128" i="9"/>
  <c r="K128" i="9"/>
  <c r="L128" i="9"/>
  <c r="G129" i="9"/>
  <c r="H129" i="9"/>
  <c r="I129" i="9"/>
  <c r="J129" i="9"/>
  <c r="K129" i="9"/>
  <c r="L129" i="9"/>
  <c r="G130" i="9"/>
  <c r="H130" i="9"/>
  <c r="I130" i="9"/>
  <c r="J130" i="9"/>
  <c r="K130" i="9"/>
  <c r="L130" i="9"/>
  <c r="G131" i="9"/>
  <c r="H131" i="9"/>
  <c r="I131" i="9"/>
  <c r="J131" i="9"/>
  <c r="K131" i="9"/>
  <c r="L131" i="9"/>
  <c r="G132" i="9"/>
  <c r="H132" i="9"/>
  <c r="I132" i="9"/>
  <c r="J132" i="9"/>
  <c r="K132" i="9"/>
  <c r="L132" i="9"/>
  <c r="G133" i="9"/>
  <c r="H133" i="9"/>
  <c r="I133" i="9"/>
  <c r="J133" i="9"/>
  <c r="K133" i="9"/>
  <c r="L133" i="9"/>
  <c r="G134" i="9"/>
  <c r="H134" i="9"/>
  <c r="I134" i="9"/>
  <c r="J134" i="9"/>
  <c r="K134" i="9"/>
  <c r="L134" i="9"/>
  <c r="G135" i="9"/>
  <c r="H135" i="9"/>
  <c r="I135" i="9"/>
  <c r="J135" i="9"/>
  <c r="K135" i="9"/>
  <c r="L135" i="9"/>
  <c r="G136" i="9"/>
  <c r="H136" i="9"/>
  <c r="I136" i="9"/>
  <c r="J136" i="9"/>
  <c r="K136" i="9"/>
  <c r="L136" i="9"/>
  <c r="G137" i="9"/>
  <c r="H137" i="9"/>
  <c r="I137" i="9"/>
  <c r="J137" i="9"/>
  <c r="K137" i="9"/>
  <c r="L137" i="9"/>
  <c r="G138" i="9"/>
  <c r="H138" i="9"/>
  <c r="I138" i="9"/>
  <c r="J138" i="9"/>
  <c r="K138" i="9"/>
  <c r="L138" i="9"/>
  <c r="G139" i="9"/>
  <c r="H139" i="9"/>
  <c r="I139" i="9"/>
  <c r="J139" i="9"/>
  <c r="K139" i="9"/>
  <c r="L139" i="9"/>
  <c r="G140" i="9"/>
  <c r="H140" i="9"/>
  <c r="I140" i="9"/>
  <c r="J140" i="9"/>
  <c r="K140" i="9"/>
  <c r="L140" i="9"/>
  <c r="G141" i="9"/>
  <c r="H141" i="9"/>
  <c r="I141" i="9"/>
  <c r="J141" i="9"/>
  <c r="K141" i="9"/>
  <c r="L141" i="9"/>
  <c r="G142" i="9"/>
  <c r="H142" i="9"/>
  <c r="I142" i="9"/>
  <c r="J142" i="9"/>
  <c r="K142" i="9"/>
  <c r="L142" i="9"/>
  <c r="G143" i="9"/>
  <c r="H143" i="9"/>
  <c r="I143" i="9"/>
  <c r="J143" i="9"/>
  <c r="K143" i="9"/>
  <c r="L143" i="9"/>
  <c r="G144" i="9"/>
  <c r="H144" i="9"/>
  <c r="I144" i="9"/>
  <c r="J144" i="9"/>
  <c r="K144" i="9"/>
  <c r="L144" i="9"/>
  <c r="G145" i="9"/>
  <c r="H145" i="9"/>
  <c r="I145" i="9"/>
  <c r="J145" i="9"/>
  <c r="K145" i="9"/>
  <c r="L145" i="9"/>
  <c r="G146" i="9"/>
  <c r="H146" i="9"/>
  <c r="I146" i="9"/>
  <c r="J146" i="9"/>
  <c r="K146" i="9"/>
  <c r="L146" i="9"/>
  <c r="G147" i="9"/>
  <c r="H147" i="9"/>
  <c r="I147" i="9"/>
  <c r="J147" i="9"/>
  <c r="K147" i="9"/>
  <c r="L147" i="9"/>
  <c r="G148" i="9"/>
  <c r="H148" i="9"/>
  <c r="I148" i="9"/>
  <c r="J148" i="9"/>
  <c r="K148" i="9"/>
  <c r="L148" i="9"/>
  <c r="G149" i="9"/>
  <c r="H149" i="9"/>
  <c r="I149" i="9"/>
  <c r="J149" i="9"/>
  <c r="K149" i="9"/>
  <c r="L149" i="9"/>
  <c r="G150" i="9"/>
  <c r="H150" i="9"/>
  <c r="I150" i="9"/>
  <c r="J150" i="9"/>
  <c r="K150" i="9"/>
  <c r="L150" i="9"/>
  <c r="G151" i="9"/>
  <c r="H151" i="9"/>
  <c r="I151" i="9"/>
  <c r="J151" i="9"/>
  <c r="K151" i="9"/>
  <c r="L151" i="9"/>
  <c r="G152" i="9"/>
  <c r="H152" i="9"/>
  <c r="I152" i="9"/>
  <c r="J152" i="9"/>
  <c r="K152" i="9"/>
  <c r="L152" i="9"/>
  <c r="G153" i="9"/>
  <c r="H153" i="9"/>
  <c r="I153" i="9"/>
  <c r="J153" i="9"/>
  <c r="K153" i="9"/>
  <c r="L153" i="9"/>
  <c r="G154" i="9"/>
  <c r="H154" i="9"/>
  <c r="I154" i="9"/>
  <c r="J154" i="9"/>
  <c r="K154" i="9"/>
  <c r="L154" i="9"/>
  <c r="G155" i="9"/>
  <c r="H155" i="9"/>
  <c r="I155" i="9"/>
  <c r="J155" i="9"/>
  <c r="K155" i="9"/>
  <c r="L155" i="9"/>
  <c r="G156" i="9"/>
  <c r="H156" i="9"/>
  <c r="I156" i="9"/>
  <c r="J156" i="9"/>
  <c r="K156" i="9"/>
  <c r="L156" i="9"/>
  <c r="G157" i="9"/>
  <c r="H157" i="9"/>
  <c r="I157" i="9"/>
  <c r="J157" i="9"/>
  <c r="K157" i="9"/>
  <c r="L157" i="9"/>
  <c r="G158" i="9"/>
  <c r="H158" i="9"/>
  <c r="I158" i="9"/>
  <c r="J158" i="9"/>
  <c r="K158" i="9"/>
  <c r="L158" i="9"/>
  <c r="G159" i="9"/>
  <c r="H159" i="9"/>
  <c r="I159" i="9"/>
  <c r="J159" i="9"/>
  <c r="K159" i="9"/>
  <c r="L159" i="9"/>
  <c r="G160" i="9"/>
  <c r="H160" i="9"/>
  <c r="I160" i="9"/>
  <c r="J160" i="9"/>
  <c r="K160" i="9"/>
  <c r="L160" i="9"/>
  <c r="G161" i="9"/>
  <c r="H161" i="9"/>
  <c r="I161" i="9"/>
  <c r="J161" i="9"/>
  <c r="K161" i="9"/>
  <c r="L161" i="9"/>
  <c r="G162" i="9"/>
  <c r="H162" i="9"/>
  <c r="I162" i="9"/>
  <c r="J162" i="9"/>
  <c r="K162" i="9"/>
  <c r="L162" i="9"/>
  <c r="G163" i="9"/>
  <c r="H163" i="9"/>
  <c r="I163" i="9"/>
  <c r="J163" i="9"/>
  <c r="K163" i="9"/>
  <c r="L163" i="9"/>
  <c r="G164" i="9"/>
  <c r="H164" i="9"/>
  <c r="I164" i="9"/>
  <c r="J164" i="9"/>
  <c r="K164" i="9"/>
  <c r="L164" i="9"/>
  <c r="G165" i="9"/>
  <c r="H165" i="9"/>
  <c r="I165" i="9"/>
  <c r="J165" i="9"/>
  <c r="K165" i="9"/>
  <c r="L165" i="9"/>
  <c r="G166" i="9"/>
  <c r="H166" i="9"/>
  <c r="I166" i="9"/>
  <c r="J166" i="9"/>
  <c r="K166" i="9"/>
  <c r="L166" i="9"/>
  <c r="G167" i="9"/>
  <c r="H167" i="9"/>
  <c r="I167" i="9"/>
  <c r="J167" i="9"/>
  <c r="K167" i="9"/>
  <c r="L167" i="9"/>
  <c r="G168" i="9"/>
  <c r="H168" i="9"/>
  <c r="I168" i="9"/>
  <c r="J168" i="9"/>
  <c r="K168" i="9"/>
  <c r="L168" i="9"/>
  <c r="G169" i="9"/>
  <c r="H169" i="9"/>
  <c r="I169" i="9"/>
  <c r="J169" i="9"/>
  <c r="K169" i="9"/>
  <c r="L169" i="9"/>
  <c r="G170" i="9"/>
  <c r="H170" i="9"/>
  <c r="I170" i="9"/>
  <c r="J170" i="9"/>
  <c r="K170" i="9"/>
  <c r="L170" i="9"/>
  <c r="G171" i="9"/>
  <c r="H171" i="9"/>
  <c r="I171" i="9"/>
  <c r="J171" i="9"/>
  <c r="K171" i="9"/>
  <c r="L171" i="9"/>
  <c r="G172" i="9"/>
  <c r="H172" i="9"/>
  <c r="I172" i="9"/>
  <c r="J172" i="9"/>
  <c r="K172" i="9"/>
  <c r="L172" i="9"/>
  <c r="G173" i="9"/>
  <c r="H173" i="9"/>
  <c r="I173" i="9"/>
  <c r="J173" i="9"/>
  <c r="K173" i="9"/>
  <c r="L173" i="9"/>
  <c r="G174" i="9"/>
  <c r="H174" i="9"/>
  <c r="I174" i="9"/>
  <c r="J174" i="9"/>
  <c r="K174" i="9"/>
  <c r="L174" i="9"/>
  <c r="G175" i="9"/>
  <c r="H175" i="9"/>
  <c r="I175" i="9"/>
  <c r="J175" i="9"/>
  <c r="K175" i="9"/>
  <c r="L175" i="9"/>
  <c r="G176" i="9"/>
  <c r="H176" i="9"/>
  <c r="I176" i="9"/>
  <c r="J176" i="9"/>
  <c r="K176" i="9"/>
  <c r="L176" i="9"/>
  <c r="G177" i="9"/>
  <c r="H177" i="9"/>
  <c r="I177" i="9"/>
  <c r="J177" i="9"/>
  <c r="K177" i="9"/>
  <c r="L177" i="9"/>
  <c r="G178" i="9"/>
  <c r="H178" i="9"/>
  <c r="I178" i="9"/>
  <c r="J178" i="9"/>
  <c r="K178" i="9"/>
  <c r="L178" i="9"/>
  <c r="G179" i="9"/>
  <c r="H179" i="9"/>
  <c r="I179" i="9"/>
  <c r="J179" i="9"/>
  <c r="K179" i="9"/>
  <c r="L179" i="9"/>
  <c r="G180" i="9"/>
  <c r="H180" i="9"/>
  <c r="I180" i="9"/>
  <c r="J180" i="9"/>
  <c r="K180" i="9"/>
  <c r="L180" i="9"/>
  <c r="G181" i="9"/>
  <c r="H181" i="9"/>
  <c r="I181" i="9"/>
  <c r="J181" i="9"/>
  <c r="K181" i="9"/>
  <c r="L181" i="9"/>
  <c r="G182" i="9"/>
  <c r="H182" i="9"/>
  <c r="I182" i="9"/>
  <c r="J182" i="9"/>
  <c r="K182" i="9"/>
  <c r="L182" i="9"/>
  <c r="G183" i="9"/>
  <c r="H183" i="9"/>
  <c r="I183" i="9"/>
  <c r="J183" i="9"/>
  <c r="K183" i="9"/>
  <c r="L183" i="9"/>
  <c r="G184" i="9"/>
  <c r="H184" i="9"/>
  <c r="I184" i="9"/>
  <c r="J184" i="9"/>
  <c r="K184" i="9"/>
  <c r="L184" i="9"/>
  <c r="G185" i="9"/>
  <c r="H185" i="9"/>
  <c r="I185" i="9"/>
  <c r="J185" i="9"/>
  <c r="K185" i="9"/>
  <c r="L185" i="9"/>
  <c r="G186" i="9"/>
  <c r="H186" i="9"/>
  <c r="I186" i="9"/>
  <c r="J186" i="9"/>
  <c r="K186" i="9"/>
  <c r="L186" i="9"/>
  <c r="G187" i="9"/>
  <c r="H187" i="9"/>
  <c r="I187" i="9"/>
  <c r="J187" i="9"/>
  <c r="K187" i="9"/>
  <c r="L187" i="9"/>
  <c r="G188" i="9"/>
  <c r="H188" i="9"/>
  <c r="I188" i="9"/>
  <c r="J188" i="9"/>
  <c r="K188" i="9"/>
  <c r="L188" i="9"/>
  <c r="G189" i="9"/>
  <c r="H189" i="9"/>
  <c r="I189" i="9"/>
  <c r="J189" i="9"/>
  <c r="K189" i="9"/>
  <c r="L189" i="9"/>
  <c r="G190" i="9"/>
  <c r="H190" i="9"/>
  <c r="I190" i="9"/>
  <c r="J190" i="9"/>
  <c r="K190" i="9"/>
  <c r="L190" i="9"/>
  <c r="G191" i="9"/>
  <c r="H191" i="9"/>
  <c r="I191" i="9"/>
  <c r="J191" i="9"/>
  <c r="K191" i="9"/>
  <c r="L191" i="9"/>
  <c r="G192" i="9"/>
  <c r="H192" i="9"/>
  <c r="I192" i="9"/>
  <c r="J192" i="9"/>
  <c r="K192" i="9"/>
  <c r="L192" i="9"/>
  <c r="G193" i="9"/>
  <c r="H193" i="9"/>
  <c r="I193" i="9"/>
  <c r="J193" i="9"/>
  <c r="K193" i="9"/>
  <c r="L193" i="9"/>
  <c r="G194" i="9"/>
  <c r="H194" i="9"/>
  <c r="I194" i="9"/>
  <c r="J194" i="9"/>
  <c r="K194" i="9"/>
  <c r="L194" i="9"/>
  <c r="G195" i="9"/>
  <c r="H195" i="9"/>
  <c r="I195" i="9"/>
  <c r="J195" i="9"/>
  <c r="K195" i="9"/>
  <c r="L195" i="9"/>
  <c r="G196" i="9"/>
  <c r="H196" i="9"/>
  <c r="I196" i="9"/>
  <c r="J196" i="9"/>
  <c r="K196" i="9"/>
  <c r="L196" i="9"/>
  <c r="G197" i="9"/>
  <c r="H197" i="9"/>
  <c r="I197" i="9"/>
  <c r="J197" i="9"/>
  <c r="K197" i="9"/>
  <c r="L197" i="9"/>
  <c r="G198" i="9"/>
  <c r="H198" i="9"/>
  <c r="I198" i="9"/>
  <c r="J198" i="9"/>
  <c r="K198" i="9"/>
  <c r="L198" i="9"/>
  <c r="G199" i="9"/>
  <c r="H199" i="9"/>
  <c r="I199" i="9"/>
  <c r="J199" i="9"/>
  <c r="K199" i="9"/>
  <c r="L199" i="9"/>
  <c r="G200" i="9"/>
  <c r="H200" i="9"/>
  <c r="I200" i="9"/>
  <c r="J200" i="9"/>
  <c r="K200" i="9"/>
  <c r="L200" i="9"/>
  <c r="G201" i="9"/>
  <c r="H201" i="9"/>
  <c r="I201" i="9"/>
  <c r="J201" i="9"/>
  <c r="K201" i="9"/>
  <c r="L201" i="9"/>
  <c r="G202" i="9"/>
  <c r="H202" i="9"/>
  <c r="I202" i="9"/>
  <c r="J202" i="9"/>
  <c r="K202" i="9"/>
  <c r="L202" i="9"/>
  <c r="G203" i="9"/>
  <c r="H203" i="9"/>
  <c r="I203" i="9"/>
  <c r="J203" i="9"/>
  <c r="K203" i="9"/>
  <c r="L203" i="9"/>
  <c r="G204" i="9"/>
  <c r="H204" i="9"/>
  <c r="I204" i="9"/>
  <c r="J204" i="9"/>
  <c r="K204" i="9"/>
  <c r="L204" i="9"/>
  <c r="G205" i="9"/>
  <c r="H205" i="9"/>
  <c r="I205" i="9"/>
  <c r="J205" i="9"/>
  <c r="K205" i="9"/>
  <c r="L205" i="9"/>
  <c r="G206" i="9"/>
  <c r="H206" i="9"/>
  <c r="I206" i="9"/>
  <c r="J206" i="9"/>
  <c r="K206" i="9"/>
  <c r="L206" i="9"/>
  <c r="G207" i="9"/>
  <c r="H207" i="9"/>
  <c r="I207" i="9"/>
  <c r="J207" i="9"/>
  <c r="K207" i="9"/>
  <c r="L207" i="9"/>
  <c r="G208" i="9"/>
  <c r="H208" i="9"/>
  <c r="I208" i="9"/>
  <c r="J208" i="9"/>
  <c r="K208" i="9"/>
  <c r="L208" i="9"/>
  <c r="G209" i="9"/>
  <c r="H209" i="9"/>
  <c r="I209" i="9"/>
  <c r="J209" i="9"/>
  <c r="K209" i="9"/>
  <c r="L209" i="9"/>
  <c r="G210" i="9"/>
  <c r="H210" i="9"/>
  <c r="I210" i="9"/>
  <c r="J210" i="9"/>
  <c r="K210" i="9"/>
  <c r="L210" i="9"/>
  <c r="G211" i="9"/>
  <c r="H211" i="9"/>
  <c r="I211" i="9"/>
  <c r="J211" i="9"/>
  <c r="K211" i="9"/>
  <c r="L211" i="9"/>
  <c r="G212" i="9"/>
  <c r="H212" i="9"/>
  <c r="I212" i="9"/>
  <c r="J212" i="9"/>
  <c r="K212" i="9"/>
  <c r="L212" i="9"/>
  <c r="G213" i="9"/>
  <c r="H213" i="9"/>
  <c r="I213" i="9"/>
  <c r="J213" i="9"/>
  <c r="K213" i="9"/>
  <c r="L213" i="9"/>
  <c r="G214" i="9"/>
  <c r="H214" i="9"/>
  <c r="I214" i="9"/>
  <c r="J214" i="9"/>
  <c r="K214" i="9"/>
  <c r="L214" i="9"/>
  <c r="G215" i="9"/>
  <c r="H215" i="9"/>
  <c r="I215" i="9"/>
  <c r="J215" i="9"/>
  <c r="K215" i="9"/>
  <c r="L215" i="9"/>
  <c r="G216" i="9"/>
  <c r="H216" i="9"/>
  <c r="I216" i="9"/>
  <c r="J216" i="9"/>
  <c r="K216" i="9"/>
  <c r="L216" i="9"/>
  <c r="G217" i="9"/>
  <c r="H217" i="9"/>
  <c r="I217" i="9"/>
  <c r="J217" i="9"/>
  <c r="K217" i="9"/>
  <c r="L217" i="9"/>
  <c r="G218" i="9"/>
  <c r="H218" i="9"/>
  <c r="I218" i="9"/>
  <c r="J218" i="9"/>
  <c r="K218" i="9"/>
  <c r="L218" i="9"/>
  <c r="G219" i="9"/>
  <c r="H219" i="9"/>
  <c r="I219" i="9"/>
  <c r="J219" i="9"/>
  <c r="K219" i="9"/>
  <c r="L219" i="9"/>
  <c r="G220" i="9"/>
  <c r="H220" i="9"/>
  <c r="I220" i="9"/>
  <c r="J220" i="9"/>
  <c r="K220" i="9"/>
  <c r="L220" i="9"/>
  <c r="G221" i="9"/>
  <c r="H221" i="9"/>
  <c r="I221" i="9"/>
  <c r="J221" i="9"/>
  <c r="K221" i="9"/>
  <c r="L221" i="9"/>
  <c r="G222" i="9"/>
  <c r="H222" i="9"/>
  <c r="I222" i="9"/>
  <c r="J222" i="9"/>
  <c r="K222" i="9"/>
  <c r="L222" i="9"/>
  <c r="G223" i="9"/>
  <c r="H223" i="9"/>
  <c r="I223" i="9"/>
  <c r="J223" i="9"/>
  <c r="K223" i="9"/>
  <c r="L223" i="9"/>
  <c r="G224" i="9"/>
  <c r="H224" i="9"/>
  <c r="I224" i="9"/>
  <c r="J224" i="9"/>
  <c r="K224" i="9"/>
  <c r="L224" i="9"/>
  <c r="G225" i="9"/>
  <c r="H225" i="9"/>
  <c r="I225" i="9"/>
  <c r="J225" i="9"/>
  <c r="K225" i="9"/>
  <c r="L225" i="9"/>
  <c r="G226" i="9"/>
  <c r="H226" i="9"/>
  <c r="I226" i="9"/>
  <c r="J226" i="9"/>
  <c r="K226" i="9"/>
  <c r="L226" i="9"/>
  <c r="G227" i="9"/>
  <c r="H227" i="9"/>
  <c r="I227" i="9"/>
  <c r="J227" i="9"/>
  <c r="K227" i="9"/>
  <c r="L227" i="9"/>
  <c r="G228" i="9"/>
  <c r="H228" i="9"/>
  <c r="I228" i="9"/>
  <c r="J228" i="9"/>
  <c r="K228" i="9"/>
  <c r="L228" i="9"/>
  <c r="G229" i="9"/>
  <c r="H229" i="9"/>
  <c r="I229" i="9"/>
  <c r="J229" i="9"/>
  <c r="K229" i="9"/>
  <c r="L229" i="9"/>
  <c r="G230" i="9"/>
  <c r="H230" i="9"/>
  <c r="I230" i="9"/>
  <c r="J230" i="9"/>
  <c r="K230" i="9"/>
  <c r="L230" i="9"/>
  <c r="G231" i="9"/>
  <c r="H231" i="9"/>
  <c r="I231" i="9"/>
  <c r="J231" i="9"/>
  <c r="K231" i="9"/>
  <c r="L231" i="9"/>
  <c r="G232" i="9"/>
  <c r="H232" i="9"/>
  <c r="I232" i="9"/>
  <c r="J232" i="9"/>
  <c r="K232" i="9"/>
  <c r="L232" i="9"/>
  <c r="G233" i="9"/>
  <c r="H233" i="9"/>
  <c r="I233" i="9"/>
  <c r="J233" i="9"/>
  <c r="K233" i="9"/>
  <c r="L233" i="9"/>
  <c r="G234" i="9"/>
  <c r="H234" i="9"/>
  <c r="I234" i="9"/>
  <c r="J234" i="9"/>
  <c r="K234" i="9"/>
  <c r="L234" i="9"/>
  <c r="G235" i="9"/>
  <c r="H235" i="9"/>
  <c r="I235" i="9"/>
  <c r="J235" i="9"/>
  <c r="K235" i="9"/>
  <c r="L235" i="9"/>
  <c r="G236" i="9"/>
  <c r="H236" i="9"/>
  <c r="I236" i="9"/>
  <c r="J236" i="9"/>
  <c r="K236" i="9"/>
  <c r="L236" i="9"/>
  <c r="G237" i="9"/>
  <c r="H237" i="9"/>
  <c r="I237" i="9"/>
  <c r="J237" i="9"/>
  <c r="K237" i="9"/>
  <c r="L237" i="9"/>
  <c r="G238" i="9"/>
  <c r="H238" i="9"/>
  <c r="I238" i="9"/>
  <c r="J238" i="9"/>
  <c r="K238" i="9"/>
  <c r="L238" i="9"/>
  <c r="G239" i="9"/>
  <c r="H239" i="9"/>
  <c r="I239" i="9"/>
  <c r="J239" i="9"/>
  <c r="K239" i="9"/>
  <c r="L239" i="9"/>
  <c r="G240" i="9"/>
  <c r="H240" i="9"/>
  <c r="I240" i="9"/>
  <c r="J240" i="9"/>
  <c r="K240" i="9"/>
  <c r="L240" i="9"/>
  <c r="G241" i="9"/>
  <c r="H241" i="9"/>
  <c r="I241" i="9"/>
  <c r="J241" i="9"/>
  <c r="K241" i="9"/>
  <c r="L241" i="9"/>
  <c r="G242" i="9"/>
  <c r="H242" i="9"/>
  <c r="I242" i="9"/>
  <c r="J242" i="9"/>
  <c r="K242" i="9"/>
  <c r="L242" i="9"/>
  <c r="G243" i="9"/>
  <c r="H243" i="9"/>
  <c r="I243" i="9"/>
  <c r="J243" i="9"/>
  <c r="K243" i="9"/>
  <c r="L243" i="9"/>
  <c r="G244" i="9"/>
  <c r="H244" i="9"/>
  <c r="I244" i="9"/>
  <c r="J244" i="9"/>
  <c r="K244" i="9"/>
  <c r="L244" i="9"/>
  <c r="G245" i="9"/>
  <c r="H245" i="9"/>
  <c r="I245" i="9"/>
  <c r="J245" i="9"/>
  <c r="K245" i="9"/>
  <c r="L245" i="9"/>
  <c r="G246" i="9"/>
  <c r="H246" i="9"/>
  <c r="I246" i="9"/>
  <c r="J246" i="9"/>
  <c r="K246" i="9"/>
  <c r="L246" i="9"/>
  <c r="G247" i="9"/>
  <c r="H247" i="9"/>
  <c r="I247" i="9"/>
  <c r="J247" i="9"/>
  <c r="K247" i="9"/>
  <c r="L247" i="9"/>
  <c r="G248" i="9"/>
  <c r="H248" i="9"/>
  <c r="I248" i="9"/>
  <c r="J248" i="9"/>
  <c r="K248" i="9"/>
  <c r="L248" i="9"/>
  <c r="G249" i="9"/>
  <c r="H249" i="9"/>
  <c r="I249" i="9"/>
  <c r="J249" i="9"/>
  <c r="K249" i="9"/>
  <c r="L249" i="9"/>
  <c r="G250" i="9"/>
  <c r="H250" i="9"/>
  <c r="I250" i="9"/>
  <c r="J250" i="9"/>
  <c r="K250" i="9"/>
  <c r="L250" i="9"/>
  <c r="G251" i="9"/>
  <c r="H251" i="9"/>
  <c r="I251" i="9"/>
  <c r="J251" i="9"/>
  <c r="K251" i="9"/>
  <c r="L251" i="9"/>
  <c r="G252" i="9"/>
  <c r="H252" i="9"/>
  <c r="I252" i="9"/>
  <c r="J252" i="9"/>
  <c r="K252" i="9"/>
  <c r="L252" i="9"/>
  <c r="G253" i="9"/>
  <c r="H253" i="9"/>
  <c r="I253" i="9"/>
  <c r="J253" i="9"/>
  <c r="K253" i="9"/>
  <c r="L253" i="9"/>
  <c r="G254" i="9"/>
  <c r="H254" i="9"/>
  <c r="I254" i="9"/>
  <c r="J254" i="9"/>
  <c r="K254" i="9"/>
  <c r="L254" i="9"/>
  <c r="G255" i="9"/>
  <c r="H255" i="9"/>
  <c r="I255" i="9"/>
  <c r="J255" i="9"/>
  <c r="K255" i="9"/>
  <c r="L255" i="9"/>
  <c r="G256" i="9"/>
  <c r="H256" i="9"/>
  <c r="I256" i="9"/>
  <c r="J256" i="9"/>
  <c r="K256" i="9"/>
  <c r="L256" i="9"/>
  <c r="G257" i="9"/>
  <c r="H257" i="9"/>
  <c r="I257" i="9"/>
  <c r="J257" i="9"/>
  <c r="K257" i="9"/>
  <c r="L257" i="9"/>
  <c r="G258" i="9"/>
  <c r="H258" i="9"/>
  <c r="I258" i="9"/>
  <c r="J258" i="9"/>
  <c r="K258" i="9"/>
  <c r="L258" i="9"/>
  <c r="G259" i="9"/>
  <c r="H259" i="9"/>
  <c r="I259" i="9"/>
  <c r="J259" i="9"/>
  <c r="K259" i="9"/>
  <c r="L259" i="9"/>
  <c r="G260" i="9"/>
  <c r="H260" i="9"/>
  <c r="I260" i="9"/>
  <c r="J260" i="9"/>
  <c r="K260" i="9"/>
  <c r="L260" i="9"/>
  <c r="G261" i="9"/>
  <c r="H261" i="9"/>
  <c r="I261" i="9"/>
  <c r="J261" i="9"/>
  <c r="K261" i="9"/>
  <c r="L261" i="9"/>
  <c r="G262" i="9"/>
  <c r="H262" i="9"/>
  <c r="I262" i="9"/>
  <c r="J262" i="9"/>
  <c r="K262" i="9"/>
  <c r="L262" i="9"/>
  <c r="G263" i="9"/>
  <c r="H263" i="9"/>
  <c r="I263" i="9"/>
  <c r="J263" i="9"/>
  <c r="K263" i="9"/>
  <c r="L263" i="9"/>
  <c r="G264" i="9"/>
  <c r="H264" i="9"/>
  <c r="I264" i="9"/>
  <c r="J264" i="9"/>
  <c r="K264" i="9"/>
  <c r="L264" i="9"/>
  <c r="G265" i="9"/>
  <c r="H265" i="9"/>
  <c r="I265" i="9"/>
  <c r="J265" i="9"/>
  <c r="K265" i="9"/>
  <c r="L265" i="9"/>
  <c r="G266" i="9"/>
  <c r="H266" i="9"/>
  <c r="I266" i="9"/>
  <c r="J266" i="9"/>
  <c r="K266" i="9"/>
  <c r="L266" i="9"/>
  <c r="G267" i="9"/>
  <c r="H267" i="9"/>
  <c r="I267" i="9"/>
  <c r="J267" i="9"/>
  <c r="K267" i="9"/>
  <c r="L267" i="9"/>
  <c r="G268" i="9"/>
  <c r="H268" i="9"/>
  <c r="I268" i="9"/>
  <c r="J268" i="9"/>
  <c r="K268" i="9"/>
  <c r="L268" i="9"/>
  <c r="G269" i="9"/>
  <c r="H269" i="9"/>
  <c r="I269" i="9"/>
  <c r="J269" i="9"/>
  <c r="K269" i="9"/>
  <c r="L269" i="9"/>
  <c r="G270" i="9"/>
  <c r="H270" i="9"/>
  <c r="I270" i="9"/>
  <c r="J270" i="9"/>
  <c r="K270" i="9"/>
  <c r="L270" i="9"/>
  <c r="G271" i="9"/>
  <c r="H271" i="9"/>
  <c r="I271" i="9"/>
  <c r="J271" i="9"/>
  <c r="K271" i="9"/>
  <c r="L271" i="9"/>
  <c r="G272" i="9"/>
  <c r="H272" i="9"/>
  <c r="I272" i="9"/>
  <c r="J272" i="9"/>
  <c r="K272" i="9"/>
  <c r="L272" i="9"/>
  <c r="G273" i="9"/>
  <c r="H273" i="9"/>
  <c r="I273" i="9"/>
  <c r="J273" i="9"/>
  <c r="K273" i="9"/>
  <c r="L273" i="9"/>
  <c r="G274" i="9"/>
  <c r="H274" i="9"/>
  <c r="I274" i="9"/>
  <c r="J274" i="9"/>
  <c r="K274" i="9"/>
  <c r="L274" i="9"/>
  <c r="G275" i="9"/>
  <c r="H275" i="9"/>
  <c r="I275" i="9"/>
  <c r="J275" i="9"/>
  <c r="K275" i="9"/>
  <c r="L275" i="9"/>
  <c r="G276" i="9"/>
  <c r="H276" i="9"/>
  <c r="I276" i="9"/>
  <c r="J276" i="9"/>
  <c r="K276" i="9"/>
  <c r="L276" i="9"/>
  <c r="G277" i="9"/>
  <c r="H277" i="9"/>
  <c r="I277" i="9"/>
  <c r="J277" i="9"/>
  <c r="K277" i="9"/>
  <c r="L277" i="9"/>
  <c r="G278" i="9"/>
  <c r="H278" i="9"/>
  <c r="I278" i="9"/>
  <c r="J278" i="9"/>
  <c r="K278" i="9"/>
  <c r="L278" i="9"/>
  <c r="G279" i="9"/>
  <c r="H279" i="9"/>
  <c r="I279" i="9"/>
  <c r="J279" i="9"/>
  <c r="K279" i="9"/>
  <c r="L279" i="9"/>
  <c r="G280" i="9"/>
  <c r="H280" i="9"/>
  <c r="I280" i="9"/>
  <c r="J280" i="9"/>
  <c r="K280" i="9"/>
  <c r="L280" i="9"/>
  <c r="G281" i="9"/>
  <c r="H281" i="9"/>
  <c r="I281" i="9"/>
  <c r="J281" i="9"/>
  <c r="K281" i="9"/>
  <c r="L281" i="9"/>
  <c r="G282" i="9"/>
  <c r="H282" i="9"/>
  <c r="I282" i="9"/>
  <c r="J282" i="9"/>
  <c r="K282" i="9"/>
  <c r="L282" i="9"/>
  <c r="G283" i="9"/>
  <c r="H283" i="9"/>
  <c r="I283" i="9"/>
  <c r="J283" i="9"/>
  <c r="K283" i="9"/>
  <c r="L283" i="9"/>
  <c r="G284" i="9"/>
  <c r="H284" i="9"/>
  <c r="I284" i="9"/>
  <c r="J284" i="9"/>
  <c r="K284" i="9"/>
  <c r="L284" i="9"/>
  <c r="G285" i="9"/>
  <c r="H285" i="9"/>
  <c r="I285" i="9"/>
  <c r="J285" i="9"/>
  <c r="K285" i="9"/>
  <c r="L285" i="9"/>
  <c r="G286" i="9"/>
  <c r="H286" i="9"/>
  <c r="I286" i="9"/>
  <c r="J286" i="9"/>
  <c r="K286" i="9"/>
  <c r="L286" i="9"/>
  <c r="G287" i="9"/>
  <c r="H287" i="9"/>
  <c r="I287" i="9"/>
  <c r="J287" i="9"/>
  <c r="K287" i="9"/>
  <c r="L287" i="9"/>
  <c r="G288" i="9"/>
  <c r="H288" i="9"/>
  <c r="I288" i="9"/>
  <c r="J288" i="9"/>
  <c r="K288" i="9"/>
  <c r="L288" i="9"/>
  <c r="G289" i="9"/>
  <c r="H289" i="9"/>
  <c r="I289" i="9"/>
  <c r="J289" i="9"/>
  <c r="K289" i="9"/>
  <c r="L289" i="9"/>
  <c r="G290" i="9"/>
  <c r="H290" i="9"/>
  <c r="I290" i="9"/>
  <c r="J290" i="9"/>
  <c r="K290" i="9"/>
  <c r="L290" i="9"/>
  <c r="G291" i="9"/>
  <c r="H291" i="9"/>
  <c r="I291" i="9"/>
  <c r="J291" i="9"/>
  <c r="K291" i="9"/>
  <c r="L291" i="9"/>
  <c r="G292" i="9"/>
  <c r="H292" i="9"/>
  <c r="I292" i="9"/>
  <c r="J292" i="9"/>
  <c r="K292" i="9"/>
  <c r="L292" i="9"/>
  <c r="G293" i="9"/>
  <c r="H293" i="9"/>
  <c r="I293" i="9"/>
  <c r="J293" i="9"/>
  <c r="K293" i="9"/>
  <c r="L293" i="9"/>
  <c r="G294" i="9"/>
  <c r="H294" i="9"/>
  <c r="I294" i="9"/>
  <c r="J294" i="9"/>
  <c r="K294" i="9"/>
  <c r="L294" i="9"/>
  <c r="G295" i="9"/>
  <c r="H295" i="9"/>
  <c r="I295" i="9"/>
  <c r="J295" i="9"/>
  <c r="K295" i="9"/>
  <c r="L295" i="9"/>
  <c r="G296" i="9"/>
  <c r="H296" i="9"/>
  <c r="I296" i="9"/>
  <c r="J296" i="9"/>
  <c r="K296" i="9"/>
  <c r="L296" i="9"/>
  <c r="G297" i="9"/>
  <c r="H297" i="9"/>
  <c r="I297" i="9"/>
  <c r="J297" i="9"/>
  <c r="K297" i="9"/>
  <c r="L297" i="9"/>
  <c r="G298" i="9"/>
  <c r="H298" i="9"/>
  <c r="I298" i="9"/>
  <c r="J298" i="9"/>
  <c r="K298" i="9"/>
  <c r="L298" i="9"/>
  <c r="G299" i="9"/>
  <c r="H299" i="9"/>
  <c r="I299" i="9"/>
  <c r="J299" i="9"/>
  <c r="K299" i="9"/>
  <c r="L299" i="9"/>
  <c r="G300" i="9"/>
  <c r="H300" i="9"/>
  <c r="I300" i="9"/>
  <c r="J300" i="9"/>
  <c r="K300" i="9"/>
  <c r="L300" i="9"/>
  <c r="G301" i="9"/>
  <c r="H301" i="9"/>
  <c r="I301" i="9"/>
  <c r="J301" i="9"/>
  <c r="K301" i="9"/>
  <c r="L301" i="9"/>
  <c r="G302" i="9"/>
  <c r="H302" i="9"/>
  <c r="I302" i="9"/>
  <c r="J302" i="9"/>
  <c r="K302" i="9"/>
  <c r="L302" i="9"/>
  <c r="G303" i="9"/>
  <c r="H303" i="9"/>
  <c r="I303" i="9"/>
  <c r="J303" i="9"/>
  <c r="K303" i="9"/>
  <c r="L303" i="9"/>
  <c r="G304" i="9"/>
  <c r="H304" i="9"/>
  <c r="I304" i="9"/>
  <c r="J304" i="9"/>
  <c r="K304" i="9"/>
  <c r="L304" i="9"/>
  <c r="G305" i="9"/>
  <c r="H305" i="9"/>
  <c r="I305" i="9"/>
  <c r="J305" i="9"/>
  <c r="K305" i="9"/>
  <c r="L305" i="9"/>
  <c r="G306" i="9"/>
  <c r="H306" i="9"/>
  <c r="I306" i="9"/>
  <c r="J306" i="9"/>
  <c r="K306" i="9"/>
  <c r="L306" i="9"/>
  <c r="G307" i="9"/>
  <c r="H307" i="9"/>
  <c r="I307" i="9"/>
  <c r="J307" i="9"/>
  <c r="K307" i="9"/>
  <c r="L307" i="9"/>
  <c r="G308" i="9"/>
  <c r="H308" i="9"/>
  <c r="I308" i="9"/>
  <c r="J308" i="9"/>
  <c r="K308" i="9"/>
  <c r="L308" i="9"/>
  <c r="G309" i="9"/>
  <c r="H309" i="9"/>
  <c r="I309" i="9"/>
  <c r="J309" i="9"/>
  <c r="K309" i="9"/>
  <c r="L309" i="9"/>
  <c r="G310" i="9"/>
  <c r="H310" i="9"/>
  <c r="I310" i="9"/>
  <c r="J310" i="9"/>
  <c r="K310" i="9"/>
  <c r="L310" i="9"/>
  <c r="G311" i="9"/>
  <c r="H311" i="9"/>
  <c r="I311" i="9"/>
  <c r="J311" i="9"/>
  <c r="K311" i="9"/>
  <c r="L311" i="9"/>
  <c r="G312" i="9"/>
  <c r="H312" i="9"/>
  <c r="I312" i="9"/>
  <c r="J312" i="9"/>
  <c r="K312" i="9"/>
  <c r="L312" i="9"/>
  <c r="G313" i="9"/>
  <c r="H313" i="9"/>
  <c r="I313" i="9"/>
  <c r="J313" i="9"/>
  <c r="K313" i="9"/>
  <c r="L313" i="9"/>
  <c r="G314" i="9"/>
  <c r="H314" i="9"/>
  <c r="I314" i="9"/>
  <c r="J314" i="9"/>
  <c r="K314" i="9"/>
  <c r="L314" i="9"/>
  <c r="G315" i="9"/>
  <c r="H315" i="9"/>
  <c r="I315" i="9"/>
  <c r="J315" i="9"/>
  <c r="K315" i="9"/>
  <c r="L315" i="9"/>
  <c r="G316" i="9"/>
  <c r="H316" i="9"/>
  <c r="I316" i="9"/>
  <c r="J316" i="9"/>
  <c r="K316" i="9"/>
  <c r="L316" i="9"/>
  <c r="G317" i="9"/>
  <c r="H317" i="9"/>
  <c r="I317" i="9"/>
  <c r="J317" i="9"/>
  <c r="K317" i="9"/>
  <c r="L317" i="9"/>
  <c r="G318" i="9"/>
  <c r="H318" i="9"/>
  <c r="I318" i="9"/>
  <c r="J318" i="9"/>
  <c r="K318" i="9"/>
  <c r="L318" i="9"/>
  <c r="G319" i="9"/>
  <c r="H319" i="9"/>
  <c r="I319" i="9"/>
  <c r="J319" i="9"/>
  <c r="K319" i="9"/>
  <c r="L319" i="9"/>
  <c r="G320" i="9"/>
  <c r="H320" i="9"/>
  <c r="I320" i="9"/>
  <c r="J320" i="9"/>
  <c r="K320" i="9"/>
  <c r="L320" i="9"/>
  <c r="G321" i="9"/>
  <c r="H321" i="9"/>
  <c r="I321" i="9"/>
  <c r="J321" i="9"/>
  <c r="K321" i="9"/>
  <c r="L321" i="9"/>
  <c r="G322" i="9"/>
  <c r="H322" i="9"/>
  <c r="I322" i="9"/>
  <c r="J322" i="9"/>
  <c r="K322" i="9"/>
  <c r="L322" i="9"/>
  <c r="G323" i="9"/>
  <c r="H323" i="9"/>
  <c r="I323" i="9"/>
  <c r="J323" i="9"/>
  <c r="K323" i="9"/>
  <c r="L323" i="9"/>
  <c r="G324" i="9"/>
  <c r="H324" i="9"/>
  <c r="I324" i="9"/>
  <c r="J324" i="9"/>
  <c r="K324" i="9"/>
  <c r="L324" i="9"/>
  <c r="G325" i="9"/>
  <c r="H325" i="9"/>
  <c r="I325" i="9"/>
  <c r="J325" i="9"/>
  <c r="K325" i="9"/>
  <c r="L325" i="9"/>
  <c r="G326" i="9"/>
  <c r="H326" i="9"/>
  <c r="I326" i="9"/>
  <c r="J326" i="9"/>
  <c r="K326" i="9"/>
  <c r="L326" i="9"/>
  <c r="G327" i="9"/>
  <c r="H327" i="9"/>
  <c r="I327" i="9"/>
  <c r="J327" i="9"/>
  <c r="K327" i="9"/>
  <c r="L327" i="9"/>
  <c r="G328" i="9"/>
  <c r="H328" i="9"/>
  <c r="I328" i="9"/>
  <c r="J328" i="9"/>
  <c r="K328" i="9"/>
  <c r="L328" i="9"/>
  <c r="G329" i="9"/>
  <c r="H329" i="9"/>
  <c r="I329" i="9"/>
  <c r="J329" i="9"/>
  <c r="K329" i="9"/>
  <c r="L329" i="9"/>
  <c r="G330" i="9"/>
  <c r="H330" i="9"/>
  <c r="I330" i="9"/>
  <c r="J330" i="9"/>
  <c r="K330" i="9"/>
  <c r="L330" i="9"/>
  <c r="G331" i="9"/>
  <c r="H331" i="9"/>
  <c r="I331" i="9"/>
  <c r="J331" i="9"/>
  <c r="K331" i="9"/>
  <c r="L331" i="9"/>
  <c r="G332" i="9"/>
  <c r="H332" i="9"/>
  <c r="I332" i="9"/>
  <c r="J332" i="9"/>
  <c r="K332" i="9"/>
  <c r="L332" i="9"/>
  <c r="G333" i="9"/>
  <c r="H333" i="9"/>
  <c r="I333" i="9"/>
  <c r="J333" i="9"/>
  <c r="K333" i="9"/>
  <c r="L333" i="9"/>
  <c r="G334" i="9"/>
  <c r="H334" i="9"/>
  <c r="I334" i="9"/>
  <c r="J334" i="9"/>
  <c r="K334" i="9"/>
  <c r="L334" i="9"/>
  <c r="G335" i="9"/>
  <c r="H335" i="9"/>
  <c r="I335" i="9"/>
  <c r="J335" i="9"/>
  <c r="K335" i="9"/>
  <c r="L335" i="9"/>
  <c r="G336" i="9"/>
  <c r="H336" i="9"/>
  <c r="I336" i="9"/>
  <c r="J336" i="9"/>
  <c r="K336" i="9"/>
  <c r="L336" i="9"/>
  <c r="G337" i="9"/>
  <c r="H337" i="9"/>
  <c r="I337" i="9"/>
  <c r="J337" i="9"/>
  <c r="K337" i="9"/>
  <c r="L337" i="9"/>
  <c r="G338" i="9"/>
  <c r="H338" i="9"/>
  <c r="I338" i="9"/>
  <c r="J338" i="9"/>
  <c r="K338" i="9"/>
  <c r="L338" i="9"/>
  <c r="G339" i="9"/>
  <c r="H339" i="9"/>
  <c r="I339" i="9"/>
  <c r="J339" i="9"/>
  <c r="K339" i="9"/>
  <c r="L339" i="9"/>
  <c r="G340" i="9"/>
  <c r="H340" i="9"/>
  <c r="I340" i="9"/>
  <c r="J340" i="9"/>
  <c r="K340" i="9"/>
  <c r="L340" i="9"/>
  <c r="G341" i="9"/>
  <c r="H341" i="9"/>
  <c r="I341" i="9"/>
  <c r="J341" i="9"/>
  <c r="K341" i="9"/>
  <c r="L341" i="9"/>
  <c r="G342" i="9"/>
  <c r="H342" i="9"/>
  <c r="I342" i="9"/>
  <c r="J342" i="9"/>
  <c r="K342" i="9"/>
  <c r="L342" i="9"/>
  <c r="G343" i="9"/>
  <c r="H343" i="9"/>
  <c r="I343" i="9"/>
  <c r="J343" i="9"/>
  <c r="K343" i="9"/>
  <c r="L343" i="9"/>
  <c r="G344" i="9"/>
  <c r="H344" i="9"/>
  <c r="I344" i="9"/>
  <c r="J344" i="9"/>
  <c r="K344" i="9"/>
  <c r="L344" i="9"/>
  <c r="G345" i="9"/>
  <c r="H345" i="9"/>
  <c r="I345" i="9"/>
  <c r="J345" i="9"/>
  <c r="K345" i="9"/>
  <c r="L345" i="9"/>
  <c r="G346" i="9"/>
  <c r="H346" i="9"/>
  <c r="I346" i="9"/>
  <c r="J346" i="9"/>
  <c r="K346" i="9"/>
  <c r="L346" i="9"/>
  <c r="G347" i="9"/>
  <c r="H347" i="9"/>
  <c r="I347" i="9"/>
  <c r="J347" i="9"/>
  <c r="K347" i="9"/>
  <c r="L347" i="9"/>
  <c r="G348" i="9"/>
  <c r="H348" i="9"/>
  <c r="I348" i="9"/>
  <c r="J348" i="9"/>
  <c r="K348" i="9"/>
  <c r="L348" i="9"/>
  <c r="G349" i="9"/>
  <c r="H349" i="9"/>
  <c r="I349" i="9"/>
  <c r="J349" i="9"/>
  <c r="K349" i="9"/>
  <c r="L349" i="9"/>
  <c r="G350" i="9"/>
  <c r="H350" i="9"/>
  <c r="I350" i="9"/>
  <c r="J350" i="9"/>
  <c r="K350" i="9"/>
  <c r="L350" i="9"/>
  <c r="G351" i="9"/>
  <c r="H351" i="9"/>
  <c r="I351" i="9"/>
  <c r="J351" i="9"/>
  <c r="K351" i="9"/>
  <c r="L351" i="9"/>
  <c r="G352" i="9"/>
  <c r="H352" i="9"/>
  <c r="I352" i="9"/>
  <c r="J352" i="9"/>
  <c r="K352" i="9"/>
  <c r="L352" i="9"/>
  <c r="G353" i="9"/>
  <c r="H353" i="9"/>
  <c r="I353" i="9"/>
  <c r="J353" i="9"/>
  <c r="K353" i="9"/>
  <c r="L353" i="9"/>
  <c r="G354" i="9"/>
  <c r="H354" i="9"/>
  <c r="I354" i="9"/>
  <c r="J354" i="9"/>
  <c r="K354" i="9"/>
  <c r="L354" i="9"/>
  <c r="G355" i="9"/>
  <c r="H355" i="9"/>
  <c r="I355" i="9"/>
  <c r="J355" i="9"/>
  <c r="K355" i="9"/>
  <c r="L355" i="9"/>
  <c r="G356" i="9"/>
  <c r="H356" i="9"/>
  <c r="I356" i="9"/>
  <c r="J356" i="9"/>
  <c r="K356" i="9"/>
  <c r="L356" i="9"/>
  <c r="G357" i="9"/>
  <c r="H357" i="9"/>
  <c r="I357" i="9"/>
  <c r="J357" i="9"/>
  <c r="K357" i="9"/>
  <c r="L357" i="9"/>
  <c r="G358" i="9"/>
  <c r="H358" i="9"/>
  <c r="I358" i="9"/>
  <c r="J358" i="9"/>
  <c r="K358" i="9"/>
  <c r="L358" i="9"/>
  <c r="G359" i="9"/>
  <c r="H359" i="9"/>
  <c r="I359" i="9"/>
  <c r="J359" i="9"/>
  <c r="K359" i="9"/>
  <c r="L359" i="9"/>
  <c r="G360" i="9"/>
  <c r="H360" i="9"/>
  <c r="I360" i="9"/>
  <c r="J360" i="9"/>
  <c r="K360" i="9"/>
  <c r="L360" i="9"/>
  <c r="G361" i="9"/>
  <c r="H361" i="9"/>
  <c r="I361" i="9"/>
  <c r="J361" i="9"/>
  <c r="K361" i="9"/>
  <c r="L361" i="9"/>
  <c r="G362" i="9"/>
  <c r="H362" i="9"/>
  <c r="I362" i="9"/>
  <c r="J362" i="9"/>
  <c r="K362" i="9"/>
  <c r="L362" i="9"/>
  <c r="G363" i="9"/>
  <c r="H363" i="9"/>
  <c r="I363" i="9"/>
  <c r="J363" i="9"/>
  <c r="K363" i="9"/>
  <c r="L363" i="9"/>
  <c r="G364" i="9"/>
  <c r="H364" i="9"/>
  <c r="I364" i="9"/>
  <c r="J364" i="9"/>
  <c r="K364" i="9"/>
  <c r="L364" i="9"/>
  <c r="G365" i="9"/>
  <c r="H365" i="9"/>
  <c r="I365" i="9"/>
  <c r="J365" i="9"/>
  <c r="K365" i="9"/>
  <c r="L365" i="9"/>
  <c r="G366" i="9"/>
  <c r="H366" i="9"/>
  <c r="I366" i="9"/>
  <c r="J366" i="9"/>
  <c r="K366" i="9"/>
  <c r="L366" i="9"/>
  <c r="G367" i="9"/>
  <c r="H367" i="9"/>
  <c r="I367" i="9"/>
  <c r="J367" i="9"/>
  <c r="K367" i="9"/>
  <c r="L367" i="9"/>
  <c r="G368" i="9"/>
  <c r="H368" i="9"/>
  <c r="I368" i="9"/>
  <c r="J368" i="9"/>
  <c r="K368" i="9"/>
  <c r="L368" i="9"/>
  <c r="G369" i="9"/>
  <c r="H369" i="9"/>
  <c r="I369" i="9"/>
  <c r="J369" i="9"/>
  <c r="K369" i="9"/>
  <c r="L369" i="9"/>
  <c r="G370" i="9"/>
  <c r="H370" i="9"/>
  <c r="I370" i="9"/>
  <c r="J370" i="9"/>
  <c r="K370" i="9"/>
  <c r="L370" i="9"/>
  <c r="G371" i="9"/>
  <c r="H371" i="9"/>
  <c r="I371" i="9"/>
  <c r="J371" i="9"/>
  <c r="K371" i="9"/>
  <c r="L371" i="9"/>
  <c r="G372" i="9"/>
  <c r="H372" i="9"/>
  <c r="I372" i="9"/>
  <c r="J372" i="9"/>
  <c r="K372" i="9"/>
  <c r="L372" i="9"/>
  <c r="G373" i="9"/>
  <c r="H373" i="9"/>
  <c r="I373" i="9"/>
  <c r="J373" i="9"/>
  <c r="K373" i="9"/>
  <c r="L373" i="9"/>
  <c r="G374" i="9"/>
  <c r="H374" i="9"/>
  <c r="I374" i="9"/>
  <c r="J374" i="9"/>
  <c r="K374" i="9"/>
  <c r="L374" i="9"/>
  <c r="G375" i="9"/>
  <c r="H375" i="9"/>
  <c r="I375" i="9"/>
  <c r="J375" i="9"/>
  <c r="K375" i="9"/>
  <c r="L375" i="9"/>
  <c r="G376" i="9"/>
  <c r="H376" i="9"/>
  <c r="I376" i="9"/>
  <c r="J376" i="9"/>
  <c r="K376" i="9"/>
  <c r="L376" i="9"/>
  <c r="G377" i="9"/>
  <c r="H377" i="9"/>
  <c r="I377" i="9"/>
  <c r="J377" i="9"/>
  <c r="K377" i="9"/>
  <c r="L377" i="9"/>
  <c r="G378" i="9"/>
  <c r="H378" i="9"/>
  <c r="I378" i="9"/>
  <c r="J378" i="9"/>
  <c r="K378" i="9"/>
  <c r="L378" i="9"/>
  <c r="G379" i="9"/>
  <c r="H379" i="9"/>
  <c r="I379" i="9"/>
  <c r="J379" i="9"/>
  <c r="K379" i="9"/>
  <c r="L379" i="9"/>
  <c r="G380" i="9"/>
  <c r="H380" i="9"/>
  <c r="I380" i="9"/>
  <c r="J380" i="9"/>
  <c r="K380" i="9"/>
  <c r="L380" i="9"/>
  <c r="G381" i="9"/>
  <c r="H381" i="9"/>
  <c r="I381" i="9"/>
  <c r="J381" i="9"/>
  <c r="K381" i="9"/>
  <c r="L381" i="9"/>
  <c r="G382" i="9"/>
  <c r="H382" i="9"/>
  <c r="I382" i="9"/>
  <c r="J382" i="9"/>
  <c r="K382" i="9"/>
  <c r="L382" i="9"/>
  <c r="G383" i="9"/>
  <c r="H383" i="9"/>
  <c r="I383" i="9"/>
  <c r="J383" i="9"/>
  <c r="K383" i="9"/>
  <c r="L383" i="9"/>
  <c r="G384" i="9"/>
  <c r="H384" i="9"/>
  <c r="I384" i="9"/>
  <c r="J384" i="9"/>
  <c r="K384" i="9"/>
  <c r="L384" i="9"/>
  <c r="G385" i="9"/>
  <c r="H385" i="9"/>
  <c r="I385" i="9"/>
  <c r="J385" i="9"/>
  <c r="K385" i="9"/>
  <c r="L385" i="9"/>
  <c r="G386" i="9"/>
  <c r="H386" i="9"/>
  <c r="I386" i="9"/>
  <c r="J386" i="9"/>
  <c r="K386" i="9"/>
  <c r="L386" i="9"/>
  <c r="G387" i="9"/>
  <c r="H387" i="9"/>
  <c r="I387" i="9"/>
  <c r="J387" i="9"/>
  <c r="K387" i="9"/>
  <c r="L387" i="9"/>
  <c r="G388" i="9"/>
  <c r="H388" i="9"/>
  <c r="I388" i="9"/>
  <c r="J388" i="9"/>
  <c r="K388" i="9"/>
  <c r="L388" i="9"/>
  <c r="G389" i="9"/>
  <c r="H389" i="9"/>
  <c r="I389" i="9"/>
  <c r="J389" i="9"/>
  <c r="K389" i="9"/>
  <c r="L389" i="9"/>
  <c r="G390" i="9"/>
  <c r="H390" i="9"/>
  <c r="I390" i="9"/>
  <c r="J390" i="9"/>
  <c r="K390" i="9"/>
  <c r="L390" i="9"/>
  <c r="G391" i="9"/>
  <c r="H391" i="9"/>
  <c r="I391" i="9"/>
  <c r="J391" i="9"/>
  <c r="K391" i="9"/>
  <c r="L391" i="9"/>
  <c r="G392" i="9"/>
  <c r="H392" i="9"/>
  <c r="I392" i="9"/>
  <c r="J392" i="9"/>
  <c r="K392" i="9"/>
  <c r="L392" i="9"/>
  <c r="G393" i="9"/>
  <c r="H393" i="9"/>
  <c r="I393" i="9"/>
  <c r="J393" i="9"/>
  <c r="K393" i="9"/>
  <c r="L393" i="9"/>
  <c r="G394" i="9"/>
  <c r="H394" i="9"/>
  <c r="I394" i="9"/>
  <c r="J394" i="9"/>
  <c r="K394" i="9"/>
  <c r="L394" i="9"/>
  <c r="G395" i="9"/>
  <c r="H395" i="9"/>
  <c r="I395" i="9"/>
  <c r="J395" i="9"/>
  <c r="K395" i="9"/>
  <c r="L395" i="9"/>
  <c r="G396" i="9"/>
  <c r="H396" i="9"/>
  <c r="I396" i="9"/>
  <c r="J396" i="9"/>
  <c r="K396" i="9"/>
  <c r="L396" i="9"/>
  <c r="G397" i="9"/>
  <c r="H397" i="9"/>
  <c r="I397" i="9"/>
  <c r="J397" i="9"/>
  <c r="K397" i="9"/>
  <c r="L397" i="9"/>
  <c r="G398" i="9"/>
  <c r="H398" i="9"/>
  <c r="I398" i="9"/>
  <c r="J398" i="9"/>
  <c r="K398" i="9"/>
  <c r="L398" i="9"/>
  <c r="G399" i="9"/>
  <c r="H399" i="9"/>
  <c r="I399" i="9"/>
  <c r="J399" i="9"/>
  <c r="K399" i="9"/>
  <c r="L399" i="9"/>
  <c r="G400" i="9"/>
  <c r="H400" i="9"/>
  <c r="I400" i="9"/>
  <c r="J400" i="9"/>
  <c r="K400" i="9"/>
  <c r="L400" i="9"/>
  <c r="G401" i="9"/>
  <c r="H401" i="9"/>
  <c r="I401" i="9"/>
  <c r="J401" i="9"/>
  <c r="K401" i="9"/>
  <c r="L401" i="9"/>
  <c r="G402" i="9"/>
  <c r="H402" i="9"/>
  <c r="I402" i="9"/>
  <c r="J402" i="9"/>
  <c r="K402" i="9"/>
  <c r="L402" i="9"/>
  <c r="G403" i="9"/>
  <c r="H403" i="9"/>
  <c r="I403" i="9"/>
  <c r="J403" i="9"/>
  <c r="K403" i="9"/>
  <c r="L403" i="9"/>
  <c r="G404" i="9"/>
  <c r="H404" i="9"/>
  <c r="I404" i="9"/>
  <c r="J404" i="9"/>
  <c r="K404" i="9"/>
  <c r="L404" i="9"/>
  <c r="G405" i="9"/>
  <c r="H405" i="9"/>
  <c r="I405" i="9"/>
  <c r="J405" i="9"/>
  <c r="K405" i="9"/>
  <c r="L405" i="9"/>
  <c r="G406" i="9"/>
  <c r="H406" i="9"/>
  <c r="I406" i="9"/>
  <c r="J406" i="9"/>
  <c r="K406" i="9"/>
  <c r="L406" i="9"/>
  <c r="G407" i="9"/>
  <c r="H407" i="9"/>
  <c r="I407" i="9"/>
  <c r="J407" i="9"/>
  <c r="K407" i="9"/>
  <c r="L407" i="9"/>
  <c r="G408" i="9"/>
  <c r="H408" i="9"/>
  <c r="I408" i="9"/>
  <c r="J408" i="9"/>
  <c r="K408" i="9"/>
  <c r="L408" i="9"/>
  <c r="G409" i="9"/>
  <c r="H409" i="9"/>
  <c r="I409" i="9"/>
  <c r="J409" i="9"/>
  <c r="K409" i="9"/>
  <c r="L409" i="9"/>
  <c r="G410" i="9"/>
  <c r="H410" i="9"/>
  <c r="I410" i="9"/>
  <c r="J410" i="9"/>
  <c r="K410" i="9"/>
  <c r="L410" i="9"/>
  <c r="G411" i="9"/>
  <c r="H411" i="9"/>
  <c r="I411" i="9"/>
  <c r="J411" i="9"/>
  <c r="K411" i="9"/>
  <c r="L411" i="9"/>
  <c r="G412" i="9"/>
  <c r="H412" i="9"/>
  <c r="I412" i="9"/>
  <c r="J412" i="9"/>
  <c r="K412" i="9"/>
  <c r="L412" i="9"/>
  <c r="G413" i="9"/>
  <c r="H413" i="9"/>
  <c r="I413" i="9"/>
  <c r="J413" i="9"/>
  <c r="K413" i="9"/>
  <c r="L413" i="9"/>
  <c r="G414" i="9"/>
  <c r="H414" i="9"/>
  <c r="I414" i="9"/>
  <c r="J414" i="9"/>
  <c r="K414" i="9"/>
  <c r="L414" i="9"/>
  <c r="G415" i="9"/>
  <c r="H415" i="9"/>
  <c r="I415" i="9"/>
  <c r="J415" i="9"/>
  <c r="K415" i="9"/>
  <c r="L415" i="9"/>
  <c r="G416" i="9"/>
  <c r="H416" i="9"/>
  <c r="I416" i="9"/>
  <c r="J416" i="9"/>
  <c r="K416" i="9"/>
  <c r="L416" i="9"/>
  <c r="G417" i="9"/>
  <c r="H417" i="9"/>
  <c r="I417" i="9"/>
  <c r="J417" i="9"/>
  <c r="K417" i="9"/>
  <c r="L417" i="9"/>
  <c r="G418" i="9"/>
  <c r="H418" i="9"/>
  <c r="I418" i="9"/>
  <c r="J418" i="9"/>
  <c r="K418" i="9"/>
  <c r="L418" i="9"/>
  <c r="G419" i="9"/>
  <c r="H419" i="9"/>
  <c r="I419" i="9"/>
  <c r="J419" i="9"/>
  <c r="K419" i="9"/>
  <c r="L419" i="9"/>
  <c r="G420" i="9"/>
  <c r="H420" i="9"/>
  <c r="I420" i="9"/>
  <c r="J420" i="9"/>
  <c r="K420" i="9"/>
  <c r="L420" i="9"/>
  <c r="G421" i="9"/>
  <c r="H421" i="9"/>
  <c r="I421" i="9"/>
  <c r="J421" i="9"/>
  <c r="K421" i="9"/>
  <c r="L421" i="9"/>
  <c r="G422" i="9"/>
  <c r="H422" i="9"/>
  <c r="I422" i="9"/>
  <c r="J422" i="9"/>
  <c r="K422" i="9"/>
  <c r="L422" i="9"/>
  <c r="G423" i="9"/>
  <c r="H423" i="9"/>
  <c r="I423" i="9"/>
  <c r="J423" i="9"/>
  <c r="K423" i="9"/>
  <c r="L423" i="9"/>
  <c r="G424" i="9"/>
  <c r="H424" i="9"/>
  <c r="I424" i="9"/>
  <c r="J424" i="9"/>
  <c r="K424" i="9"/>
  <c r="L424" i="9"/>
  <c r="G425" i="9"/>
  <c r="H425" i="9"/>
  <c r="I425" i="9"/>
  <c r="J425" i="9"/>
  <c r="K425" i="9"/>
  <c r="L425" i="9"/>
  <c r="G426" i="9"/>
  <c r="H426" i="9"/>
  <c r="I426" i="9"/>
  <c r="J426" i="9"/>
  <c r="K426" i="9"/>
  <c r="L426" i="9"/>
  <c r="G427" i="9"/>
  <c r="H427" i="9"/>
  <c r="I427" i="9"/>
  <c r="J427" i="9"/>
  <c r="K427" i="9"/>
  <c r="L427" i="9"/>
  <c r="G428" i="9"/>
  <c r="H428" i="9"/>
  <c r="I428" i="9"/>
  <c r="J428" i="9"/>
  <c r="K428" i="9"/>
  <c r="L428" i="9"/>
  <c r="G429" i="9"/>
  <c r="H429" i="9"/>
  <c r="I429" i="9"/>
  <c r="J429" i="9"/>
  <c r="K429" i="9"/>
  <c r="L429" i="9"/>
  <c r="G430" i="9"/>
  <c r="H430" i="9"/>
  <c r="I430" i="9"/>
  <c r="J430" i="9"/>
  <c r="K430" i="9"/>
  <c r="L430" i="9"/>
  <c r="G431" i="9"/>
  <c r="H431" i="9"/>
  <c r="I431" i="9"/>
  <c r="J431" i="9"/>
  <c r="K431" i="9"/>
  <c r="L431" i="9"/>
  <c r="G432" i="9"/>
  <c r="H432" i="9"/>
  <c r="I432" i="9"/>
  <c r="J432" i="9"/>
  <c r="K432" i="9"/>
  <c r="L432" i="9"/>
  <c r="G433" i="9"/>
  <c r="H433" i="9"/>
  <c r="I433" i="9"/>
  <c r="J433" i="9"/>
  <c r="K433" i="9"/>
  <c r="L433" i="9"/>
  <c r="G434" i="9"/>
  <c r="H434" i="9"/>
  <c r="I434" i="9"/>
  <c r="J434" i="9"/>
  <c r="K434" i="9"/>
  <c r="L434" i="9"/>
  <c r="G435" i="9"/>
  <c r="H435" i="9"/>
  <c r="I435" i="9"/>
  <c r="J435" i="9"/>
  <c r="K435" i="9"/>
  <c r="L435" i="9"/>
  <c r="G436" i="9"/>
  <c r="H436" i="9"/>
  <c r="I436" i="9"/>
  <c r="J436" i="9"/>
  <c r="K436" i="9"/>
  <c r="L436" i="9"/>
  <c r="G437" i="9"/>
  <c r="H437" i="9"/>
  <c r="I437" i="9"/>
  <c r="J437" i="9"/>
  <c r="K437" i="9"/>
  <c r="L437" i="9"/>
  <c r="G438" i="9"/>
  <c r="H438" i="9"/>
  <c r="I438" i="9"/>
  <c r="J438" i="9"/>
  <c r="K438" i="9"/>
  <c r="L438" i="9"/>
  <c r="G439" i="9"/>
  <c r="H439" i="9"/>
  <c r="I439" i="9"/>
  <c r="J439" i="9"/>
  <c r="K439" i="9"/>
  <c r="L439" i="9"/>
  <c r="G440" i="9"/>
  <c r="H440" i="9"/>
  <c r="I440" i="9"/>
  <c r="J440" i="9"/>
  <c r="K440" i="9"/>
  <c r="L440" i="9"/>
  <c r="G441" i="9"/>
  <c r="H441" i="9"/>
  <c r="I441" i="9"/>
  <c r="J441" i="9"/>
  <c r="K441" i="9"/>
  <c r="L441" i="9"/>
  <c r="G442" i="9"/>
  <c r="H442" i="9"/>
  <c r="I442" i="9"/>
  <c r="J442" i="9"/>
  <c r="K442" i="9"/>
  <c r="L442" i="9"/>
  <c r="G443" i="9"/>
  <c r="H443" i="9"/>
  <c r="I443" i="9"/>
  <c r="J443" i="9"/>
  <c r="K443" i="9"/>
  <c r="L443" i="9"/>
  <c r="G444" i="9"/>
  <c r="H444" i="9"/>
  <c r="I444" i="9"/>
  <c r="J444" i="9"/>
  <c r="K444" i="9"/>
  <c r="L444" i="9"/>
  <c r="G445" i="9"/>
  <c r="H445" i="9"/>
  <c r="I445" i="9"/>
  <c r="J445" i="9"/>
  <c r="K445" i="9"/>
  <c r="L445" i="9"/>
  <c r="G446" i="9"/>
  <c r="H446" i="9"/>
  <c r="I446" i="9"/>
  <c r="J446" i="9"/>
  <c r="K446" i="9"/>
  <c r="L446" i="9"/>
  <c r="G447" i="9"/>
  <c r="H447" i="9"/>
  <c r="I447" i="9"/>
  <c r="J447" i="9"/>
  <c r="K447" i="9"/>
  <c r="L447" i="9"/>
  <c r="G448" i="9"/>
  <c r="H448" i="9"/>
  <c r="I448" i="9"/>
  <c r="J448" i="9"/>
  <c r="K448" i="9"/>
  <c r="L448" i="9"/>
  <c r="G449" i="9"/>
  <c r="H449" i="9"/>
  <c r="I449" i="9"/>
  <c r="J449" i="9"/>
  <c r="K449" i="9"/>
  <c r="L449" i="9"/>
  <c r="G450" i="9"/>
  <c r="H450" i="9"/>
  <c r="I450" i="9"/>
  <c r="J450" i="9"/>
  <c r="K450" i="9"/>
  <c r="L450" i="9"/>
  <c r="G451" i="9"/>
  <c r="H451" i="9"/>
  <c r="I451" i="9"/>
  <c r="J451" i="9"/>
  <c r="K451" i="9"/>
  <c r="L451" i="9"/>
  <c r="G452" i="9"/>
  <c r="H452" i="9"/>
  <c r="I452" i="9"/>
  <c r="J452" i="9"/>
  <c r="K452" i="9"/>
  <c r="L452" i="9"/>
  <c r="G453" i="9"/>
  <c r="H453" i="9"/>
  <c r="I453" i="9"/>
  <c r="J453" i="9"/>
  <c r="K453" i="9"/>
  <c r="L453" i="9"/>
  <c r="G454" i="9"/>
  <c r="H454" i="9"/>
  <c r="I454" i="9"/>
  <c r="J454" i="9"/>
  <c r="K454" i="9"/>
  <c r="L454" i="9"/>
  <c r="G455" i="9"/>
  <c r="H455" i="9"/>
  <c r="I455" i="9"/>
  <c r="J455" i="9"/>
  <c r="K455" i="9"/>
  <c r="L455" i="9"/>
  <c r="G456" i="9"/>
  <c r="H456" i="9"/>
  <c r="I456" i="9"/>
  <c r="J456" i="9"/>
  <c r="K456" i="9"/>
  <c r="L456" i="9"/>
  <c r="G457" i="9"/>
  <c r="H457" i="9"/>
  <c r="I457" i="9"/>
  <c r="J457" i="9"/>
  <c r="K457" i="9"/>
  <c r="L457" i="9"/>
  <c r="G458" i="9"/>
  <c r="H458" i="9"/>
  <c r="I458" i="9"/>
  <c r="J458" i="9"/>
  <c r="K458" i="9"/>
  <c r="L458" i="9"/>
  <c r="G459" i="9"/>
  <c r="H459" i="9"/>
  <c r="I459" i="9"/>
  <c r="J459" i="9"/>
  <c r="K459" i="9"/>
  <c r="L459" i="9"/>
  <c r="G460" i="9"/>
  <c r="H460" i="9"/>
  <c r="I460" i="9"/>
  <c r="J460" i="9"/>
  <c r="K460" i="9"/>
  <c r="L460" i="9"/>
  <c r="G461" i="9"/>
  <c r="H461" i="9"/>
  <c r="I461" i="9"/>
  <c r="J461" i="9"/>
  <c r="K461" i="9"/>
  <c r="L461" i="9"/>
  <c r="G462" i="9"/>
  <c r="H462" i="9"/>
  <c r="I462" i="9"/>
  <c r="J462" i="9"/>
  <c r="K462" i="9"/>
  <c r="L462" i="9"/>
  <c r="G463" i="9"/>
  <c r="H463" i="9"/>
  <c r="I463" i="9"/>
  <c r="J463" i="9"/>
  <c r="K463" i="9"/>
  <c r="L463" i="9"/>
  <c r="G464" i="9"/>
  <c r="H464" i="9"/>
  <c r="I464" i="9"/>
  <c r="J464" i="9"/>
  <c r="K464" i="9"/>
  <c r="L464" i="9"/>
  <c r="G465" i="9"/>
  <c r="H465" i="9"/>
  <c r="I465" i="9"/>
  <c r="J465" i="9"/>
  <c r="K465" i="9"/>
  <c r="L465" i="9"/>
  <c r="G466" i="9"/>
  <c r="H466" i="9"/>
  <c r="I466" i="9"/>
  <c r="J466" i="9"/>
  <c r="K466" i="9"/>
  <c r="L466" i="9"/>
  <c r="G467" i="9"/>
  <c r="H467" i="9"/>
  <c r="I467" i="9"/>
  <c r="J467" i="9"/>
  <c r="K467" i="9"/>
  <c r="L467" i="9"/>
  <c r="G468" i="9"/>
  <c r="H468" i="9"/>
  <c r="I468" i="9"/>
  <c r="J468" i="9"/>
  <c r="K468" i="9"/>
  <c r="L468" i="9"/>
  <c r="G469" i="9"/>
  <c r="H469" i="9"/>
  <c r="I469" i="9"/>
  <c r="J469" i="9"/>
  <c r="K469" i="9"/>
  <c r="L469" i="9"/>
  <c r="G470" i="9"/>
  <c r="H470" i="9"/>
  <c r="I470" i="9"/>
  <c r="J470" i="9"/>
  <c r="K470" i="9"/>
  <c r="L470" i="9"/>
  <c r="G471" i="9"/>
  <c r="H471" i="9"/>
  <c r="I471" i="9"/>
  <c r="J471" i="9"/>
  <c r="K471" i="9"/>
  <c r="L471" i="9"/>
  <c r="G472" i="9"/>
  <c r="H472" i="9"/>
  <c r="I472" i="9"/>
  <c r="J472" i="9"/>
  <c r="K472" i="9"/>
  <c r="L472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BC3" i="9"/>
  <c r="BD3" i="9"/>
  <c r="BE3" i="9"/>
  <c r="BF3" i="9"/>
  <c r="BG3" i="9"/>
  <c r="BH3" i="9"/>
  <c r="BI3" i="9"/>
  <c r="BJ3" i="9"/>
  <c r="BK3" i="9"/>
  <c r="BL3" i="9"/>
  <c r="BM3" i="9"/>
  <c r="BN3" i="9"/>
  <c r="BO3" i="9"/>
  <c r="BP3" i="9"/>
  <c r="BQ3" i="9"/>
  <c r="BR3" i="9"/>
  <c r="BS3" i="9"/>
  <c r="BT3" i="9"/>
  <c r="BU3" i="9"/>
  <c r="BV3" i="9"/>
  <c r="BW3" i="9"/>
  <c r="BX3" i="9"/>
  <c r="Q3" i="9"/>
  <c r="X4" i="9"/>
  <c r="X5" i="9"/>
  <c r="X6" i="9"/>
  <c r="X7" i="9"/>
  <c r="X8" i="9"/>
  <c r="Y4" i="9"/>
  <c r="Y5" i="9"/>
  <c r="Y6" i="9"/>
  <c r="Y7" i="9"/>
  <c r="Y8" i="9"/>
  <c r="Z4" i="9"/>
  <c r="Z5" i="9"/>
  <c r="Z6" i="9"/>
  <c r="Z7" i="9"/>
  <c r="Z8" i="9"/>
  <c r="AA4" i="9"/>
  <c r="AA5" i="9"/>
  <c r="AA6" i="9"/>
  <c r="AA7" i="9"/>
  <c r="AA8" i="9"/>
  <c r="AB4" i="9"/>
  <c r="AB5" i="9"/>
  <c r="AB6" i="9"/>
  <c r="AB7" i="9"/>
  <c r="AB8" i="9"/>
  <c r="AC4" i="9"/>
  <c r="AC5" i="9"/>
  <c r="AC6" i="9"/>
  <c r="AC7" i="9"/>
  <c r="AC8" i="9"/>
  <c r="AD4" i="9"/>
  <c r="AD5" i="9"/>
  <c r="AD6" i="9"/>
  <c r="AD7" i="9"/>
  <c r="AD8" i="9"/>
  <c r="AE4" i="9"/>
  <c r="AE5" i="9"/>
  <c r="AE6" i="9"/>
  <c r="AE7" i="9"/>
  <c r="AE8" i="9"/>
  <c r="AF4" i="9"/>
  <c r="AF5" i="9"/>
  <c r="AF6" i="9"/>
  <c r="AF7" i="9"/>
  <c r="AF8" i="9"/>
  <c r="AG4" i="9"/>
  <c r="AG5" i="9"/>
  <c r="AG6" i="9"/>
  <c r="AG7" i="9"/>
  <c r="AG8" i="9"/>
  <c r="AH4" i="9"/>
  <c r="AH5" i="9"/>
  <c r="AH6" i="9"/>
  <c r="AH7" i="9"/>
  <c r="AH8" i="9"/>
  <c r="AI4" i="9"/>
  <c r="AI5" i="9"/>
  <c r="AI6" i="9"/>
  <c r="AI7" i="9"/>
  <c r="AI8" i="9"/>
  <c r="AJ4" i="9"/>
  <c r="AJ5" i="9"/>
  <c r="AJ6" i="9"/>
  <c r="AJ7" i="9"/>
  <c r="AJ8" i="9"/>
  <c r="AK4" i="9"/>
  <c r="AK5" i="9"/>
  <c r="AK6" i="9"/>
  <c r="AK7" i="9"/>
  <c r="AK8" i="9"/>
  <c r="AL4" i="9"/>
  <c r="AL5" i="9"/>
  <c r="AL6" i="9"/>
  <c r="AL7" i="9"/>
  <c r="AL8" i="9"/>
  <c r="AM4" i="9"/>
  <c r="AM5" i="9"/>
  <c r="AM6" i="9"/>
  <c r="AM7" i="9"/>
  <c r="AM8" i="9"/>
  <c r="AN4" i="9"/>
  <c r="AN5" i="9"/>
  <c r="AN6" i="9"/>
  <c r="AN7" i="9"/>
  <c r="AN8" i="9"/>
  <c r="AO4" i="9"/>
  <c r="AO5" i="9"/>
  <c r="AO6" i="9"/>
  <c r="AO7" i="9"/>
  <c r="AO8" i="9"/>
  <c r="AP4" i="9"/>
  <c r="AP5" i="9"/>
  <c r="AP6" i="9"/>
  <c r="AP7" i="9"/>
  <c r="AP8" i="9"/>
  <c r="AQ4" i="9"/>
  <c r="AQ5" i="9"/>
  <c r="AQ6" i="9"/>
  <c r="AQ7" i="9"/>
  <c r="AQ8" i="9"/>
  <c r="AR4" i="9"/>
  <c r="AR5" i="9"/>
  <c r="AR6" i="9"/>
  <c r="AR7" i="9"/>
  <c r="AR8" i="9"/>
  <c r="AS4" i="9"/>
  <c r="AS5" i="9"/>
  <c r="AS6" i="9"/>
  <c r="AS7" i="9"/>
  <c r="AS8" i="9"/>
  <c r="AT4" i="9"/>
  <c r="AT5" i="9"/>
  <c r="AT6" i="9"/>
  <c r="AT7" i="9"/>
  <c r="AT8" i="9"/>
  <c r="AU4" i="9"/>
  <c r="AU5" i="9"/>
  <c r="AU6" i="9"/>
  <c r="AU7" i="9"/>
  <c r="AU8" i="9"/>
  <c r="AV4" i="9"/>
  <c r="AV5" i="9"/>
  <c r="AV6" i="9"/>
  <c r="AV7" i="9"/>
  <c r="AV8" i="9"/>
  <c r="AW4" i="9"/>
  <c r="AW5" i="9"/>
  <c r="AW6" i="9"/>
  <c r="AW7" i="9"/>
  <c r="AW8" i="9"/>
  <c r="AX4" i="9"/>
  <c r="AX5" i="9"/>
  <c r="AX6" i="9"/>
  <c r="AX7" i="9"/>
  <c r="AX8" i="9"/>
  <c r="AY4" i="9"/>
  <c r="AY5" i="9"/>
  <c r="AY6" i="9"/>
  <c r="AY7" i="9"/>
  <c r="AY8" i="9"/>
  <c r="AZ4" i="9"/>
  <c r="AZ5" i="9"/>
  <c r="AZ6" i="9"/>
  <c r="AZ7" i="9"/>
  <c r="AZ8" i="9"/>
  <c r="BA4" i="9"/>
  <c r="BA5" i="9"/>
  <c r="BA6" i="9"/>
  <c r="BA7" i="9"/>
  <c r="BA8" i="9"/>
  <c r="BB4" i="9"/>
  <c r="BB5" i="9"/>
  <c r="BB6" i="9"/>
  <c r="BB7" i="9"/>
  <c r="BB8" i="9"/>
  <c r="BC4" i="9"/>
  <c r="BC5" i="9"/>
  <c r="BC6" i="9"/>
  <c r="BC7" i="9"/>
  <c r="BC8" i="9"/>
  <c r="BD4" i="9"/>
  <c r="BD5" i="9"/>
  <c r="BD6" i="9"/>
  <c r="BD7" i="9"/>
  <c r="BD8" i="9"/>
  <c r="BE4" i="9"/>
  <c r="BE5" i="9"/>
  <c r="BE6" i="9"/>
  <c r="BE7" i="9"/>
  <c r="BE8" i="9"/>
  <c r="BF4" i="9"/>
  <c r="BF5" i="9"/>
  <c r="BF6" i="9"/>
  <c r="BF7" i="9"/>
  <c r="BF8" i="9"/>
  <c r="BG4" i="9"/>
  <c r="BG5" i="9"/>
  <c r="BG6" i="9"/>
  <c r="BG7" i="9"/>
  <c r="BG8" i="9"/>
  <c r="BH4" i="9"/>
  <c r="BH5" i="9"/>
  <c r="BH6" i="9"/>
  <c r="BH7" i="9"/>
  <c r="BH8" i="9"/>
  <c r="BI4" i="9"/>
  <c r="BI5" i="9"/>
  <c r="BI6" i="9"/>
  <c r="BI7" i="9"/>
  <c r="BI8" i="9"/>
  <c r="BJ4" i="9"/>
  <c r="BJ5" i="9"/>
  <c r="BJ6" i="9"/>
  <c r="BJ7" i="9"/>
  <c r="BJ8" i="9"/>
  <c r="BK4" i="9"/>
  <c r="BK5" i="9"/>
  <c r="BK6" i="9"/>
  <c r="BK7" i="9"/>
  <c r="BK8" i="9"/>
  <c r="BL4" i="9"/>
  <c r="BL5" i="9"/>
  <c r="BL6" i="9"/>
  <c r="BL7" i="9"/>
  <c r="BL8" i="9"/>
  <c r="BM4" i="9"/>
  <c r="BM5" i="9"/>
  <c r="BM6" i="9"/>
  <c r="BM7" i="9"/>
  <c r="BM8" i="9"/>
  <c r="BN4" i="9"/>
  <c r="BN5" i="9"/>
  <c r="BN6" i="9"/>
  <c r="BN7" i="9"/>
  <c r="BN8" i="9"/>
  <c r="BO4" i="9"/>
  <c r="BO5" i="9"/>
  <c r="BO6" i="9"/>
  <c r="BO7" i="9"/>
  <c r="BO8" i="9"/>
  <c r="BP4" i="9"/>
  <c r="BP5" i="9"/>
  <c r="BP6" i="9"/>
  <c r="BP7" i="9"/>
  <c r="BP8" i="9"/>
  <c r="BQ4" i="9"/>
  <c r="BQ5" i="9"/>
  <c r="BQ6" i="9"/>
  <c r="BQ7" i="9"/>
  <c r="BQ8" i="9"/>
  <c r="BR4" i="9"/>
  <c r="BR5" i="9"/>
  <c r="BR6" i="9"/>
  <c r="BR7" i="9"/>
  <c r="BR8" i="9"/>
  <c r="BS4" i="9"/>
  <c r="BS5" i="9"/>
  <c r="BS6" i="9"/>
  <c r="BS7" i="9"/>
  <c r="BS8" i="9"/>
  <c r="BT4" i="9"/>
  <c r="BT5" i="9"/>
  <c r="BT6" i="9"/>
  <c r="BT7" i="9"/>
  <c r="BT8" i="9"/>
  <c r="BU4" i="9"/>
  <c r="BU5" i="9"/>
  <c r="BU6" i="9"/>
  <c r="BU7" i="9"/>
  <c r="BU8" i="9"/>
  <c r="BV4" i="9"/>
  <c r="BV5" i="9"/>
  <c r="BV6" i="9"/>
  <c r="BV7" i="9"/>
  <c r="BV8" i="9"/>
  <c r="BW4" i="9"/>
  <c r="BW5" i="9"/>
  <c r="BW6" i="9"/>
  <c r="BW7" i="9"/>
  <c r="BW8" i="9"/>
  <c r="BX4" i="9"/>
  <c r="BX5" i="9"/>
  <c r="BX6" i="9"/>
  <c r="BX7" i="9"/>
  <c r="BX8" i="9"/>
  <c r="Q8" i="9"/>
  <c r="R8" i="9"/>
  <c r="S8" i="9"/>
  <c r="T8" i="9"/>
  <c r="U8" i="9"/>
  <c r="V8" i="9"/>
  <c r="O8" i="9"/>
  <c r="Q7" i="9"/>
  <c r="R7" i="9"/>
  <c r="S7" i="9"/>
  <c r="T7" i="9"/>
  <c r="U7" i="9"/>
  <c r="V7" i="9"/>
  <c r="O7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2" i="9"/>
  <c r="C3" i="9"/>
  <c r="C4" i="9"/>
  <c r="C5" i="9"/>
  <c r="C6" i="9"/>
  <c r="C7" i="9"/>
  <c r="C8" i="9"/>
  <c r="N8" i="9"/>
  <c r="N7" i="9"/>
  <c r="V6" i="9"/>
  <c r="U6" i="9"/>
  <c r="T6" i="9"/>
  <c r="S6" i="9"/>
  <c r="R6" i="9"/>
  <c r="Q6" i="9"/>
  <c r="O6" i="9"/>
  <c r="N6" i="9"/>
  <c r="M6" i="9"/>
  <c r="V5" i="9"/>
  <c r="U5" i="9"/>
  <c r="T5" i="9"/>
  <c r="S5" i="9"/>
  <c r="R5" i="9"/>
  <c r="Q5" i="9"/>
  <c r="O5" i="9"/>
  <c r="N5" i="9"/>
  <c r="M5" i="9"/>
  <c r="V4" i="9"/>
  <c r="U4" i="9"/>
  <c r="T4" i="9"/>
  <c r="S4" i="9"/>
  <c r="R4" i="9"/>
  <c r="Q4" i="9"/>
  <c r="O4" i="9"/>
  <c r="N4" i="9"/>
  <c r="V3" i="9"/>
  <c r="U3" i="9"/>
  <c r="T3" i="9"/>
  <c r="S3" i="9"/>
  <c r="R3" i="9"/>
  <c r="O3" i="9"/>
  <c r="N3" i="9"/>
  <c r="W2" i="9"/>
  <c r="L472" i="4"/>
  <c r="K472" i="4"/>
  <c r="J472" i="4"/>
  <c r="I472" i="4"/>
  <c r="H472" i="4"/>
  <c r="G472" i="4"/>
  <c r="C472" i="4"/>
  <c r="L471" i="4"/>
  <c r="K471" i="4"/>
  <c r="J471" i="4"/>
  <c r="I471" i="4"/>
  <c r="H471" i="4"/>
  <c r="G471" i="4"/>
  <c r="C471" i="4"/>
  <c r="L470" i="4"/>
  <c r="K470" i="4"/>
  <c r="J470" i="4"/>
  <c r="I470" i="4"/>
  <c r="H470" i="4"/>
  <c r="G470" i="4"/>
  <c r="C470" i="4"/>
  <c r="L469" i="4"/>
  <c r="K469" i="4"/>
  <c r="J469" i="4"/>
  <c r="I469" i="4"/>
  <c r="H469" i="4"/>
  <c r="G469" i="4"/>
  <c r="C469" i="4"/>
  <c r="L468" i="4"/>
  <c r="K468" i="4"/>
  <c r="J468" i="4"/>
  <c r="I468" i="4"/>
  <c r="H468" i="4"/>
  <c r="G468" i="4"/>
  <c r="C468" i="4"/>
  <c r="L467" i="4"/>
  <c r="K467" i="4"/>
  <c r="J467" i="4"/>
  <c r="I467" i="4"/>
  <c r="H467" i="4"/>
  <c r="G467" i="4"/>
  <c r="C467" i="4"/>
  <c r="L466" i="4"/>
  <c r="K466" i="4"/>
  <c r="J466" i="4"/>
  <c r="I466" i="4"/>
  <c r="H466" i="4"/>
  <c r="G466" i="4"/>
  <c r="C466" i="4"/>
  <c r="L465" i="4"/>
  <c r="K465" i="4"/>
  <c r="J465" i="4"/>
  <c r="I465" i="4"/>
  <c r="H465" i="4"/>
  <c r="G465" i="4"/>
  <c r="C465" i="4"/>
  <c r="L464" i="4"/>
  <c r="K464" i="4"/>
  <c r="J464" i="4"/>
  <c r="I464" i="4"/>
  <c r="H464" i="4"/>
  <c r="G464" i="4"/>
  <c r="C464" i="4"/>
  <c r="L463" i="4"/>
  <c r="K463" i="4"/>
  <c r="J463" i="4"/>
  <c r="I463" i="4"/>
  <c r="H463" i="4"/>
  <c r="G463" i="4"/>
  <c r="C463" i="4"/>
  <c r="L462" i="4"/>
  <c r="K462" i="4"/>
  <c r="J462" i="4"/>
  <c r="I462" i="4"/>
  <c r="H462" i="4"/>
  <c r="G462" i="4"/>
  <c r="C462" i="4"/>
  <c r="L461" i="4"/>
  <c r="K461" i="4"/>
  <c r="J461" i="4"/>
  <c r="I461" i="4"/>
  <c r="H461" i="4"/>
  <c r="G461" i="4"/>
  <c r="C461" i="4"/>
  <c r="L460" i="4"/>
  <c r="K460" i="4"/>
  <c r="J460" i="4"/>
  <c r="I460" i="4"/>
  <c r="H460" i="4"/>
  <c r="G460" i="4"/>
  <c r="C460" i="4"/>
  <c r="L459" i="4"/>
  <c r="K459" i="4"/>
  <c r="J459" i="4"/>
  <c r="I459" i="4"/>
  <c r="H459" i="4"/>
  <c r="G459" i="4"/>
  <c r="C459" i="4"/>
  <c r="L458" i="4"/>
  <c r="K458" i="4"/>
  <c r="J458" i="4"/>
  <c r="I458" i="4"/>
  <c r="H458" i="4"/>
  <c r="G458" i="4"/>
  <c r="C458" i="4"/>
  <c r="L457" i="4"/>
  <c r="K457" i="4"/>
  <c r="J457" i="4"/>
  <c r="I457" i="4"/>
  <c r="H457" i="4"/>
  <c r="G457" i="4"/>
  <c r="C457" i="4"/>
  <c r="L456" i="4"/>
  <c r="K456" i="4"/>
  <c r="J456" i="4"/>
  <c r="I456" i="4"/>
  <c r="H456" i="4"/>
  <c r="G456" i="4"/>
  <c r="C456" i="4"/>
  <c r="L455" i="4"/>
  <c r="K455" i="4"/>
  <c r="J455" i="4"/>
  <c r="I455" i="4"/>
  <c r="H455" i="4"/>
  <c r="G455" i="4"/>
  <c r="C455" i="4"/>
  <c r="L454" i="4"/>
  <c r="K454" i="4"/>
  <c r="J454" i="4"/>
  <c r="I454" i="4"/>
  <c r="H454" i="4"/>
  <c r="G454" i="4"/>
  <c r="C454" i="4"/>
  <c r="L453" i="4"/>
  <c r="K453" i="4"/>
  <c r="J453" i="4"/>
  <c r="I453" i="4"/>
  <c r="H453" i="4"/>
  <c r="G453" i="4"/>
  <c r="C453" i="4"/>
  <c r="L452" i="4"/>
  <c r="K452" i="4"/>
  <c r="J452" i="4"/>
  <c r="I452" i="4"/>
  <c r="H452" i="4"/>
  <c r="G452" i="4"/>
  <c r="C452" i="4"/>
  <c r="L451" i="4"/>
  <c r="K451" i="4"/>
  <c r="J451" i="4"/>
  <c r="I451" i="4"/>
  <c r="H451" i="4"/>
  <c r="G451" i="4"/>
  <c r="C451" i="4"/>
  <c r="L450" i="4"/>
  <c r="K450" i="4"/>
  <c r="J450" i="4"/>
  <c r="I450" i="4"/>
  <c r="H450" i="4"/>
  <c r="G450" i="4"/>
  <c r="C450" i="4"/>
  <c r="L449" i="4"/>
  <c r="K449" i="4"/>
  <c r="J449" i="4"/>
  <c r="I449" i="4"/>
  <c r="H449" i="4"/>
  <c r="G449" i="4"/>
  <c r="C449" i="4"/>
  <c r="L448" i="4"/>
  <c r="K448" i="4"/>
  <c r="J448" i="4"/>
  <c r="I448" i="4"/>
  <c r="H448" i="4"/>
  <c r="G448" i="4"/>
  <c r="C448" i="4"/>
  <c r="L447" i="4"/>
  <c r="K447" i="4"/>
  <c r="J447" i="4"/>
  <c r="I447" i="4"/>
  <c r="H447" i="4"/>
  <c r="G447" i="4"/>
  <c r="C447" i="4"/>
  <c r="L446" i="4"/>
  <c r="K446" i="4"/>
  <c r="J446" i="4"/>
  <c r="I446" i="4"/>
  <c r="H446" i="4"/>
  <c r="G446" i="4"/>
  <c r="C446" i="4"/>
  <c r="L445" i="4"/>
  <c r="K445" i="4"/>
  <c r="J445" i="4"/>
  <c r="I445" i="4"/>
  <c r="H445" i="4"/>
  <c r="G445" i="4"/>
  <c r="C445" i="4"/>
  <c r="L444" i="4"/>
  <c r="K444" i="4"/>
  <c r="J444" i="4"/>
  <c r="I444" i="4"/>
  <c r="H444" i="4"/>
  <c r="G444" i="4"/>
  <c r="C444" i="4"/>
  <c r="L443" i="4"/>
  <c r="K443" i="4"/>
  <c r="J443" i="4"/>
  <c r="I443" i="4"/>
  <c r="H443" i="4"/>
  <c r="G443" i="4"/>
  <c r="C443" i="4"/>
  <c r="L442" i="4"/>
  <c r="K442" i="4"/>
  <c r="J442" i="4"/>
  <c r="I442" i="4"/>
  <c r="H442" i="4"/>
  <c r="G442" i="4"/>
  <c r="C442" i="4"/>
  <c r="L441" i="4"/>
  <c r="K441" i="4"/>
  <c r="J441" i="4"/>
  <c r="I441" i="4"/>
  <c r="H441" i="4"/>
  <c r="G441" i="4"/>
  <c r="C441" i="4"/>
  <c r="L440" i="4"/>
  <c r="K440" i="4"/>
  <c r="J440" i="4"/>
  <c r="I440" i="4"/>
  <c r="H440" i="4"/>
  <c r="G440" i="4"/>
  <c r="C440" i="4"/>
  <c r="L439" i="4"/>
  <c r="K439" i="4"/>
  <c r="J439" i="4"/>
  <c r="I439" i="4"/>
  <c r="H439" i="4"/>
  <c r="G439" i="4"/>
  <c r="C439" i="4"/>
  <c r="L438" i="4"/>
  <c r="K438" i="4"/>
  <c r="J438" i="4"/>
  <c r="I438" i="4"/>
  <c r="H438" i="4"/>
  <c r="G438" i="4"/>
  <c r="C438" i="4"/>
  <c r="L437" i="4"/>
  <c r="K437" i="4"/>
  <c r="J437" i="4"/>
  <c r="I437" i="4"/>
  <c r="H437" i="4"/>
  <c r="G437" i="4"/>
  <c r="C437" i="4"/>
  <c r="L436" i="4"/>
  <c r="K436" i="4"/>
  <c r="J436" i="4"/>
  <c r="I436" i="4"/>
  <c r="H436" i="4"/>
  <c r="G436" i="4"/>
  <c r="C436" i="4"/>
  <c r="L435" i="4"/>
  <c r="K435" i="4"/>
  <c r="J435" i="4"/>
  <c r="I435" i="4"/>
  <c r="H435" i="4"/>
  <c r="G435" i="4"/>
  <c r="C435" i="4"/>
  <c r="L434" i="4"/>
  <c r="K434" i="4"/>
  <c r="J434" i="4"/>
  <c r="I434" i="4"/>
  <c r="H434" i="4"/>
  <c r="G434" i="4"/>
  <c r="C434" i="4"/>
  <c r="L433" i="4"/>
  <c r="K433" i="4"/>
  <c r="J433" i="4"/>
  <c r="I433" i="4"/>
  <c r="H433" i="4"/>
  <c r="G433" i="4"/>
  <c r="C433" i="4"/>
  <c r="L432" i="4"/>
  <c r="K432" i="4"/>
  <c r="J432" i="4"/>
  <c r="I432" i="4"/>
  <c r="H432" i="4"/>
  <c r="G432" i="4"/>
  <c r="C432" i="4"/>
  <c r="L431" i="4"/>
  <c r="K431" i="4"/>
  <c r="J431" i="4"/>
  <c r="I431" i="4"/>
  <c r="H431" i="4"/>
  <c r="G431" i="4"/>
  <c r="C431" i="4"/>
  <c r="L430" i="4"/>
  <c r="K430" i="4"/>
  <c r="J430" i="4"/>
  <c r="I430" i="4"/>
  <c r="H430" i="4"/>
  <c r="G430" i="4"/>
  <c r="C430" i="4"/>
  <c r="L429" i="4"/>
  <c r="K429" i="4"/>
  <c r="J429" i="4"/>
  <c r="I429" i="4"/>
  <c r="H429" i="4"/>
  <c r="G429" i="4"/>
  <c r="C429" i="4"/>
  <c r="L428" i="4"/>
  <c r="K428" i="4"/>
  <c r="J428" i="4"/>
  <c r="I428" i="4"/>
  <c r="H428" i="4"/>
  <c r="G428" i="4"/>
  <c r="C428" i="4"/>
  <c r="L427" i="4"/>
  <c r="K427" i="4"/>
  <c r="J427" i="4"/>
  <c r="I427" i="4"/>
  <c r="H427" i="4"/>
  <c r="G427" i="4"/>
  <c r="C427" i="4"/>
  <c r="L426" i="4"/>
  <c r="K426" i="4"/>
  <c r="J426" i="4"/>
  <c r="I426" i="4"/>
  <c r="H426" i="4"/>
  <c r="G426" i="4"/>
  <c r="C426" i="4"/>
  <c r="L425" i="4"/>
  <c r="K425" i="4"/>
  <c r="J425" i="4"/>
  <c r="I425" i="4"/>
  <c r="H425" i="4"/>
  <c r="G425" i="4"/>
  <c r="C425" i="4"/>
  <c r="L424" i="4"/>
  <c r="K424" i="4"/>
  <c r="J424" i="4"/>
  <c r="I424" i="4"/>
  <c r="H424" i="4"/>
  <c r="G424" i="4"/>
  <c r="C424" i="4"/>
  <c r="L423" i="4"/>
  <c r="K423" i="4"/>
  <c r="J423" i="4"/>
  <c r="I423" i="4"/>
  <c r="H423" i="4"/>
  <c r="G423" i="4"/>
  <c r="C423" i="4"/>
  <c r="L422" i="4"/>
  <c r="K422" i="4"/>
  <c r="J422" i="4"/>
  <c r="I422" i="4"/>
  <c r="H422" i="4"/>
  <c r="G422" i="4"/>
  <c r="C422" i="4"/>
  <c r="L421" i="4"/>
  <c r="K421" i="4"/>
  <c r="J421" i="4"/>
  <c r="I421" i="4"/>
  <c r="H421" i="4"/>
  <c r="G421" i="4"/>
  <c r="C421" i="4"/>
  <c r="L420" i="4"/>
  <c r="K420" i="4"/>
  <c r="J420" i="4"/>
  <c r="I420" i="4"/>
  <c r="H420" i="4"/>
  <c r="G420" i="4"/>
  <c r="C420" i="4"/>
  <c r="L419" i="4"/>
  <c r="K419" i="4"/>
  <c r="J419" i="4"/>
  <c r="I419" i="4"/>
  <c r="H419" i="4"/>
  <c r="G419" i="4"/>
  <c r="C419" i="4"/>
  <c r="L418" i="4"/>
  <c r="K418" i="4"/>
  <c r="J418" i="4"/>
  <c r="I418" i="4"/>
  <c r="H418" i="4"/>
  <c r="G418" i="4"/>
  <c r="C418" i="4"/>
  <c r="L417" i="4"/>
  <c r="K417" i="4"/>
  <c r="J417" i="4"/>
  <c r="I417" i="4"/>
  <c r="H417" i="4"/>
  <c r="G417" i="4"/>
  <c r="C417" i="4"/>
  <c r="L416" i="4"/>
  <c r="K416" i="4"/>
  <c r="J416" i="4"/>
  <c r="I416" i="4"/>
  <c r="H416" i="4"/>
  <c r="G416" i="4"/>
  <c r="C416" i="4"/>
  <c r="L415" i="4"/>
  <c r="K415" i="4"/>
  <c r="J415" i="4"/>
  <c r="I415" i="4"/>
  <c r="H415" i="4"/>
  <c r="G415" i="4"/>
  <c r="C415" i="4"/>
  <c r="L414" i="4"/>
  <c r="K414" i="4"/>
  <c r="J414" i="4"/>
  <c r="I414" i="4"/>
  <c r="H414" i="4"/>
  <c r="G414" i="4"/>
  <c r="C414" i="4"/>
  <c r="L413" i="4"/>
  <c r="K413" i="4"/>
  <c r="J413" i="4"/>
  <c r="I413" i="4"/>
  <c r="H413" i="4"/>
  <c r="G413" i="4"/>
  <c r="C413" i="4"/>
  <c r="L412" i="4"/>
  <c r="K412" i="4"/>
  <c r="J412" i="4"/>
  <c r="I412" i="4"/>
  <c r="H412" i="4"/>
  <c r="G412" i="4"/>
  <c r="C412" i="4"/>
  <c r="L411" i="4"/>
  <c r="K411" i="4"/>
  <c r="J411" i="4"/>
  <c r="I411" i="4"/>
  <c r="H411" i="4"/>
  <c r="G411" i="4"/>
  <c r="C411" i="4"/>
  <c r="L410" i="4"/>
  <c r="K410" i="4"/>
  <c r="J410" i="4"/>
  <c r="I410" i="4"/>
  <c r="H410" i="4"/>
  <c r="G410" i="4"/>
  <c r="C410" i="4"/>
  <c r="L409" i="4"/>
  <c r="K409" i="4"/>
  <c r="J409" i="4"/>
  <c r="I409" i="4"/>
  <c r="H409" i="4"/>
  <c r="G409" i="4"/>
  <c r="C409" i="4"/>
  <c r="L408" i="4"/>
  <c r="K408" i="4"/>
  <c r="J408" i="4"/>
  <c r="I408" i="4"/>
  <c r="H408" i="4"/>
  <c r="G408" i="4"/>
  <c r="C408" i="4"/>
  <c r="L407" i="4"/>
  <c r="K407" i="4"/>
  <c r="J407" i="4"/>
  <c r="I407" i="4"/>
  <c r="H407" i="4"/>
  <c r="G407" i="4"/>
  <c r="C407" i="4"/>
  <c r="L406" i="4"/>
  <c r="K406" i="4"/>
  <c r="J406" i="4"/>
  <c r="I406" i="4"/>
  <c r="H406" i="4"/>
  <c r="G406" i="4"/>
  <c r="C406" i="4"/>
  <c r="L405" i="4"/>
  <c r="K405" i="4"/>
  <c r="J405" i="4"/>
  <c r="I405" i="4"/>
  <c r="H405" i="4"/>
  <c r="G405" i="4"/>
  <c r="C405" i="4"/>
  <c r="L404" i="4"/>
  <c r="K404" i="4"/>
  <c r="J404" i="4"/>
  <c r="I404" i="4"/>
  <c r="H404" i="4"/>
  <c r="G404" i="4"/>
  <c r="C404" i="4"/>
  <c r="L403" i="4"/>
  <c r="K403" i="4"/>
  <c r="J403" i="4"/>
  <c r="I403" i="4"/>
  <c r="H403" i="4"/>
  <c r="G403" i="4"/>
  <c r="C403" i="4"/>
  <c r="L402" i="4"/>
  <c r="K402" i="4"/>
  <c r="J402" i="4"/>
  <c r="I402" i="4"/>
  <c r="H402" i="4"/>
  <c r="G402" i="4"/>
  <c r="C402" i="4"/>
  <c r="L401" i="4"/>
  <c r="K401" i="4"/>
  <c r="J401" i="4"/>
  <c r="I401" i="4"/>
  <c r="H401" i="4"/>
  <c r="G401" i="4"/>
  <c r="C401" i="4"/>
  <c r="L400" i="4"/>
  <c r="K400" i="4"/>
  <c r="J400" i="4"/>
  <c r="I400" i="4"/>
  <c r="H400" i="4"/>
  <c r="G400" i="4"/>
  <c r="C400" i="4"/>
  <c r="L399" i="4"/>
  <c r="K399" i="4"/>
  <c r="J399" i="4"/>
  <c r="I399" i="4"/>
  <c r="H399" i="4"/>
  <c r="G399" i="4"/>
  <c r="C399" i="4"/>
  <c r="L398" i="4"/>
  <c r="K398" i="4"/>
  <c r="J398" i="4"/>
  <c r="I398" i="4"/>
  <c r="H398" i="4"/>
  <c r="G398" i="4"/>
  <c r="C398" i="4"/>
  <c r="L397" i="4"/>
  <c r="K397" i="4"/>
  <c r="J397" i="4"/>
  <c r="I397" i="4"/>
  <c r="H397" i="4"/>
  <c r="G397" i="4"/>
  <c r="C397" i="4"/>
  <c r="L396" i="4"/>
  <c r="K396" i="4"/>
  <c r="J396" i="4"/>
  <c r="I396" i="4"/>
  <c r="H396" i="4"/>
  <c r="G396" i="4"/>
  <c r="C396" i="4"/>
  <c r="L395" i="4"/>
  <c r="K395" i="4"/>
  <c r="J395" i="4"/>
  <c r="I395" i="4"/>
  <c r="H395" i="4"/>
  <c r="G395" i="4"/>
  <c r="C395" i="4"/>
  <c r="L394" i="4"/>
  <c r="K394" i="4"/>
  <c r="J394" i="4"/>
  <c r="I394" i="4"/>
  <c r="H394" i="4"/>
  <c r="G394" i="4"/>
  <c r="C394" i="4"/>
  <c r="L393" i="4"/>
  <c r="K393" i="4"/>
  <c r="J393" i="4"/>
  <c r="I393" i="4"/>
  <c r="H393" i="4"/>
  <c r="G393" i="4"/>
  <c r="C393" i="4"/>
  <c r="L392" i="4"/>
  <c r="K392" i="4"/>
  <c r="J392" i="4"/>
  <c r="I392" i="4"/>
  <c r="H392" i="4"/>
  <c r="G392" i="4"/>
  <c r="C392" i="4"/>
  <c r="L391" i="4"/>
  <c r="K391" i="4"/>
  <c r="J391" i="4"/>
  <c r="I391" i="4"/>
  <c r="H391" i="4"/>
  <c r="G391" i="4"/>
  <c r="C391" i="4"/>
  <c r="L390" i="4"/>
  <c r="K390" i="4"/>
  <c r="J390" i="4"/>
  <c r="I390" i="4"/>
  <c r="H390" i="4"/>
  <c r="G390" i="4"/>
  <c r="C390" i="4"/>
  <c r="L389" i="4"/>
  <c r="K389" i="4"/>
  <c r="J389" i="4"/>
  <c r="I389" i="4"/>
  <c r="H389" i="4"/>
  <c r="G389" i="4"/>
  <c r="C389" i="4"/>
  <c r="L388" i="4"/>
  <c r="K388" i="4"/>
  <c r="J388" i="4"/>
  <c r="I388" i="4"/>
  <c r="H388" i="4"/>
  <c r="G388" i="4"/>
  <c r="C388" i="4"/>
  <c r="L387" i="4"/>
  <c r="K387" i="4"/>
  <c r="J387" i="4"/>
  <c r="I387" i="4"/>
  <c r="H387" i="4"/>
  <c r="G387" i="4"/>
  <c r="C387" i="4"/>
  <c r="L386" i="4"/>
  <c r="K386" i="4"/>
  <c r="J386" i="4"/>
  <c r="I386" i="4"/>
  <c r="H386" i="4"/>
  <c r="G386" i="4"/>
  <c r="C386" i="4"/>
  <c r="L385" i="4"/>
  <c r="K385" i="4"/>
  <c r="J385" i="4"/>
  <c r="I385" i="4"/>
  <c r="H385" i="4"/>
  <c r="G385" i="4"/>
  <c r="C385" i="4"/>
  <c r="L384" i="4"/>
  <c r="K384" i="4"/>
  <c r="J384" i="4"/>
  <c r="I384" i="4"/>
  <c r="H384" i="4"/>
  <c r="G384" i="4"/>
  <c r="C384" i="4"/>
  <c r="L383" i="4"/>
  <c r="K383" i="4"/>
  <c r="J383" i="4"/>
  <c r="I383" i="4"/>
  <c r="H383" i="4"/>
  <c r="G383" i="4"/>
  <c r="C383" i="4"/>
  <c r="L382" i="4"/>
  <c r="K382" i="4"/>
  <c r="J382" i="4"/>
  <c r="I382" i="4"/>
  <c r="H382" i="4"/>
  <c r="G382" i="4"/>
  <c r="C382" i="4"/>
  <c r="L381" i="4"/>
  <c r="K381" i="4"/>
  <c r="J381" i="4"/>
  <c r="I381" i="4"/>
  <c r="H381" i="4"/>
  <c r="G381" i="4"/>
  <c r="C381" i="4"/>
  <c r="L380" i="4"/>
  <c r="K380" i="4"/>
  <c r="J380" i="4"/>
  <c r="I380" i="4"/>
  <c r="H380" i="4"/>
  <c r="G380" i="4"/>
  <c r="C380" i="4"/>
  <c r="L379" i="4"/>
  <c r="K379" i="4"/>
  <c r="J379" i="4"/>
  <c r="I379" i="4"/>
  <c r="H379" i="4"/>
  <c r="G379" i="4"/>
  <c r="C379" i="4"/>
  <c r="L378" i="4"/>
  <c r="K378" i="4"/>
  <c r="J378" i="4"/>
  <c r="I378" i="4"/>
  <c r="H378" i="4"/>
  <c r="G378" i="4"/>
  <c r="C378" i="4"/>
  <c r="L377" i="4"/>
  <c r="K377" i="4"/>
  <c r="J377" i="4"/>
  <c r="I377" i="4"/>
  <c r="H377" i="4"/>
  <c r="G377" i="4"/>
  <c r="C377" i="4"/>
  <c r="L376" i="4"/>
  <c r="K376" i="4"/>
  <c r="J376" i="4"/>
  <c r="I376" i="4"/>
  <c r="H376" i="4"/>
  <c r="G376" i="4"/>
  <c r="C376" i="4"/>
  <c r="L375" i="4"/>
  <c r="K375" i="4"/>
  <c r="J375" i="4"/>
  <c r="I375" i="4"/>
  <c r="H375" i="4"/>
  <c r="G375" i="4"/>
  <c r="C375" i="4"/>
  <c r="L374" i="4"/>
  <c r="K374" i="4"/>
  <c r="J374" i="4"/>
  <c r="I374" i="4"/>
  <c r="H374" i="4"/>
  <c r="G374" i="4"/>
  <c r="C374" i="4"/>
  <c r="L373" i="4"/>
  <c r="K373" i="4"/>
  <c r="J373" i="4"/>
  <c r="I373" i="4"/>
  <c r="H373" i="4"/>
  <c r="G373" i="4"/>
  <c r="C373" i="4"/>
  <c r="L372" i="4"/>
  <c r="K372" i="4"/>
  <c r="J372" i="4"/>
  <c r="I372" i="4"/>
  <c r="H372" i="4"/>
  <c r="G372" i="4"/>
  <c r="C372" i="4"/>
  <c r="L371" i="4"/>
  <c r="K371" i="4"/>
  <c r="J371" i="4"/>
  <c r="I371" i="4"/>
  <c r="H371" i="4"/>
  <c r="G371" i="4"/>
  <c r="C371" i="4"/>
  <c r="L370" i="4"/>
  <c r="K370" i="4"/>
  <c r="J370" i="4"/>
  <c r="I370" i="4"/>
  <c r="H370" i="4"/>
  <c r="G370" i="4"/>
  <c r="C370" i="4"/>
  <c r="L369" i="4"/>
  <c r="K369" i="4"/>
  <c r="J369" i="4"/>
  <c r="I369" i="4"/>
  <c r="H369" i="4"/>
  <c r="G369" i="4"/>
  <c r="C369" i="4"/>
  <c r="L368" i="4"/>
  <c r="K368" i="4"/>
  <c r="J368" i="4"/>
  <c r="I368" i="4"/>
  <c r="H368" i="4"/>
  <c r="G368" i="4"/>
  <c r="C368" i="4"/>
  <c r="L367" i="4"/>
  <c r="K367" i="4"/>
  <c r="J367" i="4"/>
  <c r="I367" i="4"/>
  <c r="H367" i="4"/>
  <c r="G367" i="4"/>
  <c r="C367" i="4"/>
  <c r="L366" i="4"/>
  <c r="K366" i="4"/>
  <c r="J366" i="4"/>
  <c r="I366" i="4"/>
  <c r="H366" i="4"/>
  <c r="G366" i="4"/>
  <c r="C366" i="4"/>
  <c r="L365" i="4"/>
  <c r="K365" i="4"/>
  <c r="J365" i="4"/>
  <c r="I365" i="4"/>
  <c r="H365" i="4"/>
  <c r="G365" i="4"/>
  <c r="C365" i="4"/>
  <c r="L364" i="4"/>
  <c r="K364" i="4"/>
  <c r="J364" i="4"/>
  <c r="I364" i="4"/>
  <c r="H364" i="4"/>
  <c r="G364" i="4"/>
  <c r="C364" i="4"/>
  <c r="L363" i="4"/>
  <c r="K363" i="4"/>
  <c r="J363" i="4"/>
  <c r="I363" i="4"/>
  <c r="H363" i="4"/>
  <c r="G363" i="4"/>
  <c r="C363" i="4"/>
  <c r="L362" i="4"/>
  <c r="K362" i="4"/>
  <c r="J362" i="4"/>
  <c r="I362" i="4"/>
  <c r="H362" i="4"/>
  <c r="G362" i="4"/>
  <c r="C362" i="4"/>
  <c r="L361" i="4"/>
  <c r="K361" i="4"/>
  <c r="J361" i="4"/>
  <c r="I361" i="4"/>
  <c r="H361" i="4"/>
  <c r="G361" i="4"/>
  <c r="C361" i="4"/>
  <c r="L360" i="4"/>
  <c r="K360" i="4"/>
  <c r="J360" i="4"/>
  <c r="I360" i="4"/>
  <c r="H360" i="4"/>
  <c r="G360" i="4"/>
  <c r="C360" i="4"/>
  <c r="L359" i="4"/>
  <c r="K359" i="4"/>
  <c r="J359" i="4"/>
  <c r="I359" i="4"/>
  <c r="H359" i="4"/>
  <c r="G359" i="4"/>
  <c r="C359" i="4"/>
  <c r="L358" i="4"/>
  <c r="K358" i="4"/>
  <c r="J358" i="4"/>
  <c r="I358" i="4"/>
  <c r="H358" i="4"/>
  <c r="G358" i="4"/>
  <c r="C358" i="4"/>
  <c r="L357" i="4"/>
  <c r="K357" i="4"/>
  <c r="J357" i="4"/>
  <c r="I357" i="4"/>
  <c r="H357" i="4"/>
  <c r="G357" i="4"/>
  <c r="C357" i="4"/>
  <c r="L356" i="4"/>
  <c r="K356" i="4"/>
  <c r="J356" i="4"/>
  <c r="I356" i="4"/>
  <c r="H356" i="4"/>
  <c r="G356" i="4"/>
  <c r="C356" i="4"/>
  <c r="L355" i="4"/>
  <c r="K355" i="4"/>
  <c r="J355" i="4"/>
  <c r="I355" i="4"/>
  <c r="H355" i="4"/>
  <c r="G355" i="4"/>
  <c r="C355" i="4"/>
  <c r="L354" i="4"/>
  <c r="K354" i="4"/>
  <c r="J354" i="4"/>
  <c r="I354" i="4"/>
  <c r="H354" i="4"/>
  <c r="G354" i="4"/>
  <c r="C354" i="4"/>
  <c r="L353" i="4"/>
  <c r="K353" i="4"/>
  <c r="J353" i="4"/>
  <c r="I353" i="4"/>
  <c r="H353" i="4"/>
  <c r="G353" i="4"/>
  <c r="C353" i="4"/>
  <c r="L352" i="4"/>
  <c r="K352" i="4"/>
  <c r="J352" i="4"/>
  <c r="I352" i="4"/>
  <c r="H352" i="4"/>
  <c r="G352" i="4"/>
  <c r="C352" i="4"/>
  <c r="L351" i="4"/>
  <c r="K351" i="4"/>
  <c r="J351" i="4"/>
  <c r="I351" i="4"/>
  <c r="H351" i="4"/>
  <c r="G351" i="4"/>
  <c r="C351" i="4"/>
  <c r="L350" i="4"/>
  <c r="K350" i="4"/>
  <c r="J350" i="4"/>
  <c r="I350" i="4"/>
  <c r="H350" i="4"/>
  <c r="G350" i="4"/>
  <c r="C350" i="4"/>
  <c r="L349" i="4"/>
  <c r="K349" i="4"/>
  <c r="J349" i="4"/>
  <c r="I349" i="4"/>
  <c r="H349" i="4"/>
  <c r="G349" i="4"/>
  <c r="C349" i="4"/>
  <c r="L348" i="4"/>
  <c r="K348" i="4"/>
  <c r="J348" i="4"/>
  <c r="I348" i="4"/>
  <c r="H348" i="4"/>
  <c r="G348" i="4"/>
  <c r="C348" i="4"/>
  <c r="L347" i="4"/>
  <c r="K347" i="4"/>
  <c r="J347" i="4"/>
  <c r="I347" i="4"/>
  <c r="H347" i="4"/>
  <c r="G347" i="4"/>
  <c r="C347" i="4"/>
  <c r="L346" i="4"/>
  <c r="K346" i="4"/>
  <c r="J346" i="4"/>
  <c r="I346" i="4"/>
  <c r="H346" i="4"/>
  <c r="G346" i="4"/>
  <c r="C346" i="4"/>
  <c r="L345" i="4"/>
  <c r="K345" i="4"/>
  <c r="J345" i="4"/>
  <c r="I345" i="4"/>
  <c r="H345" i="4"/>
  <c r="G345" i="4"/>
  <c r="C345" i="4"/>
  <c r="L344" i="4"/>
  <c r="K344" i="4"/>
  <c r="J344" i="4"/>
  <c r="I344" i="4"/>
  <c r="H344" i="4"/>
  <c r="G344" i="4"/>
  <c r="C344" i="4"/>
  <c r="L343" i="4"/>
  <c r="K343" i="4"/>
  <c r="J343" i="4"/>
  <c r="I343" i="4"/>
  <c r="H343" i="4"/>
  <c r="G343" i="4"/>
  <c r="C343" i="4"/>
  <c r="L342" i="4"/>
  <c r="K342" i="4"/>
  <c r="J342" i="4"/>
  <c r="I342" i="4"/>
  <c r="H342" i="4"/>
  <c r="G342" i="4"/>
  <c r="C342" i="4"/>
  <c r="L341" i="4"/>
  <c r="K341" i="4"/>
  <c r="J341" i="4"/>
  <c r="I341" i="4"/>
  <c r="H341" i="4"/>
  <c r="G341" i="4"/>
  <c r="C341" i="4"/>
  <c r="L340" i="4"/>
  <c r="K340" i="4"/>
  <c r="J340" i="4"/>
  <c r="I340" i="4"/>
  <c r="H340" i="4"/>
  <c r="G340" i="4"/>
  <c r="C340" i="4"/>
  <c r="L339" i="4"/>
  <c r="K339" i="4"/>
  <c r="J339" i="4"/>
  <c r="I339" i="4"/>
  <c r="H339" i="4"/>
  <c r="G339" i="4"/>
  <c r="C339" i="4"/>
  <c r="L338" i="4"/>
  <c r="K338" i="4"/>
  <c r="J338" i="4"/>
  <c r="I338" i="4"/>
  <c r="H338" i="4"/>
  <c r="G338" i="4"/>
  <c r="C338" i="4"/>
  <c r="L337" i="4"/>
  <c r="K337" i="4"/>
  <c r="J337" i="4"/>
  <c r="I337" i="4"/>
  <c r="H337" i="4"/>
  <c r="G337" i="4"/>
  <c r="C337" i="4"/>
  <c r="L336" i="4"/>
  <c r="K336" i="4"/>
  <c r="J336" i="4"/>
  <c r="I336" i="4"/>
  <c r="H336" i="4"/>
  <c r="G336" i="4"/>
  <c r="C336" i="4"/>
  <c r="L335" i="4"/>
  <c r="K335" i="4"/>
  <c r="J335" i="4"/>
  <c r="I335" i="4"/>
  <c r="H335" i="4"/>
  <c r="G335" i="4"/>
  <c r="C335" i="4"/>
  <c r="L334" i="4"/>
  <c r="K334" i="4"/>
  <c r="J334" i="4"/>
  <c r="I334" i="4"/>
  <c r="H334" i="4"/>
  <c r="G334" i="4"/>
  <c r="C334" i="4"/>
  <c r="L333" i="4"/>
  <c r="K333" i="4"/>
  <c r="J333" i="4"/>
  <c r="I333" i="4"/>
  <c r="H333" i="4"/>
  <c r="G333" i="4"/>
  <c r="C333" i="4"/>
  <c r="L332" i="4"/>
  <c r="K332" i="4"/>
  <c r="J332" i="4"/>
  <c r="I332" i="4"/>
  <c r="H332" i="4"/>
  <c r="G332" i="4"/>
  <c r="C332" i="4"/>
  <c r="L331" i="4"/>
  <c r="K331" i="4"/>
  <c r="J331" i="4"/>
  <c r="I331" i="4"/>
  <c r="H331" i="4"/>
  <c r="G331" i="4"/>
  <c r="C331" i="4"/>
  <c r="L330" i="4"/>
  <c r="K330" i="4"/>
  <c r="J330" i="4"/>
  <c r="I330" i="4"/>
  <c r="H330" i="4"/>
  <c r="G330" i="4"/>
  <c r="C330" i="4"/>
  <c r="L329" i="4"/>
  <c r="K329" i="4"/>
  <c r="J329" i="4"/>
  <c r="I329" i="4"/>
  <c r="H329" i="4"/>
  <c r="G329" i="4"/>
  <c r="C329" i="4"/>
  <c r="L328" i="4"/>
  <c r="K328" i="4"/>
  <c r="J328" i="4"/>
  <c r="I328" i="4"/>
  <c r="H328" i="4"/>
  <c r="G328" i="4"/>
  <c r="C328" i="4"/>
  <c r="L327" i="4"/>
  <c r="K327" i="4"/>
  <c r="J327" i="4"/>
  <c r="I327" i="4"/>
  <c r="H327" i="4"/>
  <c r="G327" i="4"/>
  <c r="C327" i="4"/>
  <c r="L326" i="4"/>
  <c r="K326" i="4"/>
  <c r="J326" i="4"/>
  <c r="I326" i="4"/>
  <c r="H326" i="4"/>
  <c r="G326" i="4"/>
  <c r="C326" i="4"/>
  <c r="L325" i="4"/>
  <c r="K325" i="4"/>
  <c r="J325" i="4"/>
  <c r="I325" i="4"/>
  <c r="H325" i="4"/>
  <c r="G325" i="4"/>
  <c r="C325" i="4"/>
  <c r="L324" i="4"/>
  <c r="K324" i="4"/>
  <c r="J324" i="4"/>
  <c r="I324" i="4"/>
  <c r="H324" i="4"/>
  <c r="G324" i="4"/>
  <c r="C324" i="4"/>
  <c r="L323" i="4"/>
  <c r="K323" i="4"/>
  <c r="J323" i="4"/>
  <c r="I323" i="4"/>
  <c r="H323" i="4"/>
  <c r="G323" i="4"/>
  <c r="C323" i="4"/>
  <c r="L322" i="4"/>
  <c r="K322" i="4"/>
  <c r="J322" i="4"/>
  <c r="I322" i="4"/>
  <c r="H322" i="4"/>
  <c r="G322" i="4"/>
  <c r="C322" i="4"/>
  <c r="L321" i="4"/>
  <c r="K321" i="4"/>
  <c r="J321" i="4"/>
  <c r="I321" i="4"/>
  <c r="H321" i="4"/>
  <c r="G321" i="4"/>
  <c r="C321" i="4"/>
  <c r="L320" i="4"/>
  <c r="K320" i="4"/>
  <c r="J320" i="4"/>
  <c r="I320" i="4"/>
  <c r="H320" i="4"/>
  <c r="G320" i="4"/>
  <c r="C320" i="4"/>
  <c r="L319" i="4"/>
  <c r="K319" i="4"/>
  <c r="J319" i="4"/>
  <c r="I319" i="4"/>
  <c r="H319" i="4"/>
  <c r="G319" i="4"/>
  <c r="C319" i="4"/>
  <c r="L318" i="4"/>
  <c r="K318" i="4"/>
  <c r="J318" i="4"/>
  <c r="I318" i="4"/>
  <c r="H318" i="4"/>
  <c r="G318" i="4"/>
  <c r="C318" i="4"/>
  <c r="L317" i="4"/>
  <c r="K317" i="4"/>
  <c r="J317" i="4"/>
  <c r="I317" i="4"/>
  <c r="H317" i="4"/>
  <c r="G317" i="4"/>
  <c r="C317" i="4"/>
  <c r="L316" i="4"/>
  <c r="K316" i="4"/>
  <c r="J316" i="4"/>
  <c r="I316" i="4"/>
  <c r="H316" i="4"/>
  <c r="G316" i="4"/>
  <c r="C316" i="4"/>
  <c r="L315" i="4"/>
  <c r="K315" i="4"/>
  <c r="J315" i="4"/>
  <c r="I315" i="4"/>
  <c r="H315" i="4"/>
  <c r="G315" i="4"/>
  <c r="C315" i="4"/>
  <c r="L314" i="4"/>
  <c r="K314" i="4"/>
  <c r="J314" i="4"/>
  <c r="I314" i="4"/>
  <c r="H314" i="4"/>
  <c r="G314" i="4"/>
  <c r="C314" i="4"/>
  <c r="L313" i="4"/>
  <c r="K313" i="4"/>
  <c r="J313" i="4"/>
  <c r="I313" i="4"/>
  <c r="H313" i="4"/>
  <c r="G313" i="4"/>
  <c r="C313" i="4"/>
  <c r="L312" i="4"/>
  <c r="K312" i="4"/>
  <c r="J312" i="4"/>
  <c r="I312" i="4"/>
  <c r="H312" i="4"/>
  <c r="G312" i="4"/>
  <c r="C312" i="4"/>
  <c r="L311" i="4"/>
  <c r="K311" i="4"/>
  <c r="J311" i="4"/>
  <c r="I311" i="4"/>
  <c r="H311" i="4"/>
  <c r="G311" i="4"/>
  <c r="C311" i="4"/>
  <c r="L310" i="4"/>
  <c r="K310" i="4"/>
  <c r="J310" i="4"/>
  <c r="I310" i="4"/>
  <c r="H310" i="4"/>
  <c r="G310" i="4"/>
  <c r="C310" i="4"/>
  <c r="L309" i="4"/>
  <c r="K309" i="4"/>
  <c r="J309" i="4"/>
  <c r="I309" i="4"/>
  <c r="H309" i="4"/>
  <c r="G309" i="4"/>
  <c r="C309" i="4"/>
  <c r="L308" i="4"/>
  <c r="K308" i="4"/>
  <c r="J308" i="4"/>
  <c r="I308" i="4"/>
  <c r="H308" i="4"/>
  <c r="G308" i="4"/>
  <c r="C308" i="4"/>
  <c r="L307" i="4"/>
  <c r="K307" i="4"/>
  <c r="J307" i="4"/>
  <c r="I307" i="4"/>
  <c r="H307" i="4"/>
  <c r="G307" i="4"/>
  <c r="C307" i="4"/>
  <c r="L306" i="4"/>
  <c r="K306" i="4"/>
  <c r="J306" i="4"/>
  <c r="I306" i="4"/>
  <c r="H306" i="4"/>
  <c r="G306" i="4"/>
  <c r="C306" i="4"/>
  <c r="L305" i="4"/>
  <c r="K305" i="4"/>
  <c r="J305" i="4"/>
  <c r="I305" i="4"/>
  <c r="H305" i="4"/>
  <c r="G305" i="4"/>
  <c r="C305" i="4"/>
  <c r="L304" i="4"/>
  <c r="K304" i="4"/>
  <c r="J304" i="4"/>
  <c r="I304" i="4"/>
  <c r="H304" i="4"/>
  <c r="G304" i="4"/>
  <c r="C304" i="4"/>
  <c r="L303" i="4"/>
  <c r="K303" i="4"/>
  <c r="J303" i="4"/>
  <c r="I303" i="4"/>
  <c r="H303" i="4"/>
  <c r="G303" i="4"/>
  <c r="C303" i="4"/>
  <c r="L302" i="4"/>
  <c r="K302" i="4"/>
  <c r="J302" i="4"/>
  <c r="I302" i="4"/>
  <c r="H302" i="4"/>
  <c r="G302" i="4"/>
  <c r="C302" i="4"/>
  <c r="L301" i="4"/>
  <c r="K301" i="4"/>
  <c r="J301" i="4"/>
  <c r="I301" i="4"/>
  <c r="H301" i="4"/>
  <c r="G301" i="4"/>
  <c r="C301" i="4"/>
  <c r="L300" i="4"/>
  <c r="K300" i="4"/>
  <c r="J300" i="4"/>
  <c r="I300" i="4"/>
  <c r="H300" i="4"/>
  <c r="G300" i="4"/>
  <c r="C300" i="4"/>
  <c r="L299" i="4"/>
  <c r="K299" i="4"/>
  <c r="J299" i="4"/>
  <c r="I299" i="4"/>
  <c r="H299" i="4"/>
  <c r="G299" i="4"/>
  <c r="C299" i="4"/>
  <c r="L298" i="4"/>
  <c r="K298" i="4"/>
  <c r="J298" i="4"/>
  <c r="I298" i="4"/>
  <c r="H298" i="4"/>
  <c r="G298" i="4"/>
  <c r="C298" i="4"/>
  <c r="L297" i="4"/>
  <c r="K297" i="4"/>
  <c r="J297" i="4"/>
  <c r="I297" i="4"/>
  <c r="H297" i="4"/>
  <c r="G297" i="4"/>
  <c r="C297" i="4"/>
  <c r="L296" i="4"/>
  <c r="K296" i="4"/>
  <c r="J296" i="4"/>
  <c r="I296" i="4"/>
  <c r="H296" i="4"/>
  <c r="G296" i="4"/>
  <c r="C296" i="4"/>
  <c r="L295" i="4"/>
  <c r="K295" i="4"/>
  <c r="J295" i="4"/>
  <c r="I295" i="4"/>
  <c r="H295" i="4"/>
  <c r="G295" i="4"/>
  <c r="C295" i="4"/>
  <c r="L294" i="4"/>
  <c r="K294" i="4"/>
  <c r="J294" i="4"/>
  <c r="I294" i="4"/>
  <c r="H294" i="4"/>
  <c r="G294" i="4"/>
  <c r="C294" i="4"/>
  <c r="L293" i="4"/>
  <c r="K293" i="4"/>
  <c r="J293" i="4"/>
  <c r="I293" i="4"/>
  <c r="H293" i="4"/>
  <c r="G293" i="4"/>
  <c r="C293" i="4"/>
  <c r="L292" i="4"/>
  <c r="K292" i="4"/>
  <c r="J292" i="4"/>
  <c r="I292" i="4"/>
  <c r="H292" i="4"/>
  <c r="G292" i="4"/>
  <c r="C292" i="4"/>
  <c r="L291" i="4"/>
  <c r="K291" i="4"/>
  <c r="J291" i="4"/>
  <c r="I291" i="4"/>
  <c r="H291" i="4"/>
  <c r="G291" i="4"/>
  <c r="C291" i="4"/>
  <c r="L290" i="4"/>
  <c r="K290" i="4"/>
  <c r="J290" i="4"/>
  <c r="I290" i="4"/>
  <c r="H290" i="4"/>
  <c r="G290" i="4"/>
  <c r="C290" i="4"/>
  <c r="L289" i="4"/>
  <c r="K289" i="4"/>
  <c r="J289" i="4"/>
  <c r="I289" i="4"/>
  <c r="H289" i="4"/>
  <c r="G289" i="4"/>
  <c r="C289" i="4"/>
  <c r="L288" i="4"/>
  <c r="K288" i="4"/>
  <c r="J288" i="4"/>
  <c r="I288" i="4"/>
  <c r="H288" i="4"/>
  <c r="G288" i="4"/>
  <c r="C288" i="4"/>
  <c r="L287" i="4"/>
  <c r="K287" i="4"/>
  <c r="J287" i="4"/>
  <c r="I287" i="4"/>
  <c r="H287" i="4"/>
  <c r="G287" i="4"/>
  <c r="C287" i="4"/>
  <c r="L286" i="4"/>
  <c r="K286" i="4"/>
  <c r="J286" i="4"/>
  <c r="I286" i="4"/>
  <c r="H286" i="4"/>
  <c r="G286" i="4"/>
  <c r="C286" i="4"/>
  <c r="L285" i="4"/>
  <c r="K285" i="4"/>
  <c r="J285" i="4"/>
  <c r="I285" i="4"/>
  <c r="H285" i="4"/>
  <c r="G285" i="4"/>
  <c r="C285" i="4"/>
  <c r="L284" i="4"/>
  <c r="K284" i="4"/>
  <c r="J284" i="4"/>
  <c r="I284" i="4"/>
  <c r="H284" i="4"/>
  <c r="G284" i="4"/>
  <c r="C284" i="4"/>
  <c r="L283" i="4"/>
  <c r="K283" i="4"/>
  <c r="J283" i="4"/>
  <c r="I283" i="4"/>
  <c r="H283" i="4"/>
  <c r="G283" i="4"/>
  <c r="C283" i="4"/>
  <c r="L282" i="4"/>
  <c r="K282" i="4"/>
  <c r="J282" i="4"/>
  <c r="I282" i="4"/>
  <c r="H282" i="4"/>
  <c r="G282" i="4"/>
  <c r="C282" i="4"/>
  <c r="L281" i="4"/>
  <c r="K281" i="4"/>
  <c r="J281" i="4"/>
  <c r="I281" i="4"/>
  <c r="H281" i="4"/>
  <c r="G281" i="4"/>
  <c r="C281" i="4"/>
  <c r="L280" i="4"/>
  <c r="K280" i="4"/>
  <c r="J280" i="4"/>
  <c r="I280" i="4"/>
  <c r="H280" i="4"/>
  <c r="G280" i="4"/>
  <c r="C280" i="4"/>
  <c r="L279" i="4"/>
  <c r="K279" i="4"/>
  <c r="J279" i="4"/>
  <c r="I279" i="4"/>
  <c r="H279" i="4"/>
  <c r="G279" i="4"/>
  <c r="C279" i="4"/>
  <c r="L278" i="4"/>
  <c r="K278" i="4"/>
  <c r="J278" i="4"/>
  <c r="I278" i="4"/>
  <c r="H278" i="4"/>
  <c r="G278" i="4"/>
  <c r="C278" i="4"/>
  <c r="L277" i="4"/>
  <c r="K277" i="4"/>
  <c r="J277" i="4"/>
  <c r="I277" i="4"/>
  <c r="H277" i="4"/>
  <c r="G277" i="4"/>
  <c r="C277" i="4"/>
  <c r="L276" i="4"/>
  <c r="K276" i="4"/>
  <c r="J276" i="4"/>
  <c r="I276" i="4"/>
  <c r="H276" i="4"/>
  <c r="G276" i="4"/>
  <c r="C276" i="4"/>
  <c r="L275" i="4"/>
  <c r="K275" i="4"/>
  <c r="J275" i="4"/>
  <c r="I275" i="4"/>
  <c r="H275" i="4"/>
  <c r="G275" i="4"/>
  <c r="C275" i="4"/>
  <c r="L274" i="4"/>
  <c r="K274" i="4"/>
  <c r="J274" i="4"/>
  <c r="I274" i="4"/>
  <c r="H274" i="4"/>
  <c r="G274" i="4"/>
  <c r="C274" i="4"/>
  <c r="L273" i="4"/>
  <c r="K273" i="4"/>
  <c r="J273" i="4"/>
  <c r="I273" i="4"/>
  <c r="H273" i="4"/>
  <c r="G273" i="4"/>
  <c r="C273" i="4"/>
  <c r="L272" i="4"/>
  <c r="K272" i="4"/>
  <c r="J272" i="4"/>
  <c r="I272" i="4"/>
  <c r="H272" i="4"/>
  <c r="G272" i="4"/>
  <c r="C272" i="4"/>
  <c r="L271" i="4"/>
  <c r="K271" i="4"/>
  <c r="J271" i="4"/>
  <c r="I271" i="4"/>
  <c r="H271" i="4"/>
  <c r="G271" i="4"/>
  <c r="C271" i="4"/>
  <c r="L270" i="4"/>
  <c r="K270" i="4"/>
  <c r="J270" i="4"/>
  <c r="I270" i="4"/>
  <c r="H270" i="4"/>
  <c r="G270" i="4"/>
  <c r="C270" i="4"/>
  <c r="L269" i="4"/>
  <c r="K269" i="4"/>
  <c r="J269" i="4"/>
  <c r="I269" i="4"/>
  <c r="H269" i="4"/>
  <c r="G269" i="4"/>
  <c r="C269" i="4"/>
  <c r="L268" i="4"/>
  <c r="K268" i="4"/>
  <c r="J268" i="4"/>
  <c r="I268" i="4"/>
  <c r="H268" i="4"/>
  <c r="G268" i="4"/>
  <c r="C268" i="4"/>
  <c r="L267" i="4"/>
  <c r="K267" i="4"/>
  <c r="J267" i="4"/>
  <c r="I267" i="4"/>
  <c r="H267" i="4"/>
  <c r="G267" i="4"/>
  <c r="C267" i="4"/>
  <c r="L266" i="4"/>
  <c r="K266" i="4"/>
  <c r="J266" i="4"/>
  <c r="I266" i="4"/>
  <c r="H266" i="4"/>
  <c r="G266" i="4"/>
  <c r="C266" i="4"/>
  <c r="L265" i="4"/>
  <c r="K265" i="4"/>
  <c r="J265" i="4"/>
  <c r="I265" i="4"/>
  <c r="H265" i="4"/>
  <c r="G265" i="4"/>
  <c r="C265" i="4"/>
  <c r="L264" i="4"/>
  <c r="K264" i="4"/>
  <c r="J264" i="4"/>
  <c r="I264" i="4"/>
  <c r="H264" i="4"/>
  <c r="G264" i="4"/>
  <c r="C264" i="4"/>
  <c r="L263" i="4"/>
  <c r="K263" i="4"/>
  <c r="J263" i="4"/>
  <c r="I263" i="4"/>
  <c r="H263" i="4"/>
  <c r="G263" i="4"/>
  <c r="C263" i="4"/>
  <c r="L262" i="4"/>
  <c r="K262" i="4"/>
  <c r="J262" i="4"/>
  <c r="I262" i="4"/>
  <c r="H262" i="4"/>
  <c r="G262" i="4"/>
  <c r="C262" i="4"/>
  <c r="L261" i="4"/>
  <c r="K261" i="4"/>
  <c r="J261" i="4"/>
  <c r="I261" i="4"/>
  <c r="H261" i="4"/>
  <c r="G261" i="4"/>
  <c r="C261" i="4"/>
  <c r="L260" i="4"/>
  <c r="K260" i="4"/>
  <c r="J260" i="4"/>
  <c r="I260" i="4"/>
  <c r="H260" i="4"/>
  <c r="G260" i="4"/>
  <c r="C260" i="4"/>
  <c r="L259" i="4"/>
  <c r="K259" i="4"/>
  <c r="J259" i="4"/>
  <c r="I259" i="4"/>
  <c r="H259" i="4"/>
  <c r="G259" i="4"/>
  <c r="C259" i="4"/>
  <c r="L258" i="4"/>
  <c r="K258" i="4"/>
  <c r="J258" i="4"/>
  <c r="I258" i="4"/>
  <c r="H258" i="4"/>
  <c r="G258" i="4"/>
  <c r="C258" i="4"/>
  <c r="L257" i="4"/>
  <c r="K257" i="4"/>
  <c r="J257" i="4"/>
  <c r="I257" i="4"/>
  <c r="H257" i="4"/>
  <c r="G257" i="4"/>
  <c r="C257" i="4"/>
  <c r="L256" i="4"/>
  <c r="K256" i="4"/>
  <c r="J256" i="4"/>
  <c r="I256" i="4"/>
  <c r="H256" i="4"/>
  <c r="G256" i="4"/>
  <c r="C256" i="4"/>
  <c r="L255" i="4"/>
  <c r="K255" i="4"/>
  <c r="J255" i="4"/>
  <c r="I255" i="4"/>
  <c r="H255" i="4"/>
  <c r="G255" i="4"/>
  <c r="C255" i="4"/>
  <c r="L254" i="4"/>
  <c r="K254" i="4"/>
  <c r="J254" i="4"/>
  <c r="I254" i="4"/>
  <c r="H254" i="4"/>
  <c r="G254" i="4"/>
  <c r="C254" i="4"/>
  <c r="L253" i="4"/>
  <c r="K253" i="4"/>
  <c r="J253" i="4"/>
  <c r="I253" i="4"/>
  <c r="H253" i="4"/>
  <c r="G253" i="4"/>
  <c r="C253" i="4"/>
  <c r="L252" i="4"/>
  <c r="K252" i="4"/>
  <c r="J252" i="4"/>
  <c r="I252" i="4"/>
  <c r="H252" i="4"/>
  <c r="G252" i="4"/>
  <c r="C252" i="4"/>
  <c r="L251" i="4"/>
  <c r="K251" i="4"/>
  <c r="J251" i="4"/>
  <c r="I251" i="4"/>
  <c r="H251" i="4"/>
  <c r="G251" i="4"/>
  <c r="C251" i="4"/>
  <c r="L250" i="4"/>
  <c r="K250" i="4"/>
  <c r="J250" i="4"/>
  <c r="I250" i="4"/>
  <c r="H250" i="4"/>
  <c r="G250" i="4"/>
  <c r="C250" i="4"/>
  <c r="L249" i="4"/>
  <c r="K249" i="4"/>
  <c r="J249" i="4"/>
  <c r="I249" i="4"/>
  <c r="H249" i="4"/>
  <c r="G249" i="4"/>
  <c r="C249" i="4"/>
  <c r="L248" i="4"/>
  <c r="K248" i="4"/>
  <c r="J248" i="4"/>
  <c r="I248" i="4"/>
  <c r="H248" i="4"/>
  <c r="G248" i="4"/>
  <c r="C248" i="4"/>
  <c r="L247" i="4"/>
  <c r="K247" i="4"/>
  <c r="J247" i="4"/>
  <c r="I247" i="4"/>
  <c r="H247" i="4"/>
  <c r="G247" i="4"/>
  <c r="C247" i="4"/>
  <c r="L246" i="4"/>
  <c r="K246" i="4"/>
  <c r="J246" i="4"/>
  <c r="I246" i="4"/>
  <c r="H246" i="4"/>
  <c r="G246" i="4"/>
  <c r="C246" i="4"/>
  <c r="L245" i="4"/>
  <c r="K245" i="4"/>
  <c r="J245" i="4"/>
  <c r="I245" i="4"/>
  <c r="H245" i="4"/>
  <c r="G245" i="4"/>
  <c r="C245" i="4"/>
  <c r="L244" i="4"/>
  <c r="K244" i="4"/>
  <c r="J244" i="4"/>
  <c r="I244" i="4"/>
  <c r="H244" i="4"/>
  <c r="G244" i="4"/>
  <c r="C244" i="4"/>
  <c r="L243" i="4"/>
  <c r="K243" i="4"/>
  <c r="J243" i="4"/>
  <c r="I243" i="4"/>
  <c r="H243" i="4"/>
  <c r="G243" i="4"/>
  <c r="C243" i="4"/>
  <c r="L242" i="4"/>
  <c r="K242" i="4"/>
  <c r="J242" i="4"/>
  <c r="I242" i="4"/>
  <c r="H242" i="4"/>
  <c r="G242" i="4"/>
  <c r="C242" i="4"/>
  <c r="L241" i="4"/>
  <c r="K241" i="4"/>
  <c r="J241" i="4"/>
  <c r="I241" i="4"/>
  <c r="H241" i="4"/>
  <c r="G241" i="4"/>
  <c r="C241" i="4"/>
  <c r="L240" i="4"/>
  <c r="K240" i="4"/>
  <c r="J240" i="4"/>
  <c r="I240" i="4"/>
  <c r="H240" i="4"/>
  <c r="G240" i="4"/>
  <c r="C240" i="4"/>
  <c r="L239" i="4"/>
  <c r="K239" i="4"/>
  <c r="J239" i="4"/>
  <c r="I239" i="4"/>
  <c r="H239" i="4"/>
  <c r="G239" i="4"/>
  <c r="C239" i="4"/>
  <c r="L238" i="4"/>
  <c r="K238" i="4"/>
  <c r="J238" i="4"/>
  <c r="I238" i="4"/>
  <c r="H238" i="4"/>
  <c r="G238" i="4"/>
  <c r="C238" i="4"/>
  <c r="L237" i="4"/>
  <c r="K237" i="4"/>
  <c r="J237" i="4"/>
  <c r="I237" i="4"/>
  <c r="H237" i="4"/>
  <c r="G237" i="4"/>
  <c r="C237" i="4"/>
  <c r="L236" i="4"/>
  <c r="K236" i="4"/>
  <c r="J236" i="4"/>
  <c r="I236" i="4"/>
  <c r="H236" i="4"/>
  <c r="G236" i="4"/>
  <c r="C236" i="4"/>
  <c r="L235" i="4"/>
  <c r="K235" i="4"/>
  <c r="J235" i="4"/>
  <c r="I235" i="4"/>
  <c r="H235" i="4"/>
  <c r="G235" i="4"/>
  <c r="C235" i="4"/>
  <c r="L234" i="4"/>
  <c r="K234" i="4"/>
  <c r="J234" i="4"/>
  <c r="I234" i="4"/>
  <c r="H234" i="4"/>
  <c r="G234" i="4"/>
  <c r="C234" i="4"/>
  <c r="L233" i="4"/>
  <c r="K233" i="4"/>
  <c r="J233" i="4"/>
  <c r="I233" i="4"/>
  <c r="H233" i="4"/>
  <c r="G233" i="4"/>
  <c r="C233" i="4"/>
  <c r="L232" i="4"/>
  <c r="K232" i="4"/>
  <c r="J232" i="4"/>
  <c r="I232" i="4"/>
  <c r="H232" i="4"/>
  <c r="G232" i="4"/>
  <c r="C232" i="4"/>
  <c r="L231" i="4"/>
  <c r="K231" i="4"/>
  <c r="J231" i="4"/>
  <c r="I231" i="4"/>
  <c r="H231" i="4"/>
  <c r="G231" i="4"/>
  <c r="C231" i="4"/>
  <c r="L230" i="4"/>
  <c r="K230" i="4"/>
  <c r="J230" i="4"/>
  <c r="I230" i="4"/>
  <c r="H230" i="4"/>
  <c r="G230" i="4"/>
  <c r="C230" i="4"/>
  <c r="L229" i="4"/>
  <c r="K229" i="4"/>
  <c r="J229" i="4"/>
  <c r="I229" i="4"/>
  <c r="H229" i="4"/>
  <c r="G229" i="4"/>
  <c r="C229" i="4"/>
  <c r="L228" i="4"/>
  <c r="K228" i="4"/>
  <c r="J228" i="4"/>
  <c r="I228" i="4"/>
  <c r="H228" i="4"/>
  <c r="G228" i="4"/>
  <c r="C228" i="4"/>
  <c r="L227" i="4"/>
  <c r="K227" i="4"/>
  <c r="J227" i="4"/>
  <c r="I227" i="4"/>
  <c r="H227" i="4"/>
  <c r="G227" i="4"/>
  <c r="C227" i="4"/>
  <c r="L226" i="4"/>
  <c r="K226" i="4"/>
  <c r="J226" i="4"/>
  <c r="I226" i="4"/>
  <c r="H226" i="4"/>
  <c r="G226" i="4"/>
  <c r="C226" i="4"/>
  <c r="L225" i="4"/>
  <c r="K225" i="4"/>
  <c r="J225" i="4"/>
  <c r="I225" i="4"/>
  <c r="H225" i="4"/>
  <c r="G225" i="4"/>
  <c r="C225" i="4"/>
  <c r="L224" i="4"/>
  <c r="K224" i="4"/>
  <c r="J224" i="4"/>
  <c r="I224" i="4"/>
  <c r="H224" i="4"/>
  <c r="G224" i="4"/>
  <c r="C224" i="4"/>
  <c r="L223" i="4"/>
  <c r="K223" i="4"/>
  <c r="J223" i="4"/>
  <c r="I223" i="4"/>
  <c r="H223" i="4"/>
  <c r="G223" i="4"/>
  <c r="C223" i="4"/>
  <c r="L222" i="4"/>
  <c r="K222" i="4"/>
  <c r="J222" i="4"/>
  <c r="I222" i="4"/>
  <c r="H222" i="4"/>
  <c r="G222" i="4"/>
  <c r="C222" i="4"/>
  <c r="L221" i="4"/>
  <c r="K221" i="4"/>
  <c r="J221" i="4"/>
  <c r="I221" i="4"/>
  <c r="H221" i="4"/>
  <c r="G221" i="4"/>
  <c r="C221" i="4"/>
  <c r="L220" i="4"/>
  <c r="K220" i="4"/>
  <c r="J220" i="4"/>
  <c r="I220" i="4"/>
  <c r="H220" i="4"/>
  <c r="G220" i="4"/>
  <c r="C220" i="4"/>
  <c r="L219" i="4"/>
  <c r="K219" i="4"/>
  <c r="J219" i="4"/>
  <c r="I219" i="4"/>
  <c r="H219" i="4"/>
  <c r="G219" i="4"/>
  <c r="C219" i="4"/>
  <c r="L218" i="4"/>
  <c r="K218" i="4"/>
  <c r="J218" i="4"/>
  <c r="I218" i="4"/>
  <c r="H218" i="4"/>
  <c r="G218" i="4"/>
  <c r="C218" i="4"/>
  <c r="L217" i="4"/>
  <c r="K217" i="4"/>
  <c r="J217" i="4"/>
  <c r="I217" i="4"/>
  <c r="H217" i="4"/>
  <c r="G217" i="4"/>
  <c r="C217" i="4"/>
  <c r="L216" i="4"/>
  <c r="K216" i="4"/>
  <c r="J216" i="4"/>
  <c r="I216" i="4"/>
  <c r="H216" i="4"/>
  <c r="G216" i="4"/>
  <c r="C216" i="4"/>
  <c r="L215" i="4"/>
  <c r="K215" i="4"/>
  <c r="J215" i="4"/>
  <c r="I215" i="4"/>
  <c r="H215" i="4"/>
  <c r="G215" i="4"/>
  <c r="C215" i="4"/>
  <c r="L214" i="4"/>
  <c r="K214" i="4"/>
  <c r="J214" i="4"/>
  <c r="I214" i="4"/>
  <c r="H214" i="4"/>
  <c r="G214" i="4"/>
  <c r="C214" i="4"/>
  <c r="L213" i="4"/>
  <c r="K213" i="4"/>
  <c r="J213" i="4"/>
  <c r="I213" i="4"/>
  <c r="H213" i="4"/>
  <c r="G213" i="4"/>
  <c r="C213" i="4"/>
  <c r="L212" i="4"/>
  <c r="K212" i="4"/>
  <c r="J212" i="4"/>
  <c r="I212" i="4"/>
  <c r="H212" i="4"/>
  <c r="G212" i="4"/>
  <c r="C212" i="4"/>
  <c r="L211" i="4"/>
  <c r="K211" i="4"/>
  <c r="J211" i="4"/>
  <c r="I211" i="4"/>
  <c r="H211" i="4"/>
  <c r="G211" i="4"/>
  <c r="C211" i="4"/>
  <c r="L210" i="4"/>
  <c r="K210" i="4"/>
  <c r="J210" i="4"/>
  <c r="I210" i="4"/>
  <c r="H210" i="4"/>
  <c r="G210" i="4"/>
  <c r="C210" i="4"/>
  <c r="L209" i="4"/>
  <c r="K209" i="4"/>
  <c r="J209" i="4"/>
  <c r="I209" i="4"/>
  <c r="H209" i="4"/>
  <c r="G209" i="4"/>
  <c r="C209" i="4"/>
  <c r="L208" i="4"/>
  <c r="K208" i="4"/>
  <c r="J208" i="4"/>
  <c r="I208" i="4"/>
  <c r="H208" i="4"/>
  <c r="G208" i="4"/>
  <c r="C208" i="4"/>
  <c r="L207" i="4"/>
  <c r="K207" i="4"/>
  <c r="J207" i="4"/>
  <c r="I207" i="4"/>
  <c r="H207" i="4"/>
  <c r="G207" i="4"/>
  <c r="C207" i="4"/>
  <c r="L206" i="4"/>
  <c r="K206" i="4"/>
  <c r="J206" i="4"/>
  <c r="I206" i="4"/>
  <c r="H206" i="4"/>
  <c r="G206" i="4"/>
  <c r="C206" i="4"/>
  <c r="L205" i="4"/>
  <c r="K205" i="4"/>
  <c r="J205" i="4"/>
  <c r="I205" i="4"/>
  <c r="H205" i="4"/>
  <c r="G205" i="4"/>
  <c r="C205" i="4"/>
  <c r="L204" i="4"/>
  <c r="K204" i="4"/>
  <c r="J204" i="4"/>
  <c r="I204" i="4"/>
  <c r="H204" i="4"/>
  <c r="G204" i="4"/>
  <c r="C204" i="4"/>
  <c r="L203" i="4"/>
  <c r="K203" i="4"/>
  <c r="J203" i="4"/>
  <c r="I203" i="4"/>
  <c r="H203" i="4"/>
  <c r="G203" i="4"/>
  <c r="C203" i="4"/>
  <c r="L202" i="4"/>
  <c r="K202" i="4"/>
  <c r="J202" i="4"/>
  <c r="I202" i="4"/>
  <c r="H202" i="4"/>
  <c r="G202" i="4"/>
  <c r="C202" i="4"/>
  <c r="L201" i="4"/>
  <c r="K201" i="4"/>
  <c r="J201" i="4"/>
  <c r="I201" i="4"/>
  <c r="H201" i="4"/>
  <c r="G201" i="4"/>
  <c r="C201" i="4"/>
  <c r="L200" i="4"/>
  <c r="K200" i="4"/>
  <c r="J200" i="4"/>
  <c r="I200" i="4"/>
  <c r="H200" i="4"/>
  <c r="G200" i="4"/>
  <c r="C200" i="4"/>
  <c r="L199" i="4"/>
  <c r="K199" i="4"/>
  <c r="J199" i="4"/>
  <c r="I199" i="4"/>
  <c r="H199" i="4"/>
  <c r="G199" i="4"/>
  <c r="C199" i="4"/>
  <c r="L198" i="4"/>
  <c r="K198" i="4"/>
  <c r="J198" i="4"/>
  <c r="I198" i="4"/>
  <c r="H198" i="4"/>
  <c r="G198" i="4"/>
  <c r="C198" i="4"/>
  <c r="L197" i="4"/>
  <c r="K197" i="4"/>
  <c r="J197" i="4"/>
  <c r="I197" i="4"/>
  <c r="H197" i="4"/>
  <c r="G197" i="4"/>
  <c r="C197" i="4"/>
  <c r="L196" i="4"/>
  <c r="K196" i="4"/>
  <c r="J196" i="4"/>
  <c r="I196" i="4"/>
  <c r="H196" i="4"/>
  <c r="G196" i="4"/>
  <c r="C196" i="4"/>
  <c r="L195" i="4"/>
  <c r="K195" i="4"/>
  <c r="J195" i="4"/>
  <c r="I195" i="4"/>
  <c r="H195" i="4"/>
  <c r="G195" i="4"/>
  <c r="C195" i="4"/>
  <c r="L194" i="4"/>
  <c r="K194" i="4"/>
  <c r="J194" i="4"/>
  <c r="I194" i="4"/>
  <c r="H194" i="4"/>
  <c r="G194" i="4"/>
  <c r="C194" i="4"/>
  <c r="L193" i="4"/>
  <c r="K193" i="4"/>
  <c r="J193" i="4"/>
  <c r="I193" i="4"/>
  <c r="H193" i="4"/>
  <c r="G193" i="4"/>
  <c r="C193" i="4"/>
  <c r="L192" i="4"/>
  <c r="K192" i="4"/>
  <c r="J192" i="4"/>
  <c r="I192" i="4"/>
  <c r="H192" i="4"/>
  <c r="G192" i="4"/>
  <c r="C192" i="4"/>
  <c r="L191" i="4"/>
  <c r="K191" i="4"/>
  <c r="J191" i="4"/>
  <c r="I191" i="4"/>
  <c r="H191" i="4"/>
  <c r="G191" i="4"/>
  <c r="C191" i="4"/>
  <c r="L190" i="4"/>
  <c r="K190" i="4"/>
  <c r="J190" i="4"/>
  <c r="I190" i="4"/>
  <c r="H190" i="4"/>
  <c r="G190" i="4"/>
  <c r="C190" i="4"/>
  <c r="L189" i="4"/>
  <c r="K189" i="4"/>
  <c r="J189" i="4"/>
  <c r="I189" i="4"/>
  <c r="H189" i="4"/>
  <c r="G189" i="4"/>
  <c r="C189" i="4"/>
  <c r="L188" i="4"/>
  <c r="K188" i="4"/>
  <c r="J188" i="4"/>
  <c r="I188" i="4"/>
  <c r="H188" i="4"/>
  <c r="G188" i="4"/>
  <c r="C188" i="4"/>
  <c r="L187" i="4"/>
  <c r="K187" i="4"/>
  <c r="J187" i="4"/>
  <c r="I187" i="4"/>
  <c r="H187" i="4"/>
  <c r="G187" i="4"/>
  <c r="C187" i="4"/>
  <c r="L186" i="4"/>
  <c r="K186" i="4"/>
  <c r="J186" i="4"/>
  <c r="I186" i="4"/>
  <c r="H186" i="4"/>
  <c r="G186" i="4"/>
  <c r="C186" i="4"/>
  <c r="L185" i="4"/>
  <c r="K185" i="4"/>
  <c r="J185" i="4"/>
  <c r="I185" i="4"/>
  <c r="H185" i="4"/>
  <c r="G185" i="4"/>
  <c r="C185" i="4"/>
  <c r="L184" i="4"/>
  <c r="K184" i="4"/>
  <c r="J184" i="4"/>
  <c r="I184" i="4"/>
  <c r="H184" i="4"/>
  <c r="G184" i="4"/>
  <c r="C184" i="4"/>
  <c r="L183" i="4"/>
  <c r="K183" i="4"/>
  <c r="J183" i="4"/>
  <c r="I183" i="4"/>
  <c r="H183" i="4"/>
  <c r="G183" i="4"/>
  <c r="C183" i="4"/>
  <c r="L182" i="4"/>
  <c r="K182" i="4"/>
  <c r="J182" i="4"/>
  <c r="I182" i="4"/>
  <c r="H182" i="4"/>
  <c r="G182" i="4"/>
  <c r="C182" i="4"/>
  <c r="L181" i="4"/>
  <c r="K181" i="4"/>
  <c r="J181" i="4"/>
  <c r="I181" i="4"/>
  <c r="H181" i="4"/>
  <c r="G181" i="4"/>
  <c r="C181" i="4"/>
  <c r="L180" i="4"/>
  <c r="K180" i="4"/>
  <c r="J180" i="4"/>
  <c r="I180" i="4"/>
  <c r="H180" i="4"/>
  <c r="G180" i="4"/>
  <c r="C180" i="4"/>
  <c r="L179" i="4"/>
  <c r="K179" i="4"/>
  <c r="J179" i="4"/>
  <c r="I179" i="4"/>
  <c r="H179" i="4"/>
  <c r="G179" i="4"/>
  <c r="C179" i="4"/>
  <c r="L178" i="4"/>
  <c r="K178" i="4"/>
  <c r="J178" i="4"/>
  <c r="I178" i="4"/>
  <c r="H178" i="4"/>
  <c r="G178" i="4"/>
  <c r="C178" i="4"/>
  <c r="L177" i="4"/>
  <c r="K177" i="4"/>
  <c r="J177" i="4"/>
  <c r="I177" i="4"/>
  <c r="H177" i="4"/>
  <c r="G177" i="4"/>
  <c r="C177" i="4"/>
  <c r="L176" i="4"/>
  <c r="K176" i="4"/>
  <c r="J176" i="4"/>
  <c r="I176" i="4"/>
  <c r="H176" i="4"/>
  <c r="G176" i="4"/>
  <c r="C176" i="4"/>
  <c r="L175" i="4"/>
  <c r="K175" i="4"/>
  <c r="J175" i="4"/>
  <c r="I175" i="4"/>
  <c r="H175" i="4"/>
  <c r="G175" i="4"/>
  <c r="C175" i="4"/>
  <c r="L174" i="4"/>
  <c r="K174" i="4"/>
  <c r="J174" i="4"/>
  <c r="I174" i="4"/>
  <c r="H174" i="4"/>
  <c r="G174" i="4"/>
  <c r="C174" i="4"/>
  <c r="L173" i="4"/>
  <c r="K173" i="4"/>
  <c r="J173" i="4"/>
  <c r="I173" i="4"/>
  <c r="H173" i="4"/>
  <c r="G173" i="4"/>
  <c r="C173" i="4"/>
  <c r="L172" i="4"/>
  <c r="K172" i="4"/>
  <c r="J172" i="4"/>
  <c r="I172" i="4"/>
  <c r="H172" i="4"/>
  <c r="G172" i="4"/>
  <c r="C172" i="4"/>
  <c r="L171" i="4"/>
  <c r="K171" i="4"/>
  <c r="J171" i="4"/>
  <c r="I171" i="4"/>
  <c r="H171" i="4"/>
  <c r="G171" i="4"/>
  <c r="C171" i="4"/>
  <c r="L170" i="4"/>
  <c r="K170" i="4"/>
  <c r="J170" i="4"/>
  <c r="I170" i="4"/>
  <c r="H170" i="4"/>
  <c r="G170" i="4"/>
  <c r="C170" i="4"/>
  <c r="L169" i="4"/>
  <c r="K169" i="4"/>
  <c r="J169" i="4"/>
  <c r="I169" i="4"/>
  <c r="H169" i="4"/>
  <c r="G169" i="4"/>
  <c r="C169" i="4"/>
  <c r="L168" i="4"/>
  <c r="K168" i="4"/>
  <c r="J168" i="4"/>
  <c r="I168" i="4"/>
  <c r="H168" i="4"/>
  <c r="G168" i="4"/>
  <c r="C168" i="4"/>
  <c r="L167" i="4"/>
  <c r="K167" i="4"/>
  <c r="J167" i="4"/>
  <c r="I167" i="4"/>
  <c r="H167" i="4"/>
  <c r="G167" i="4"/>
  <c r="C167" i="4"/>
  <c r="L166" i="4"/>
  <c r="K166" i="4"/>
  <c r="J166" i="4"/>
  <c r="I166" i="4"/>
  <c r="H166" i="4"/>
  <c r="G166" i="4"/>
  <c r="C166" i="4"/>
  <c r="L165" i="4"/>
  <c r="K165" i="4"/>
  <c r="J165" i="4"/>
  <c r="I165" i="4"/>
  <c r="H165" i="4"/>
  <c r="G165" i="4"/>
  <c r="C165" i="4"/>
  <c r="L164" i="4"/>
  <c r="K164" i="4"/>
  <c r="J164" i="4"/>
  <c r="I164" i="4"/>
  <c r="H164" i="4"/>
  <c r="G164" i="4"/>
  <c r="C164" i="4"/>
  <c r="L163" i="4"/>
  <c r="K163" i="4"/>
  <c r="J163" i="4"/>
  <c r="I163" i="4"/>
  <c r="H163" i="4"/>
  <c r="G163" i="4"/>
  <c r="C163" i="4"/>
  <c r="L162" i="4"/>
  <c r="K162" i="4"/>
  <c r="J162" i="4"/>
  <c r="I162" i="4"/>
  <c r="H162" i="4"/>
  <c r="G162" i="4"/>
  <c r="C162" i="4"/>
  <c r="L161" i="4"/>
  <c r="K161" i="4"/>
  <c r="J161" i="4"/>
  <c r="I161" i="4"/>
  <c r="H161" i="4"/>
  <c r="G161" i="4"/>
  <c r="C161" i="4"/>
  <c r="L160" i="4"/>
  <c r="K160" i="4"/>
  <c r="J160" i="4"/>
  <c r="I160" i="4"/>
  <c r="H160" i="4"/>
  <c r="G160" i="4"/>
  <c r="C160" i="4"/>
  <c r="L159" i="4"/>
  <c r="K159" i="4"/>
  <c r="J159" i="4"/>
  <c r="I159" i="4"/>
  <c r="H159" i="4"/>
  <c r="G159" i="4"/>
  <c r="C159" i="4"/>
  <c r="L158" i="4"/>
  <c r="K158" i="4"/>
  <c r="J158" i="4"/>
  <c r="I158" i="4"/>
  <c r="H158" i="4"/>
  <c r="G158" i="4"/>
  <c r="C158" i="4"/>
  <c r="L157" i="4"/>
  <c r="K157" i="4"/>
  <c r="J157" i="4"/>
  <c r="I157" i="4"/>
  <c r="H157" i="4"/>
  <c r="G157" i="4"/>
  <c r="C157" i="4"/>
  <c r="L156" i="4"/>
  <c r="K156" i="4"/>
  <c r="J156" i="4"/>
  <c r="I156" i="4"/>
  <c r="H156" i="4"/>
  <c r="G156" i="4"/>
  <c r="C156" i="4"/>
  <c r="L155" i="4"/>
  <c r="K155" i="4"/>
  <c r="J155" i="4"/>
  <c r="I155" i="4"/>
  <c r="H155" i="4"/>
  <c r="G155" i="4"/>
  <c r="C155" i="4"/>
  <c r="L154" i="4"/>
  <c r="K154" i="4"/>
  <c r="J154" i="4"/>
  <c r="I154" i="4"/>
  <c r="H154" i="4"/>
  <c r="G154" i="4"/>
  <c r="C154" i="4"/>
  <c r="L153" i="4"/>
  <c r="K153" i="4"/>
  <c r="J153" i="4"/>
  <c r="I153" i="4"/>
  <c r="H153" i="4"/>
  <c r="G153" i="4"/>
  <c r="C153" i="4"/>
  <c r="L152" i="4"/>
  <c r="K152" i="4"/>
  <c r="J152" i="4"/>
  <c r="I152" i="4"/>
  <c r="H152" i="4"/>
  <c r="G152" i="4"/>
  <c r="C152" i="4"/>
  <c r="L151" i="4"/>
  <c r="K151" i="4"/>
  <c r="J151" i="4"/>
  <c r="I151" i="4"/>
  <c r="H151" i="4"/>
  <c r="G151" i="4"/>
  <c r="C151" i="4"/>
  <c r="L150" i="4"/>
  <c r="K150" i="4"/>
  <c r="J150" i="4"/>
  <c r="I150" i="4"/>
  <c r="H150" i="4"/>
  <c r="G150" i="4"/>
  <c r="C150" i="4"/>
  <c r="L149" i="4"/>
  <c r="K149" i="4"/>
  <c r="J149" i="4"/>
  <c r="I149" i="4"/>
  <c r="H149" i="4"/>
  <c r="G149" i="4"/>
  <c r="C149" i="4"/>
  <c r="L148" i="4"/>
  <c r="K148" i="4"/>
  <c r="J148" i="4"/>
  <c r="I148" i="4"/>
  <c r="H148" i="4"/>
  <c r="G148" i="4"/>
  <c r="C148" i="4"/>
  <c r="L147" i="4"/>
  <c r="K147" i="4"/>
  <c r="J147" i="4"/>
  <c r="I147" i="4"/>
  <c r="H147" i="4"/>
  <c r="G147" i="4"/>
  <c r="C147" i="4"/>
  <c r="L146" i="4"/>
  <c r="K146" i="4"/>
  <c r="J146" i="4"/>
  <c r="I146" i="4"/>
  <c r="H146" i="4"/>
  <c r="G146" i="4"/>
  <c r="C146" i="4"/>
  <c r="L145" i="4"/>
  <c r="K145" i="4"/>
  <c r="J145" i="4"/>
  <c r="I145" i="4"/>
  <c r="H145" i="4"/>
  <c r="G145" i="4"/>
  <c r="C145" i="4"/>
  <c r="L144" i="4"/>
  <c r="K144" i="4"/>
  <c r="J144" i="4"/>
  <c r="I144" i="4"/>
  <c r="H144" i="4"/>
  <c r="G144" i="4"/>
  <c r="C144" i="4"/>
  <c r="L143" i="4"/>
  <c r="K143" i="4"/>
  <c r="J143" i="4"/>
  <c r="I143" i="4"/>
  <c r="H143" i="4"/>
  <c r="G143" i="4"/>
  <c r="C143" i="4"/>
  <c r="L142" i="4"/>
  <c r="K142" i="4"/>
  <c r="J142" i="4"/>
  <c r="I142" i="4"/>
  <c r="H142" i="4"/>
  <c r="G142" i="4"/>
  <c r="C142" i="4"/>
  <c r="L141" i="4"/>
  <c r="K141" i="4"/>
  <c r="J141" i="4"/>
  <c r="I141" i="4"/>
  <c r="H141" i="4"/>
  <c r="G141" i="4"/>
  <c r="C141" i="4"/>
  <c r="L140" i="4"/>
  <c r="K140" i="4"/>
  <c r="J140" i="4"/>
  <c r="I140" i="4"/>
  <c r="H140" i="4"/>
  <c r="G140" i="4"/>
  <c r="C140" i="4"/>
  <c r="L139" i="4"/>
  <c r="K139" i="4"/>
  <c r="J139" i="4"/>
  <c r="I139" i="4"/>
  <c r="H139" i="4"/>
  <c r="G139" i="4"/>
  <c r="C139" i="4"/>
  <c r="L138" i="4"/>
  <c r="K138" i="4"/>
  <c r="J138" i="4"/>
  <c r="I138" i="4"/>
  <c r="H138" i="4"/>
  <c r="G138" i="4"/>
  <c r="C138" i="4"/>
  <c r="L137" i="4"/>
  <c r="K137" i="4"/>
  <c r="J137" i="4"/>
  <c r="I137" i="4"/>
  <c r="H137" i="4"/>
  <c r="G137" i="4"/>
  <c r="C137" i="4"/>
  <c r="L136" i="4"/>
  <c r="K136" i="4"/>
  <c r="J136" i="4"/>
  <c r="I136" i="4"/>
  <c r="H136" i="4"/>
  <c r="G136" i="4"/>
  <c r="C136" i="4"/>
  <c r="L135" i="4"/>
  <c r="K135" i="4"/>
  <c r="J135" i="4"/>
  <c r="I135" i="4"/>
  <c r="H135" i="4"/>
  <c r="G135" i="4"/>
  <c r="C135" i="4"/>
  <c r="L134" i="4"/>
  <c r="K134" i="4"/>
  <c r="J134" i="4"/>
  <c r="I134" i="4"/>
  <c r="H134" i="4"/>
  <c r="G134" i="4"/>
  <c r="C134" i="4"/>
  <c r="L133" i="4"/>
  <c r="K133" i="4"/>
  <c r="J133" i="4"/>
  <c r="I133" i="4"/>
  <c r="H133" i="4"/>
  <c r="G133" i="4"/>
  <c r="C133" i="4"/>
  <c r="L132" i="4"/>
  <c r="K132" i="4"/>
  <c r="J132" i="4"/>
  <c r="I132" i="4"/>
  <c r="H132" i="4"/>
  <c r="G132" i="4"/>
  <c r="C132" i="4"/>
  <c r="L131" i="4"/>
  <c r="K131" i="4"/>
  <c r="J131" i="4"/>
  <c r="I131" i="4"/>
  <c r="H131" i="4"/>
  <c r="G131" i="4"/>
  <c r="C131" i="4"/>
  <c r="L130" i="4"/>
  <c r="K130" i="4"/>
  <c r="J130" i="4"/>
  <c r="I130" i="4"/>
  <c r="H130" i="4"/>
  <c r="G130" i="4"/>
  <c r="C130" i="4"/>
  <c r="L129" i="4"/>
  <c r="K129" i="4"/>
  <c r="J129" i="4"/>
  <c r="I129" i="4"/>
  <c r="H129" i="4"/>
  <c r="G129" i="4"/>
  <c r="C129" i="4"/>
  <c r="L128" i="4"/>
  <c r="K128" i="4"/>
  <c r="J128" i="4"/>
  <c r="I128" i="4"/>
  <c r="H128" i="4"/>
  <c r="G128" i="4"/>
  <c r="C128" i="4"/>
  <c r="L127" i="4"/>
  <c r="K127" i="4"/>
  <c r="J127" i="4"/>
  <c r="I127" i="4"/>
  <c r="H127" i="4"/>
  <c r="G127" i="4"/>
  <c r="C127" i="4"/>
  <c r="L126" i="4"/>
  <c r="K126" i="4"/>
  <c r="J126" i="4"/>
  <c r="I126" i="4"/>
  <c r="H126" i="4"/>
  <c r="G126" i="4"/>
  <c r="C126" i="4"/>
  <c r="L125" i="4"/>
  <c r="K125" i="4"/>
  <c r="J125" i="4"/>
  <c r="I125" i="4"/>
  <c r="H125" i="4"/>
  <c r="G125" i="4"/>
  <c r="C125" i="4"/>
  <c r="L124" i="4"/>
  <c r="K124" i="4"/>
  <c r="J124" i="4"/>
  <c r="I124" i="4"/>
  <c r="H124" i="4"/>
  <c r="G124" i="4"/>
  <c r="C124" i="4"/>
  <c r="L123" i="4"/>
  <c r="K123" i="4"/>
  <c r="J123" i="4"/>
  <c r="I123" i="4"/>
  <c r="H123" i="4"/>
  <c r="G123" i="4"/>
  <c r="C123" i="4"/>
  <c r="L122" i="4"/>
  <c r="K122" i="4"/>
  <c r="J122" i="4"/>
  <c r="I122" i="4"/>
  <c r="H122" i="4"/>
  <c r="G122" i="4"/>
  <c r="C122" i="4"/>
  <c r="L121" i="4"/>
  <c r="K121" i="4"/>
  <c r="J121" i="4"/>
  <c r="I121" i="4"/>
  <c r="H121" i="4"/>
  <c r="G121" i="4"/>
  <c r="C121" i="4"/>
  <c r="L120" i="4"/>
  <c r="K120" i="4"/>
  <c r="J120" i="4"/>
  <c r="I120" i="4"/>
  <c r="H120" i="4"/>
  <c r="G120" i="4"/>
  <c r="C120" i="4"/>
  <c r="L119" i="4"/>
  <c r="K119" i="4"/>
  <c r="J119" i="4"/>
  <c r="I119" i="4"/>
  <c r="H119" i="4"/>
  <c r="G119" i="4"/>
  <c r="C119" i="4"/>
  <c r="L118" i="4"/>
  <c r="K118" i="4"/>
  <c r="J118" i="4"/>
  <c r="I118" i="4"/>
  <c r="H118" i="4"/>
  <c r="G118" i="4"/>
  <c r="C118" i="4"/>
  <c r="L117" i="4"/>
  <c r="K117" i="4"/>
  <c r="J117" i="4"/>
  <c r="I117" i="4"/>
  <c r="H117" i="4"/>
  <c r="G117" i="4"/>
  <c r="C117" i="4"/>
  <c r="L116" i="4"/>
  <c r="K116" i="4"/>
  <c r="J116" i="4"/>
  <c r="I116" i="4"/>
  <c r="H116" i="4"/>
  <c r="G116" i="4"/>
  <c r="C116" i="4"/>
  <c r="L115" i="4"/>
  <c r="K115" i="4"/>
  <c r="J115" i="4"/>
  <c r="I115" i="4"/>
  <c r="H115" i="4"/>
  <c r="G115" i="4"/>
  <c r="C115" i="4"/>
  <c r="L114" i="4"/>
  <c r="K114" i="4"/>
  <c r="J114" i="4"/>
  <c r="I114" i="4"/>
  <c r="H114" i="4"/>
  <c r="G114" i="4"/>
  <c r="C114" i="4"/>
  <c r="L113" i="4"/>
  <c r="K113" i="4"/>
  <c r="J113" i="4"/>
  <c r="I113" i="4"/>
  <c r="H113" i="4"/>
  <c r="G113" i="4"/>
  <c r="C113" i="4"/>
  <c r="L112" i="4"/>
  <c r="K112" i="4"/>
  <c r="J112" i="4"/>
  <c r="I112" i="4"/>
  <c r="H112" i="4"/>
  <c r="G112" i="4"/>
  <c r="C112" i="4"/>
  <c r="L111" i="4"/>
  <c r="K111" i="4"/>
  <c r="J111" i="4"/>
  <c r="I111" i="4"/>
  <c r="H111" i="4"/>
  <c r="G111" i="4"/>
  <c r="C111" i="4"/>
  <c r="L110" i="4"/>
  <c r="K110" i="4"/>
  <c r="J110" i="4"/>
  <c r="I110" i="4"/>
  <c r="H110" i="4"/>
  <c r="G110" i="4"/>
  <c r="C110" i="4"/>
  <c r="L109" i="4"/>
  <c r="K109" i="4"/>
  <c r="J109" i="4"/>
  <c r="I109" i="4"/>
  <c r="H109" i="4"/>
  <c r="G109" i="4"/>
  <c r="C109" i="4"/>
  <c r="L108" i="4"/>
  <c r="K108" i="4"/>
  <c r="J108" i="4"/>
  <c r="I108" i="4"/>
  <c r="H108" i="4"/>
  <c r="G108" i="4"/>
  <c r="C108" i="4"/>
  <c r="L107" i="4"/>
  <c r="K107" i="4"/>
  <c r="J107" i="4"/>
  <c r="I107" i="4"/>
  <c r="H107" i="4"/>
  <c r="G107" i="4"/>
  <c r="C107" i="4"/>
  <c r="L106" i="4"/>
  <c r="K106" i="4"/>
  <c r="J106" i="4"/>
  <c r="I106" i="4"/>
  <c r="H106" i="4"/>
  <c r="G106" i="4"/>
  <c r="C106" i="4"/>
  <c r="L105" i="4"/>
  <c r="K105" i="4"/>
  <c r="J105" i="4"/>
  <c r="I105" i="4"/>
  <c r="H105" i="4"/>
  <c r="G105" i="4"/>
  <c r="C105" i="4"/>
  <c r="L104" i="4"/>
  <c r="K104" i="4"/>
  <c r="J104" i="4"/>
  <c r="I104" i="4"/>
  <c r="H104" i="4"/>
  <c r="G104" i="4"/>
  <c r="C104" i="4"/>
  <c r="L103" i="4"/>
  <c r="K103" i="4"/>
  <c r="J103" i="4"/>
  <c r="I103" i="4"/>
  <c r="H103" i="4"/>
  <c r="G103" i="4"/>
  <c r="C103" i="4"/>
  <c r="L102" i="4"/>
  <c r="K102" i="4"/>
  <c r="J102" i="4"/>
  <c r="I102" i="4"/>
  <c r="H102" i="4"/>
  <c r="G102" i="4"/>
  <c r="C102" i="4"/>
  <c r="L101" i="4"/>
  <c r="K101" i="4"/>
  <c r="J101" i="4"/>
  <c r="I101" i="4"/>
  <c r="H101" i="4"/>
  <c r="G101" i="4"/>
  <c r="C101" i="4"/>
  <c r="L100" i="4"/>
  <c r="K100" i="4"/>
  <c r="J100" i="4"/>
  <c r="I100" i="4"/>
  <c r="H100" i="4"/>
  <c r="G100" i="4"/>
  <c r="C100" i="4"/>
  <c r="L99" i="4"/>
  <c r="K99" i="4"/>
  <c r="J99" i="4"/>
  <c r="I99" i="4"/>
  <c r="H99" i="4"/>
  <c r="G99" i="4"/>
  <c r="C99" i="4"/>
  <c r="L98" i="4"/>
  <c r="K98" i="4"/>
  <c r="J98" i="4"/>
  <c r="I98" i="4"/>
  <c r="H98" i="4"/>
  <c r="G98" i="4"/>
  <c r="C98" i="4"/>
  <c r="L97" i="4"/>
  <c r="K97" i="4"/>
  <c r="J97" i="4"/>
  <c r="I97" i="4"/>
  <c r="H97" i="4"/>
  <c r="G97" i="4"/>
  <c r="C97" i="4"/>
  <c r="L96" i="4"/>
  <c r="K96" i="4"/>
  <c r="J96" i="4"/>
  <c r="I96" i="4"/>
  <c r="H96" i="4"/>
  <c r="G96" i="4"/>
  <c r="C96" i="4"/>
  <c r="L95" i="4"/>
  <c r="K95" i="4"/>
  <c r="J95" i="4"/>
  <c r="I95" i="4"/>
  <c r="H95" i="4"/>
  <c r="G95" i="4"/>
  <c r="C95" i="4"/>
  <c r="L94" i="4"/>
  <c r="K94" i="4"/>
  <c r="J94" i="4"/>
  <c r="I94" i="4"/>
  <c r="H94" i="4"/>
  <c r="G94" i="4"/>
  <c r="C94" i="4"/>
  <c r="L93" i="4"/>
  <c r="K93" i="4"/>
  <c r="J93" i="4"/>
  <c r="I93" i="4"/>
  <c r="H93" i="4"/>
  <c r="G93" i="4"/>
  <c r="C93" i="4"/>
  <c r="L92" i="4"/>
  <c r="K92" i="4"/>
  <c r="J92" i="4"/>
  <c r="I92" i="4"/>
  <c r="H92" i="4"/>
  <c r="G92" i="4"/>
  <c r="C92" i="4"/>
  <c r="L91" i="4"/>
  <c r="K91" i="4"/>
  <c r="J91" i="4"/>
  <c r="I91" i="4"/>
  <c r="H91" i="4"/>
  <c r="G91" i="4"/>
  <c r="C91" i="4"/>
  <c r="L90" i="4"/>
  <c r="K90" i="4"/>
  <c r="J90" i="4"/>
  <c r="I90" i="4"/>
  <c r="H90" i="4"/>
  <c r="G90" i="4"/>
  <c r="C90" i="4"/>
  <c r="L89" i="4"/>
  <c r="K89" i="4"/>
  <c r="J89" i="4"/>
  <c r="I89" i="4"/>
  <c r="H89" i="4"/>
  <c r="G89" i="4"/>
  <c r="C89" i="4"/>
  <c r="L88" i="4"/>
  <c r="K88" i="4"/>
  <c r="J88" i="4"/>
  <c r="I88" i="4"/>
  <c r="H88" i="4"/>
  <c r="G88" i="4"/>
  <c r="C88" i="4"/>
  <c r="L87" i="4"/>
  <c r="K87" i="4"/>
  <c r="J87" i="4"/>
  <c r="I87" i="4"/>
  <c r="H87" i="4"/>
  <c r="G87" i="4"/>
  <c r="C87" i="4"/>
  <c r="L86" i="4"/>
  <c r="K86" i="4"/>
  <c r="J86" i="4"/>
  <c r="I86" i="4"/>
  <c r="H86" i="4"/>
  <c r="G86" i="4"/>
  <c r="C86" i="4"/>
  <c r="L85" i="4"/>
  <c r="K85" i="4"/>
  <c r="J85" i="4"/>
  <c r="I85" i="4"/>
  <c r="H85" i="4"/>
  <c r="G85" i="4"/>
  <c r="C85" i="4"/>
  <c r="L84" i="4"/>
  <c r="K84" i="4"/>
  <c r="J84" i="4"/>
  <c r="I84" i="4"/>
  <c r="H84" i="4"/>
  <c r="G84" i="4"/>
  <c r="C84" i="4"/>
  <c r="L83" i="4"/>
  <c r="K83" i="4"/>
  <c r="J83" i="4"/>
  <c r="I83" i="4"/>
  <c r="H83" i="4"/>
  <c r="G83" i="4"/>
  <c r="C83" i="4"/>
  <c r="L82" i="4"/>
  <c r="K82" i="4"/>
  <c r="J82" i="4"/>
  <c r="I82" i="4"/>
  <c r="H82" i="4"/>
  <c r="G82" i="4"/>
  <c r="C82" i="4"/>
  <c r="L81" i="4"/>
  <c r="K81" i="4"/>
  <c r="J81" i="4"/>
  <c r="I81" i="4"/>
  <c r="H81" i="4"/>
  <c r="G81" i="4"/>
  <c r="C81" i="4"/>
  <c r="L80" i="4"/>
  <c r="K80" i="4"/>
  <c r="J80" i="4"/>
  <c r="I80" i="4"/>
  <c r="H80" i="4"/>
  <c r="G80" i="4"/>
  <c r="C80" i="4"/>
  <c r="L79" i="4"/>
  <c r="K79" i="4"/>
  <c r="J79" i="4"/>
  <c r="I79" i="4"/>
  <c r="H79" i="4"/>
  <c r="G79" i="4"/>
  <c r="C79" i="4"/>
  <c r="L78" i="4"/>
  <c r="K78" i="4"/>
  <c r="J78" i="4"/>
  <c r="I78" i="4"/>
  <c r="H78" i="4"/>
  <c r="G78" i="4"/>
  <c r="C78" i="4"/>
  <c r="L77" i="4"/>
  <c r="K77" i="4"/>
  <c r="J77" i="4"/>
  <c r="I77" i="4"/>
  <c r="H77" i="4"/>
  <c r="G77" i="4"/>
  <c r="C77" i="4"/>
  <c r="L76" i="4"/>
  <c r="K76" i="4"/>
  <c r="J76" i="4"/>
  <c r="I76" i="4"/>
  <c r="H76" i="4"/>
  <c r="G76" i="4"/>
  <c r="C76" i="4"/>
  <c r="L75" i="4"/>
  <c r="K75" i="4"/>
  <c r="J75" i="4"/>
  <c r="I75" i="4"/>
  <c r="H75" i="4"/>
  <c r="G75" i="4"/>
  <c r="C75" i="4"/>
  <c r="L74" i="4"/>
  <c r="K74" i="4"/>
  <c r="J74" i="4"/>
  <c r="I74" i="4"/>
  <c r="H74" i="4"/>
  <c r="G74" i="4"/>
  <c r="C74" i="4"/>
  <c r="L73" i="4"/>
  <c r="K73" i="4"/>
  <c r="J73" i="4"/>
  <c r="I73" i="4"/>
  <c r="H73" i="4"/>
  <c r="G73" i="4"/>
  <c r="C73" i="4"/>
  <c r="L72" i="4"/>
  <c r="K72" i="4"/>
  <c r="J72" i="4"/>
  <c r="I72" i="4"/>
  <c r="H72" i="4"/>
  <c r="G72" i="4"/>
  <c r="C72" i="4"/>
  <c r="L71" i="4"/>
  <c r="K71" i="4"/>
  <c r="J71" i="4"/>
  <c r="I71" i="4"/>
  <c r="H71" i="4"/>
  <c r="G71" i="4"/>
  <c r="C71" i="4"/>
  <c r="L70" i="4"/>
  <c r="K70" i="4"/>
  <c r="J70" i="4"/>
  <c r="I70" i="4"/>
  <c r="H70" i="4"/>
  <c r="G70" i="4"/>
  <c r="C70" i="4"/>
  <c r="L69" i="4"/>
  <c r="K69" i="4"/>
  <c r="J69" i="4"/>
  <c r="I69" i="4"/>
  <c r="H69" i="4"/>
  <c r="G69" i="4"/>
  <c r="C69" i="4"/>
  <c r="L68" i="4"/>
  <c r="K68" i="4"/>
  <c r="J68" i="4"/>
  <c r="I68" i="4"/>
  <c r="H68" i="4"/>
  <c r="G68" i="4"/>
  <c r="C68" i="4"/>
  <c r="L67" i="4"/>
  <c r="K67" i="4"/>
  <c r="J67" i="4"/>
  <c r="I67" i="4"/>
  <c r="H67" i="4"/>
  <c r="G67" i="4"/>
  <c r="C67" i="4"/>
  <c r="L66" i="4"/>
  <c r="K66" i="4"/>
  <c r="J66" i="4"/>
  <c r="I66" i="4"/>
  <c r="H66" i="4"/>
  <c r="G66" i="4"/>
  <c r="C66" i="4"/>
  <c r="L65" i="4"/>
  <c r="K65" i="4"/>
  <c r="J65" i="4"/>
  <c r="I65" i="4"/>
  <c r="H65" i="4"/>
  <c r="G65" i="4"/>
  <c r="C65" i="4"/>
  <c r="L64" i="4"/>
  <c r="K64" i="4"/>
  <c r="J64" i="4"/>
  <c r="I64" i="4"/>
  <c r="H64" i="4"/>
  <c r="G64" i="4"/>
  <c r="C64" i="4"/>
  <c r="L63" i="4"/>
  <c r="K63" i="4"/>
  <c r="J63" i="4"/>
  <c r="I63" i="4"/>
  <c r="H63" i="4"/>
  <c r="G63" i="4"/>
  <c r="C63" i="4"/>
  <c r="L62" i="4"/>
  <c r="K62" i="4"/>
  <c r="J62" i="4"/>
  <c r="I62" i="4"/>
  <c r="H62" i="4"/>
  <c r="G62" i="4"/>
  <c r="C62" i="4"/>
  <c r="L61" i="4"/>
  <c r="K61" i="4"/>
  <c r="J61" i="4"/>
  <c r="I61" i="4"/>
  <c r="H61" i="4"/>
  <c r="G61" i="4"/>
  <c r="C61" i="4"/>
  <c r="L60" i="4"/>
  <c r="K60" i="4"/>
  <c r="J60" i="4"/>
  <c r="I60" i="4"/>
  <c r="H60" i="4"/>
  <c r="G60" i="4"/>
  <c r="C60" i="4"/>
  <c r="L59" i="4"/>
  <c r="K59" i="4"/>
  <c r="J59" i="4"/>
  <c r="I59" i="4"/>
  <c r="H59" i="4"/>
  <c r="G59" i="4"/>
  <c r="C59" i="4"/>
  <c r="L58" i="4"/>
  <c r="K58" i="4"/>
  <c r="J58" i="4"/>
  <c r="I58" i="4"/>
  <c r="H58" i="4"/>
  <c r="G58" i="4"/>
  <c r="C58" i="4"/>
  <c r="L57" i="4"/>
  <c r="K57" i="4"/>
  <c r="J57" i="4"/>
  <c r="I57" i="4"/>
  <c r="H57" i="4"/>
  <c r="G57" i="4"/>
  <c r="C57" i="4"/>
  <c r="L56" i="4"/>
  <c r="K56" i="4"/>
  <c r="J56" i="4"/>
  <c r="I56" i="4"/>
  <c r="H56" i="4"/>
  <c r="G56" i="4"/>
  <c r="C56" i="4"/>
  <c r="L55" i="4"/>
  <c r="K55" i="4"/>
  <c r="J55" i="4"/>
  <c r="I55" i="4"/>
  <c r="H55" i="4"/>
  <c r="G55" i="4"/>
  <c r="C55" i="4"/>
  <c r="L54" i="4"/>
  <c r="K54" i="4"/>
  <c r="J54" i="4"/>
  <c r="I54" i="4"/>
  <c r="H54" i="4"/>
  <c r="G54" i="4"/>
  <c r="C54" i="4"/>
  <c r="L53" i="4"/>
  <c r="K53" i="4"/>
  <c r="J53" i="4"/>
  <c r="I53" i="4"/>
  <c r="H53" i="4"/>
  <c r="G53" i="4"/>
  <c r="C53" i="4"/>
  <c r="L52" i="4"/>
  <c r="K52" i="4"/>
  <c r="J52" i="4"/>
  <c r="I52" i="4"/>
  <c r="H52" i="4"/>
  <c r="G52" i="4"/>
  <c r="C52" i="4"/>
  <c r="L51" i="4"/>
  <c r="K51" i="4"/>
  <c r="J51" i="4"/>
  <c r="I51" i="4"/>
  <c r="H51" i="4"/>
  <c r="G51" i="4"/>
  <c r="C51" i="4"/>
  <c r="L50" i="4"/>
  <c r="K50" i="4"/>
  <c r="J50" i="4"/>
  <c r="I50" i="4"/>
  <c r="H50" i="4"/>
  <c r="G50" i="4"/>
  <c r="C50" i="4"/>
  <c r="L49" i="4"/>
  <c r="K49" i="4"/>
  <c r="J49" i="4"/>
  <c r="I49" i="4"/>
  <c r="H49" i="4"/>
  <c r="G49" i="4"/>
  <c r="C49" i="4"/>
  <c r="L48" i="4"/>
  <c r="K48" i="4"/>
  <c r="J48" i="4"/>
  <c r="I48" i="4"/>
  <c r="H48" i="4"/>
  <c r="G48" i="4"/>
  <c r="C48" i="4"/>
  <c r="L47" i="4"/>
  <c r="K47" i="4"/>
  <c r="J47" i="4"/>
  <c r="I47" i="4"/>
  <c r="H47" i="4"/>
  <c r="G47" i="4"/>
  <c r="C47" i="4"/>
  <c r="L46" i="4"/>
  <c r="K46" i="4"/>
  <c r="J46" i="4"/>
  <c r="I46" i="4"/>
  <c r="H46" i="4"/>
  <c r="G46" i="4"/>
  <c r="C46" i="4"/>
  <c r="L45" i="4"/>
  <c r="K45" i="4"/>
  <c r="J45" i="4"/>
  <c r="I45" i="4"/>
  <c r="H45" i="4"/>
  <c r="G45" i="4"/>
  <c r="C45" i="4"/>
  <c r="L44" i="4"/>
  <c r="K44" i="4"/>
  <c r="J44" i="4"/>
  <c r="I44" i="4"/>
  <c r="H44" i="4"/>
  <c r="G44" i="4"/>
  <c r="C44" i="4"/>
  <c r="L43" i="4"/>
  <c r="K43" i="4"/>
  <c r="J43" i="4"/>
  <c r="I43" i="4"/>
  <c r="H43" i="4"/>
  <c r="G43" i="4"/>
  <c r="C43" i="4"/>
  <c r="L42" i="4"/>
  <c r="K42" i="4"/>
  <c r="J42" i="4"/>
  <c r="I42" i="4"/>
  <c r="H42" i="4"/>
  <c r="G42" i="4"/>
  <c r="C42" i="4"/>
  <c r="L41" i="4"/>
  <c r="K41" i="4"/>
  <c r="J41" i="4"/>
  <c r="I41" i="4"/>
  <c r="H41" i="4"/>
  <c r="G41" i="4"/>
  <c r="C41" i="4"/>
  <c r="L40" i="4"/>
  <c r="K40" i="4"/>
  <c r="J40" i="4"/>
  <c r="I40" i="4"/>
  <c r="H40" i="4"/>
  <c r="G40" i="4"/>
  <c r="C40" i="4"/>
  <c r="L39" i="4"/>
  <c r="K39" i="4"/>
  <c r="J39" i="4"/>
  <c r="I39" i="4"/>
  <c r="H39" i="4"/>
  <c r="G39" i="4"/>
  <c r="C39" i="4"/>
  <c r="L38" i="4"/>
  <c r="K38" i="4"/>
  <c r="J38" i="4"/>
  <c r="I38" i="4"/>
  <c r="H38" i="4"/>
  <c r="G38" i="4"/>
  <c r="C38" i="4"/>
  <c r="L37" i="4"/>
  <c r="K37" i="4"/>
  <c r="J37" i="4"/>
  <c r="I37" i="4"/>
  <c r="H37" i="4"/>
  <c r="G37" i="4"/>
  <c r="C37" i="4"/>
  <c r="L36" i="4"/>
  <c r="K36" i="4"/>
  <c r="J36" i="4"/>
  <c r="I36" i="4"/>
  <c r="H36" i="4"/>
  <c r="G36" i="4"/>
  <c r="C36" i="4"/>
  <c r="L35" i="4"/>
  <c r="K35" i="4"/>
  <c r="J35" i="4"/>
  <c r="I35" i="4"/>
  <c r="H35" i="4"/>
  <c r="G35" i="4"/>
  <c r="C35" i="4"/>
  <c r="L34" i="4"/>
  <c r="K34" i="4"/>
  <c r="J34" i="4"/>
  <c r="I34" i="4"/>
  <c r="H34" i="4"/>
  <c r="G34" i="4"/>
  <c r="C34" i="4"/>
  <c r="L33" i="4"/>
  <c r="K33" i="4"/>
  <c r="J33" i="4"/>
  <c r="I33" i="4"/>
  <c r="H33" i="4"/>
  <c r="G33" i="4"/>
  <c r="C33" i="4"/>
  <c r="L32" i="4"/>
  <c r="K32" i="4"/>
  <c r="J32" i="4"/>
  <c r="I32" i="4"/>
  <c r="H32" i="4"/>
  <c r="G32" i="4"/>
  <c r="C32" i="4"/>
  <c r="L31" i="4"/>
  <c r="K31" i="4"/>
  <c r="J31" i="4"/>
  <c r="I31" i="4"/>
  <c r="H31" i="4"/>
  <c r="G31" i="4"/>
  <c r="C31" i="4"/>
  <c r="L30" i="4"/>
  <c r="K30" i="4"/>
  <c r="J30" i="4"/>
  <c r="I30" i="4"/>
  <c r="H30" i="4"/>
  <c r="G30" i="4"/>
  <c r="C30" i="4"/>
  <c r="L29" i="4"/>
  <c r="K29" i="4"/>
  <c r="J29" i="4"/>
  <c r="I29" i="4"/>
  <c r="H29" i="4"/>
  <c r="G29" i="4"/>
  <c r="C29" i="4"/>
  <c r="L28" i="4"/>
  <c r="K28" i="4"/>
  <c r="J28" i="4"/>
  <c r="I28" i="4"/>
  <c r="H28" i="4"/>
  <c r="G28" i="4"/>
  <c r="C28" i="4"/>
  <c r="L27" i="4"/>
  <c r="K27" i="4"/>
  <c r="J27" i="4"/>
  <c r="I27" i="4"/>
  <c r="H27" i="4"/>
  <c r="G27" i="4"/>
  <c r="C27" i="4"/>
  <c r="L26" i="4"/>
  <c r="K26" i="4"/>
  <c r="J26" i="4"/>
  <c r="I26" i="4"/>
  <c r="H26" i="4"/>
  <c r="G26" i="4"/>
  <c r="C26" i="4"/>
  <c r="L25" i="4"/>
  <c r="K25" i="4"/>
  <c r="J25" i="4"/>
  <c r="I25" i="4"/>
  <c r="H25" i="4"/>
  <c r="G25" i="4"/>
  <c r="C25" i="4"/>
  <c r="L24" i="4"/>
  <c r="K24" i="4"/>
  <c r="J24" i="4"/>
  <c r="I24" i="4"/>
  <c r="H24" i="4"/>
  <c r="G24" i="4"/>
  <c r="C24" i="4"/>
  <c r="L23" i="4"/>
  <c r="K23" i="4"/>
  <c r="J23" i="4"/>
  <c r="I23" i="4"/>
  <c r="H23" i="4"/>
  <c r="G23" i="4"/>
  <c r="C23" i="4"/>
  <c r="L22" i="4"/>
  <c r="K22" i="4"/>
  <c r="J22" i="4"/>
  <c r="I22" i="4"/>
  <c r="H22" i="4"/>
  <c r="G22" i="4"/>
  <c r="C22" i="4"/>
  <c r="L21" i="4"/>
  <c r="K21" i="4"/>
  <c r="J21" i="4"/>
  <c r="I21" i="4"/>
  <c r="H21" i="4"/>
  <c r="G21" i="4"/>
  <c r="C21" i="4"/>
  <c r="L20" i="4"/>
  <c r="K20" i="4"/>
  <c r="J20" i="4"/>
  <c r="I20" i="4"/>
  <c r="H20" i="4"/>
  <c r="G20" i="4"/>
  <c r="C20" i="4"/>
  <c r="L19" i="4"/>
  <c r="K19" i="4"/>
  <c r="J19" i="4"/>
  <c r="I19" i="4"/>
  <c r="H19" i="4"/>
  <c r="G19" i="4"/>
  <c r="C19" i="4"/>
  <c r="L18" i="4"/>
  <c r="K18" i="4"/>
  <c r="J18" i="4"/>
  <c r="I18" i="4"/>
  <c r="H18" i="4"/>
  <c r="G18" i="4"/>
  <c r="C18" i="4"/>
  <c r="L17" i="4"/>
  <c r="K17" i="4"/>
  <c r="J17" i="4"/>
  <c r="I17" i="4"/>
  <c r="H17" i="4"/>
  <c r="G17" i="4"/>
  <c r="C17" i="4"/>
  <c r="L16" i="4"/>
  <c r="K16" i="4"/>
  <c r="J16" i="4"/>
  <c r="I16" i="4"/>
  <c r="H16" i="4"/>
  <c r="G16" i="4"/>
  <c r="C16" i="4"/>
  <c r="L15" i="4"/>
  <c r="K15" i="4"/>
  <c r="J15" i="4"/>
  <c r="I15" i="4"/>
  <c r="H15" i="4"/>
  <c r="G15" i="4"/>
  <c r="C15" i="4"/>
  <c r="L14" i="4"/>
  <c r="K14" i="4"/>
  <c r="J14" i="4"/>
  <c r="I14" i="4"/>
  <c r="H14" i="4"/>
  <c r="G14" i="4"/>
  <c r="C14" i="4"/>
  <c r="L13" i="4"/>
  <c r="K13" i="4"/>
  <c r="J13" i="4"/>
  <c r="I13" i="4"/>
  <c r="H13" i="4"/>
  <c r="G13" i="4"/>
  <c r="C13" i="4"/>
  <c r="L12" i="4"/>
  <c r="K12" i="4"/>
  <c r="J12" i="4"/>
  <c r="I12" i="4"/>
  <c r="H12" i="4"/>
  <c r="G12" i="4"/>
  <c r="C12" i="4"/>
  <c r="L11" i="4"/>
  <c r="K11" i="4"/>
  <c r="J11" i="4"/>
  <c r="I11" i="4"/>
  <c r="H11" i="4"/>
  <c r="G11" i="4"/>
  <c r="C11" i="4"/>
  <c r="L10" i="4"/>
  <c r="K10" i="4"/>
  <c r="J10" i="4"/>
  <c r="I10" i="4"/>
  <c r="H10" i="4"/>
  <c r="G10" i="4"/>
  <c r="C10" i="4"/>
  <c r="L9" i="4"/>
  <c r="K9" i="4"/>
  <c r="J9" i="4"/>
  <c r="I9" i="4"/>
  <c r="H9" i="4"/>
  <c r="G9" i="4"/>
  <c r="C9" i="4"/>
  <c r="C2" i="4"/>
  <c r="C3" i="4"/>
  <c r="C4" i="4"/>
  <c r="C5" i="4"/>
  <c r="G2" i="4"/>
  <c r="H2" i="4"/>
  <c r="I2" i="4"/>
  <c r="J2" i="4"/>
  <c r="K2" i="4"/>
  <c r="L2" i="4"/>
  <c r="G3" i="4"/>
  <c r="H3" i="4"/>
  <c r="I3" i="4"/>
  <c r="J3" i="4"/>
  <c r="K3" i="4"/>
  <c r="L3" i="4"/>
  <c r="G4" i="4"/>
  <c r="H4" i="4"/>
  <c r="I4" i="4"/>
  <c r="J4" i="4"/>
  <c r="K4" i="4"/>
  <c r="L4" i="4"/>
  <c r="G5" i="4"/>
  <c r="H5" i="4"/>
  <c r="I5" i="4"/>
  <c r="J5" i="4"/>
  <c r="K5" i="4"/>
  <c r="L5" i="4"/>
  <c r="C6" i="4"/>
  <c r="G6" i="4"/>
  <c r="H6" i="4"/>
  <c r="I6" i="4"/>
  <c r="J6" i="4"/>
  <c r="K6" i="4"/>
  <c r="L6" i="4"/>
  <c r="C7" i="4"/>
  <c r="G7" i="4"/>
  <c r="H7" i="4"/>
  <c r="I7" i="4"/>
  <c r="J7" i="4"/>
  <c r="K7" i="4"/>
  <c r="L7" i="4"/>
  <c r="C8" i="4"/>
  <c r="G8" i="4"/>
  <c r="H8" i="4"/>
  <c r="I8" i="4"/>
  <c r="J8" i="4"/>
  <c r="K8" i="4"/>
  <c r="L8" i="4"/>
  <c r="BX3" i="4"/>
  <c r="BX4" i="4"/>
  <c r="BX5" i="4"/>
  <c r="BX6" i="4"/>
  <c r="BX7" i="4"/>
  <c r="BX8" i="4"/>
  <c r="BW3" i="4"/>
  <c r="BW4" i="4"/>
  <c r="BW5" i="4"/>
  <c r="BW6" i="4"/>
  <c r="BW7" i="4"/>
  <c r="BW8" i="4"/>
  <c r="BV3" i="4"/>
  <c r="BV4" i="4"/>
  <c r="BV5" i="4"/>
  <c r="BV6" i="4"/>
  <c r="BV7" i="4"/>
  <c r="BV8" i="4"/>
  <c r="BU3" i="4"/>
  <c r="BU4" i="4"/>
  <c r="BU5" i="4"/>
  <c r="BU6" i="4"/>
  <c r="BU7" i="4"/>
  <c r="BU8" i="4"/>
  <c r="BT3" i="4"/>
  <c r="BT4" i="4"/>
  <c r="BT5" i="4"/>
  <c r="BT6" i="4"/>
  <c r="BT7" i="4"/>
  <c r="BT8" i="4"/>
  <c r="BS3" i="4"/>
  <c r="BS4" i="4"/>
  <c r="BS5" i="4"/>
  <c r="BS6" i="4"/>
  <c r="BS7" i="4"/>
  <c r="BS8" i="4"/>
  <c r="BR3" i="4"/>
  <c r="BR4" i="4"/>
  <c r="BR5" i="4"/>
  <c r="BR6" i="4"/>
  <c r="BR7" i="4"/>
  <c r="BR8" i="4"/>
  <c r="BQ3" i="4"/>
  <c r="BQ4" i="4"/>
  <c r="BQ5" i="4"/>
  <c r="BQ6" i="4"/>
  <c r="BQ7" i="4"/>
  <c r="BQ8" i="4"/>
  <c r="BP3" i="4"/>
  <c r="BP4" i="4"/>
  <c r="BP5" i="4"/>
  <c r="BP6" i="4"/>
  <c r="BP7" i="4"/>
  <c r="BP8" i="4"/>
  <c r="BO3" i="4"/>
  <c r="BO4" i="4"/>
  <c r="BO5" i="4"/>
  <c r="BO6" i="4"/>
  <c r="BO7" i="4"/>
  <c r="BO8" i="4"/>
  <c r="BN3" i="4"/>
  <c r="BN4" i="4"/>
  <c r="BN5" i="4"/>
  <c r="BN6" i="4"/>
  <c r="BN7" i="4"/>
  <c r="BN8" i="4"/>
  <c r="BM3" i="4"/>
  <c r="BM4" i="4"/>
  <c r="BM5" i="4"/>
  <c r="BM6" i="4"/>
  <c r="BM7" i="4"/>
  <c r="BM8" i="4"/>
  <c r="BL3" i="4"/>
  <c r="BL4" i="4"/>
  <c r="BL5" i="4"/>
  <c r="BL6" i="4"/>
  <c r="BL7" i="4"/>
  <c r="BL8" i="4"/>
  <c r="BK3" i="4"/>
  <c r="BK4" i="4"/>
  <c r="BK5" i="4"/>
  <c r="BK6" i="4"/>
  <c r="BK7" i="4"/>
  <c r="BK8" i="4"/>
  <c r="BJ3" i="4"/>
  <c r="BJ4" i="4"/>
  <c r="BJ5" i="4"/>
  <c r="BJ6" i="4"/>
  <c r="BJ7" i="4"/>
  <c r="BJ8" i="4"/>
  <c r="BI3" i="4"/>
  <c r="BI4" i="4"/>
  <c r="BI5" i="4"/>
  <c r="BI6" i="4"/>
  <c r="BI7" i="4"/>
  <c r="BI8" i="4"/>
  <c r="BH3" i="4"/>
  <c r="BH4" i="4"/>
  <c r="BH5" i="4"/>
  <c r="BH6" i="4"/>
  <c r="BH7" i="4"/>
  <c r="BH8" i="4"/>
  <c r="BG3" i="4"/>
  <c r="BG4" i="4"/>
  <c r="BG5" i="4"/>
  <c r="BG6" i="4"/>
  <c r="BG7" i="4"/>
  <c r="BG8" i="4"/>
  <c r="BF3" i="4"/>
  <c r="BF4" i="4"/>
  <c r="BF5" i="4"/>
  <c r="BF6" i="4"/>
  <c r="BF7" i="4"/>
  <c r="BF8" i="4"/>
  <c r="BE3" i="4"/>
  <c r="BE4" i="4"/>
  <c r="BE5" i="4"/>
  <c r="BE6" i="4"/>
  <c r="BE7" i="4"/>
  <c r="BE8" i="4"/>
  <c r="BD3" i="4"/>
  <c r="BD4" i="4"/>
  <c r="BD5" i="4"/>
  <c r="BD6" i="4"/>
  <c r="BD7" i="4"/>
  <c r="BD8" i="4"/>
  <c r="BC3" i="4"/>
  <c r="BC4" i="4"/>
  <c r="BC5" i="4"/>
  <c r="BC6" i="4"/>
  <c r="BC7" i="4"/>
  <c r="BC8" i="4"/>
  <c r="BB3" i="4"/>
  <c r="BB4" i="4"/>
  <c r="BB5" i="4"/>
  <c r="BB6" i="4"/>
  <c r="BB7" i="4"/>
  <c r="BB8" i="4"/>
  <c r="BA3" i="4"/>
  <c r="BA4" i="4"/>
  <c r="BA5" i="4"/>
  <c r="BA6" i="4"/>
  <c r="BA7" i="4"/>
  <c r="BA8" i="4"/>
  <c r="AZ3" i="4"/>
  <c r="AZ4" i="4"/>
  <c r="AZ5" i="4"/>
  <c r="AZ6" i="4"/>
  <c r="AZ7" i="4"/>
  <c r="AZ8" i="4"/>
  <c r="AY3" i="4"/>
  <c r="AY4" i="4"/>
  <c r="AY5" i="4"/>
  <c r="AY6" i="4"/>
  <c r="AY7" i="4"/>
  <c r="AY8" i="4"/>
  <c r="AX3" i="4"/>
  <c r="AX4" i="4"/>
  <c r="AX5" i="4"/>
  <c r="AX6" i="4"/>
  <c r="AX7" i="4"/>
  <c r="AX8" i="4"/>
  <c r="AW3" i="4"/>
  <c r="AW4" i="4"/>
  <c r="AW5" i="4"/>
  <c r="AW6" i="4"/>
  <c r="AW7" i="4"/>
  <c r="AW8" i="4"/>
  <c r="AV3" i="4"/>
  <c r="AV4" i="4"/>
  <c r="AV5" i="4"/>
  <c r="AV6" i="4"/>
  <c r="AV7" i="4"/>
  <c r="AV8" i="4"/>
  <c r="AU3" i="4"/>
  <c r="AU4" i="4"/>
  <c r="AU5" i="4"/>
  <c r="AU6" i="4"/>
  <c r="AU7" i="4"/>
  <c r="AU8" i="4"/>
  <c r="AT3" i="4"/>
  <c r="AT4" i="4"/>
  <c r="AT5" i="4"/>
  <c r="AT6" i="4"/>
  <c r="AT7" i="4"/>
  <c r="AT8" i="4"/>
  <c r="AS3" i="4"/>
  <c r="AS4" i="4"/>
  <c r="AS5" i="4"/>
  <c r="AS6" i="4"/>
  <c r="AS7" i="4"/>
  <c r="AS8" i="4"/>
  <c r="AR3" i="4"/>
  <c r="AR4" i="4"/>
  <c r="AR5" i="4"/>
  <c r="AR6" i="4"/>
  <c r="AR7" i="4"/>
  <c r="AR8" i="4"/>
  <c r="AQ3" i="4"/>
  <c r="AQ4" i="4"/>
  <c r="AQ5" i="4"/>
  <c r="AQ6" i="4"/>
  <c r="AQ7" i="4"/>
  <c r="AQ8" i="4"/>
  <c r="AP3" i="4"/>
  <c r="AP4" i="4"/>
  <c r="AP5" i="4"/>
  <c r="AP6" i="4"/>
  <c r="AP7" i="4"/>
  <c r="AP8" i="4"/>
  <c r="AO3" i="4"/>
  <c r="AO4" i="4"/>
  <c r="AO5" i="4"/>
  <c r="AO6" i="4"/>
  <c r="AO7" i="4"/>
  <c r="AO8" i="4"/>
  <c r="AN3" i="4"/>
  <c r="AN4" i="4"/>
  <c r="AN5" i="4"/>
  <c r="AN6" i="4"/>
  <c r="AN7" i="4"/>
  <c r="AN8" i="4"/>
  <c r="AM3" i="4"/>
  <c r="AM4" i="4"/>
  <c r="AM5" i="4"/>
  <c r="AM6" i="4"/>
  <c r="AM7" i="4"/>
  <c r="AM8" i="4"/>
  <c r="AL3" i="4"/>
  <c r="AL4" i="4"/>
  <c r="AL5" i="4"/>
  <c r="AL6" i="4"/>
  <c r="AL7" i="4"/>
  <c r="AL8" i="4"/>
  <c r="AK3" i="4"/>
  <c r="AK4" i="4"/>
  <c r="AK5" i="4"/>
  <c r="AK6" i="4"/>
  <c r="AK7" i="4"/>
  <c r="AK8" i="4"/>
  <c r="AJ3" i="4"/>
  <c r="AJ4" i="4"/>
  <c r="AJ5" i="4"/>
  <c r="AJ6" i="4"/>
  <c r="AJ7" i="4"/>
  <c r="AJ8" i="4"/>
  <c r="AI3" i="4"/>
  <c r="AI4" i="4"/>
  <c r="AI5" i="4"/>
  <c r="AI6" i="4"/>
  <c r="AI7" i="4"/>
  <c r="AI8" i="4"/>
  <c r="AH3" i="4"/>
  <c r="AH4" i="4"/>
  <c r="AH5" i="4"/>
  <c r="AH6" i="4"/>
  <c r="AH7" i="4"/>
  <c r="AH8" i="4"/>
  <c r="AG3" i="4"/>
  <c r="AG4" i="4"/>
  <c r="AG5" i="4"/>
  <c r="AG6" i="4"/>
  <c r="AG7" i="4"/>
  <c r="AG8" i="4"/>
  <c r="AF3" i="4"/>
  <c r="AF4" i="4"/>
  <c r="AF5" i="4"/>
  <c r="AF6" i="4"/>
  <c r="AF7" i="4"/>
  <c r="AF8" i="4"/>
  <c r="AE3" i="4"/>
  <c r="AE4" i="4"/>
  <c r="AE5" i="4"/>
  <c r="AE6" i="4"/>
  <c r="AE7" i="4"/>
  <c r="AE8" i="4"/>
  <c r="AD3" i="4"/>
  <c r="AD4" i="4"/>
  <c r="AD5" i="4"/>
  <c r="AD6" i="4"/>
  <c r="AD7" i="4"/>
  <c r="AD8" i="4"/>
  <c r="AC3" i="4"/>
  <c r="AC4" i="4"/>
  <c r="AC5" i="4"/>
  <c r="AC6" i="4"/>
  <c r="AC7" i="4"/>
  <c r="AC8" i="4"/>
  <c r="AB3" i="4"/>
  <c r="AB4" i="4"/>
  <c r="AB5" i="4"/>
  <c r="AB6" i="4"/>
  <c r="AB7" i="4"/>
  <c r="AB8" i="4"/>
  <c r="AA3" i="4"/>
  <c r="AA4" i="4"/>
  <c r="AA5" i="4"/>
  <c r="AA6" i="4"/>
  <c r="AA7" i="4"/>
  <c r="AA8" i="4"/>
  <c r="Z3" i="4"/>
  <c r="Z4" i="4"/>
  <c r="Z5" i="4"/>
  <c r="Z6" i="4"/>
  <c r="Z7" i="4"/>
  <c r="Z8" i="4"/>
  <c r="Y3" i="4"/>
  <c r="Y4" i="4"/>
  <c r="Y5" i="4"/>
  <c r="Y6" i="4"/>
  <c r="Y7" i="4"/>
  <c r="Y8" i="4"/>
  <c r="X3" i="4"/>
  <c r="X4" i="4"/>
  <c r="X5" i="4"/>
  <c r="X6" i="4"/>
  <c r="X7" i="4"/>
  <c r="X8" i="4"/>
  <c r="V8" i="4"/>
  <c r="U8" i="4"/>
  <c r="T8" i="4"/>
  <c r="S8" i="4"/>
  <c r="R8" i="4"/>
  <c r="Q8" i="4"/>
  <c r="N8" i="4"/>
  <c r="V7" i="4"/>
  <c r="U7" i="4"/>
  <c r="T7" i="4"/>
  <c r="S7" i="4"/>
  <c r="R7" i="4"/>
  <c r="Q7" i="4"/>
  <c r="O7" i="4"/>
  <c r="N7" i="4"/>
  <c r="V6" i="4"/>
  <c r="U6" i="4"/>
  <c r="T6" i="4"/>
  <c r="S6" i="4"/>
  <c r="R6" i="4"/>
  <c r="Q6" i="4"/>
  <c r="O6" i="4"/>
  <c r="N6" i="4"/>
  <c r="M6" i="4"/>
  <c r="V5" i="4"/>
  <c r="U5" i="4"/>
  <c r="T5" i="4"/>
  <c r="S5" i="4"/>
  <c r="R5" i="4"/>
  <c r="Q5" i="4"/>
  <c r="O5" i="4"/>
  <c r="N5" i="4"/>
  <c r="M5" i="4"/>
  <c r="V4" i="4"/>
  <c r="U4" i="4"/>
  <c r="T4" i="4"/>
  <c r="S4" i="4"/>
  <c r="R4" i="4"/>
  <c r="Q4" i="4"/>
  <c r="O4" i="4"/>
  <c r="N4" i="4"/>
  <c r="V3" i="4"/>
  <c r="U3" i="4"/>
  <c r="T3" i="4"/>
  <c r="S3" i="4"/>
  <c r="R3" i="4"/>
  <c r="Q3" i="4"/>
  <c r="O3" i="4"/>
  <c r="N3" i="4"/>
  <c r="W2" i="4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X8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X7" i="3"/>
  <c r="X6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X5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Y4" i="3"/>
  <c r="Z4" i="3"/>
  <c r="AA4" i="3"/>
  <c r="AB4" i="3"/>
  <c r="X4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Y3" i="3"/>
  <c r="Z3" i="3"/>
  <c r="AA3" i="3"/>
  <c r="AB3" i="3"/>
  <c r="AC3" i="3"/>
  <c r="AD3" i="3"/>
  <c r="AE3" i="3"/>
  <c r="AF3" i="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2" i="13"/>
  <c r="C2" i="3"/>
  <c r="C3" i="3"/>
  <c r="C4" i="3"/>
  <c r="C5" i="3"/>
  <c r="C6" i="3"/>
  <c r="G2" i="3"/>
  <c r="H2" i="3"/>
  <c r="I2" i="3"/>
  <c r="J2" i="3"/>
  <c r="K2" i="3"/>
  <c r="L2" i="3"/>
  <c r="G3" i="3"/>
  <c r="H3" i="3"/>
  <c r="I3" i="3"/>
  <c r="J3" i="3"/>
  <c r="K3" i="3"/>
  <c r="L3" i="3"/>
  <c r="G4" i="3"/>
  <c r="H4" i="3"/>
  <c r="I4" i="3"/>
  <c r="J4" i="3"/>
  <c r="K4" i="3"/>
  <c r="L4" i="3"/>
  <c r="G5" i="3"/>
  <c r="H5" i="3"/>
  <c r="I5" i="3"/>
  <c r="J5" i="3"/>
  <c r="K5" i="3"/>
  <c r="L5" i="3"/>
  <c r="G6" i="3"/>
  <c r="H6" i="3"/>
  <c r="I6" i="3"/>
  <c r="J6" i="3"/>
  <c r="K6" i="3"/>
  <c r="L6" i="3"/>
  <c r="C7" i="3"/>
  <c r="G7" i="3"/>
  <c r="H7" i="3"/>
  <c r="I7" i="3"/>
  <c r="J7" i="3"/>
  <c r="K7" i="3"/>
  <c r="L7" i="3"/>
  <c r="C8" i="3"/>
  <c r="G8" i="3"/>
  <c r="H8" i="3"/>
  <c r="I8" i="3"/>
  <c r="J8" i="3"/>
  <c r="K8" i="3"/>
  <c r="L8" i="3"/>
  <c r="C9" i="3"/>
  <c r="G9" i="3"/>
  <c r="H9" i="3"/>
  <c r="I9" i="3"/>
  <c r="J9" i="3"/>
  <c r="K9" i="3"/>
  <c r="L9" i="3"/>
  <c r="C10" i="3"/>
  <c r="G10" i="3"/>
  <c r="H10" i="3"/>
  <c r="I10" i="3"/>
  <c r="J10" i="3"/>
  <c r="K10" i="3"/>
  <c r="L10" i="3"/>
  <c r="C11" i="3"/>
  <c r="G11" i="3"/>
  <c r="H11" i="3"/>
  <c r="I11" i="3"/>
  <c r="J11" i="3"/>
  <c r="K11" i="3"/>
  <c r="L11" i="3"/>
  <c r="C12" i="3"/>
  <c r="G12" i="3"/>
  <c r="H12" i="3"/>
  <c r="I12" i="3"/>
  <c r="J12" i="3"/>
  <c r="K12" i="3"/>
  <c r="L12" i="3"/>
  <c r="C13" i="3"/>
  <c r="G13" i="3"/>
  <c r="H13" i="3"/>
  <c r="I13" i="3"/>
  <c r="J13" i="3"/>
  <c r="K13" i="3"/>
  <c r="L13" i="3"/>
  <c r="C14" i="3"/>
  <c r="G14" i="3"/>
  <c r="H14" i="3"/>
  <c r="I14" i="3"/>
  <c r="J14" i="3"/>
  <c r="K14" i="3"/>
  <c r="L14" i="3"/>
  <c r="C15" i="3"/>
  <c r="G15" i="3"/>
  <c r="H15" i="3"/>
  <c r="I15" i="3"/>
  <c r="J15" i="3"/>
  <c r="K15" i="3"/>
  <c r="L15" i="3"/>
  <c r="C16" i="3"/>
  <c r="G16" i="3"/>
  <c r="H16" i="3"/>
  <c r="I16" i="3"/>
  <c r="J16" i="3"/>
  <c r="K16" i="3"/>
  <c r="L16" i="3"/>
  <c r="C17" i="3"/>
  <c r="G17" i="3"/>
  <c r="H17" i="3"/>
  <c r="I17" i="3"/>
  <c r="J17" i="3"/>
  <c r="K17" i="3"/>
  <c r="L17" i="3"/>
  <c r="C18" i="3"/>
  <c r="G18" i="3"/>
  <c r="H18" i="3"/>
  <c r="I18" i="3"/>
  <c r="J18" i="3"/>
  <c r="K18" i="3"/>
  <c r="L18" i="3"/>
  <c r="C19" i="3"/>
  <c r="G19" i="3"/>
  <c r="H19" i="3"/>
  <c r="I19" i="3"/>
  <c r="J19" i="3"/>
  <c r="K19" i="3"/>
  <c r="L19" i="3"/>
  <c r="C20" i="3"/>
  <c r="G20" i="3"/>
  <c r="H20" i="3"/>
  <c r="I20" i="3"/>
  <c r="J20" i="3"/>
  <c r="K20" i="3"/>
  <c r="L20" i="3"/>
  <c r="C21" i="3"/>
  <c r="G21" i="3"/>
  <c r="H21" i="3"/>
  <c r="I21" i="3"/>
  <c r="J21" i="3"/>
  <c r="K21" i="3"/>
  <c r="L21" i="3"/>
  <c r="C22" i="3"/>
  <c r="G22" i="3"/>
  <c r="H22" i="3"/>
  <c r="I22" i="3"/>
  <c r="J22" i="3"/>
  <c r="K22" i="3"/>
  <c r="L22" i="3"/>
  <c r="C23" i="3"/>
  <c r="G23" i="3"/>
  <c r="H23" i="3"/>
  <c r="I23" i="3"/>
  <c r="J23" i="3"/>
  <c r="K23" i="3"/>
  <c r="L23" i="3"/>
  <c r="C24" i="3"/>
  <c r="G24" i="3"/>
  <c r="H24" i="3"/>
  <c r="I24" i="3"/>
  <c r="J24" i="3"/>
  <c r="K24" i="3"/>
  <c r="L24" i="3"/>
  <c r="C25" i="3"/>
  <c r="G25" i="3"/>
  <c r="H25" i="3"/>
  <c r="I25" i="3"/>
  <c r="J25" i="3"/>
  <c r="K25" i="3"/>
  <c r="L25" i="3"/>
  <c r="C26" i="3"/>
  <c r="G26" i="3"/>
  <c r="H26" i="3"/>
  <c r="I26" i="3"/>
  <c r="J26" i="3"/>
  <c r="K26" i="3"/>
  <c r="L26" i="3"/>
  <c r="C27" i="3"/>
  <c r="G27" i="3"/>
  <c r="H27" i="3"/>
  <c r="I27" i="3"/>
  <c r="J27" i="3"/>
  <c r="K27" i="3"/>
  <c r="L27" i="3"/>
  <c r="C28" i="3"/>
  <c r="G28" i="3"/>
  <c r="H28" i="3"/>
  <c r="I28" i="3"/>
  <c r="J28" i="3"/>
  <c r="K28" i="3"/>
  <c r="L28" i="3"/>
  <c r="C29" i="3"/>
  <c r="G29" i="3"/>
  <c r="H29" i="3"/>
  <c r="I29" i="3"/>
  <c r="J29" i="3"/>
  <c r="K29" i="3"/>
  <c r="L29" i="3"/>
  <c r="C30" i="3"/>
  <c r="G30" i="3"/>
  <c r="H30" i="3"/>
  <c r="I30" i="3"/>
  <c r="J30" i="3"/>
  <c r="K30" i="3"/>
  <c r="L30" i="3"/>
  <c r="C31" i="3"/>
  <c r="G31" i="3"/>
  <c r="H31" i="3"/>
  <c r="I31" i="3"/>
  <c r="J31" i="3"/>
  <c r="K31" i="3"/>
  <c r="L31" i="3"/>
  <c r="C32" i="3"/>
  <c r="G32" i="3"/>
  <c r="H32" i="3"/>
  <c r="I32" i="3"/>
  <c r="J32" i="3"/>
  <c r="K32" i="3"/>
  <c r="L32" i="3"/>
  <c r="C33" i="3"/>
  <c r="G33" i="3"/>
  <c r="H33" i="3"/>
  <c r="I33" i="3"/>
  <c r="J33" i="3"/>
  <c r="K33" i="3"/>
  <c r="L33" i="3"/>
  <c r="C34" i="3"/>
  <c r="G34" i="3"/>
  <c r="H34" i="3"/>
  <c r="I34" i="3"/>
  <c r="J34" i="3"/>
  <c r="K34" i="3"/>
  <c r="L34" i="3"/>
  <c r="C35" i="3"/>
  <c r="G35" i="3"/>
  <c r="H35" i="3"/>
  <c r="I35" i="3"/>
  <c r="J35" i="3"/>
  <c r="K35" i="3"/>
  <c r="L35" i="3"/>
  <c r="C36" i="3"/>
  <c r="G36" i="3"/>
  <c r="H36" i="3"/>
  <c r="I36" i="3"/>
  <c r="J36" i="3"/>
  <c r="K36" i="3"/>
  <c r="L36" i="3"/>
  <c r="C37" i="3"/>
  <c r="G37" i="3"/>
  <c r="H37" i="3"/>
  <c r="I37" i="3"/>
  <c r="J37" i="3"/>
  <c r="K37" i="3"/>
  <c r="L37" i="3"/>
  <c r="C38" i="3"/>
  <c r="G38" i="3"/>
  <c r="H38" i="3"/>
  <c r="I38" i="3"/>
  <c r="J38" i="3"/>
  <c r="K38" i="3"/>
  <c r="L38" i="3"/>
  <c r="C39" i="3"/>
  <c r="G39" i="3"/>
  <c r="H39" i="3"/>
  <c r="I39" i="3"/>
  <c r="J39" i="3"/>
  <c r="K39" i="3"/>
  <c r="L39" i="3"/>
  <c r="C40" i="3"/>
  <c r="G40" i="3"/>
  <c r="H40" i="3"/>
  <c r="I40" i="3"/>
  <c r="J40" i="3"/>
  <c r="K40" i="3"/>
  <c r="L40" i="3"/>
  <c r="C41" i="3"/>
  <c r="G41" i="3"/>
  <c r="H41" i="3"/>
  <c r="I41" i="3"/>
  <c r="J41" i="3"/>
  <c r="K41" i="3"/>
  <c r="L41" i="3"/>
  <c r="C42" i="3"/>
  <c r="G42" i="3"/>
  <c r="H42" i="3"/>
  <c r="I42" i="3"/>
  <c r="J42" i="3"/>
  <c r="K42" i="3"/>
  <c r="L42" i="3"/>
  <c r="C43" i="3"/>
  <c r="G43" i="3"/>
  <c r="H43" i="3"/>
  <c r="I43" i="3"/>
  <c r="J43" i="3"/>
  <c r="K43" i="3"/>
  <c r="L43" i="3"/>
  <c r="C44" i="3"/>
  <c r="G44" i="3"/>
  <c r="H44" i="3"/>
  <c r="I44" i="3"/>
  <c r="J44" i="3"/>
  <c r="K44" i="3"/>
  <c r="L44" i="3"/>
  <c r="C45" i="3"/>
  <c r="G45" i="3"/>
  <c r="H45" i="3"/>
  <c r="I45" i="3"/>
  <c r="J45" i="3"/>
  <c r="K45" i="3"/>
  <c r="L45" i="3"/>
  <c r="C46" i="3"/>
  <c r="G46" i="3"/>
  <c r="H46" i="3"/>
  <c r="I46" i="3"/>
  <c r="J46" i="3"/>
  <c r="K46" i="3"/>
  <c r="L46" i="3"/>
  <c r="C47" i="3"/>
  <c r="G47" i="3"/>
  <c r="H47" i="3"/>
  <c r="I47" i="3"/>
  <c r="J47" i="3"/>
  <c r="K47" i="3"/>
  <c r="L47" i="3"/>
  <c r="C48" i="3"/>
  <c r="G48" i="3"/>
  <c r="H48" i="3"/>
  <c r="I48" i="3"/>
  <c r="J48" i="3"/>
  <c r="K48" i="3"/>
  <c r="L48" i="3"/>
  <c r="C49" i="3"/>
  <c r="G49" i="3"/>
  <c r="H49" i="3"/>
  <c r="I49" i="3"/>
  <c r="J49" i="3"/>
  <c r="K49" i="3"/>
  <c r="L49" i="3"/>
  <c r="C50" i="3"/>
  <c r="G50" i="3"/>
  <c r="H50" i="3"/>
  <c r="I50" i="3"/>
  <c r="J50" i="3"/>
  <c r="K50" i="3"/>
  <c r="L50" i="3"/>
  <c r="C51" i="3"/>
  <c r="G51" i="3"/>
  <c r="H51" i="3"/>
  <c r="I51" i="3"/>
  <c r="J51" i="3"/>
  <c r="K51" i="3"/>
  <c r="L51" i="3"/>
  <c r="C52" i="3"/>
  <c r="G52" i="3"/>
  <c r="H52" i="3"/>
  <c r="I52" i="3"/>
  <c r="J52" i="3"/>
  <c r="K52" i="3"/>
  <c r="L52" i="3"/>
  <c r="C53" i="3"/>
  <c r="G53" i="3"/>
  <c r="H53" i="3"/>
  <c r="I53" i="3"/>
  <c r="J53" i="3"/>
  <c r="K53" i="3"/>
  <c r="L53" i="3"/>
  <c r="C54" i="3"/>
  <c r="G54" i="3"/>
  <c r="H54" i="3"/>
  <c r="I54" i="3"/>
  <c r="J54" i="3"/>
  <c r="K54" i="3"/>
  <c r="L54" i="3"/>
  <c r="C55" i="3"/>
  <c r="G55" i="3"/>
  <c r="H55" i="3"/>
  <c r="I55" i="3"/>
  <c r="J55" i="3"/>
  <c r="K55" i="3"/>
  <c r="L55" i="3"/>
  <c r="C56" i="3"/>
  <c r="G56" i="3"/>
  <c r="H56" i="3"/>
  <c r="I56" i="3"/>
  <c r="J56" i="3"/>
  <c r="K56" i="3"/>
  <c r="L56" i="3"/>
  <c r="C57" i="3"/>
  <c r="G57" i="3"/>
  <c r="H57" i="3"/>
  <c r="I57" i="3"/>
  <c r="J57" i="3"/>
  <c r="K57" i="3"/>
  <c r="L57" i="3"/>
  <c r="C58" i="3"/>
  <c r="G58" i="3"/>
  <c r="H58" i="3"/>
  <c r="I58" i="3"/>
  <c r="J58" i="3"/>
  <c r="K58" i="3"/>
  <c r="L58" i="3"/>
  <c r="C59" i="3"/>
  <c r="G59" i="3"/>
  <c r="H59" i="3"/>
  <c r="I59" i="3"/>
  <c r="J59" i="3"/>
  <c r="K59" i="3"/>
  <c r="L59" i="3"/>
  <c r="C60" i="3"/>
  <c r="G60" i="3"/>
  <c r="H60" i="3"/>
  <c r="I60" i="3"/>
  <c r="J60" i="3"/>
  <c r="K60" i="3"/>
  <c r="L60" i="3"/>
  <c r="C61" i="3"/>
  <c r="G61" i="3"/>
  <c r="H61" i="3"/>
  <c r="I61" i="3"/>
  <c r="J61" i="3"/>
  <c r="K61" i="3"/>
  <c r="L61" i="3"/>
  <c r="C62" i="3"/>
  <c r="G62" i="3"/>
  <c r="H62" i="3"/>
  <c r="I62" i="3"/>
  <c r="J62" i="3"/>
  <c r="K62" i="3"/>
  <c r="L62" i="3"/>
  <c r="C63" i="3"/>
  <c r="G63" i="3"/>
  <c r="H63" i="3"/>
  <c r="I63" i="3"/>
  <c r="J63" i="3"/>
  <c r="K63" i="3"/>
  <c r="L63" i="3"/>
  <c r="C64" i="3"/>
  <c r="G64" i="3"/>
  <c r="H64" i="3"/>
  <c r="I64" i="3"/>
  <c r="J64" i="3"/>
  <c r="K64" i="3"/>
  <c r="L64" i="3"/>
  <c r="C65" i="3"/>
  <c r="G65" i="3"/>
  <c r="H65" i="3"/>
  <c r="I65" i="3"/>
  <c r="J65" i="3"/>
  <c r="K65" i="3"/>
  <c r="L65" i="3"/>
  <c r="C66" i="3"/>
  <c r="G66" i="3"/>
  <c r="H66" i="3"/>
  <c r="I66" i="3"/>
  <c r="J66" i="3"/>
  <c r="K66" i="3"/>
  <c r="L66" i="3"/>
  <c r="C67" i="3"/>
  <c r="G67" i="3"/>
  <c r="H67" i="3"/>
  <c r="I67" i="3"/>
  <c r="J67" i="3"/>
  <c r="K67" i="3"/>
  <c r="L67" i="3"/>
  <c r="C68" i="3"/>
  <c r="G68" i="3"/>
  <c r="H68" i="3"/>
  <c r="I68" i="3"/>
  <c r="J68" i="3"/>
  <c r="K68" i="3"/>
  <c r="L68" i="3"/>
  <c r="C69" i="3"/>
  <c r="G69" i="3"/>
  <c r="H69" i="3"/>
  <c r="I69" i="3"/>
  <c r="J69" i="3"/>
  <c r="K69" i="3"/>
  <c r="L69" i="3"/>
  <c r="C70" i="3"/>
  <c r="G70" i="3"/>
  <c r="H70" i="3"/>
  <c r="I70" i="3"/>
  <c r="J70" i="3"/>
  <c r="K70" i="3"/>
  <c r="L70" i="3"/>
  <c r="C71" i="3"/>
  <c r="G71" i="3"/>
  <c r="H71" i="3"/>
  <c r="I71" i="3"/>
  <c r="J71" i="3"/>
  <c r="K71" i="3"/>
  <c r="L71" i="3"/>
  <c r="C72" i="3"/>
  <c r="G72" i="3"/>
  <c r="H72" i="3"/>
  <c r="I72" i="3"/>
  <c r="J72" i="3"/>
  <c r="K72" i="3"/>
  <c r="L72" i="3"/>
  <c r="C73" i="3"/>
  <c r="G73" i="3"/>
  <c r="H73" i="3"/>
  <c r="I73" i="3"/>
  <c r="J73" i="3"/>
  <c r="K73" i="3"/>
  <c r="L73" i="3"/>
  <c r="C74" i="3"/>
  <c r="G74" i="3"/>
  <c r="H74" i="3"/>
  <c r="I74" i="3"/>
  <c r="J74" i="3"/>
  <c r="K74" i="3"/>
  <c r="L74" i="3"/>
  <c r="C75" i="3"/>
  <c r="G75" i="3"/>
  <c r="H75" i="3"/>
  <c r="I75" i="3"/>
  <c r="J75" i="3"/>
  <c r="K75" i="3"/>
  <c r="L75" i="3"/>
  <c r="C76" i="3"/>
  <c r="G76" i="3"/>
  <c r="H76" i="3"/>
  <c r="I76" i="3"/>
  <c r="J76" i="3"/>
  <c r="K76" i="3"/>
  <c r="L76" i="3"/>
  <c r="C77" i="3"/>
  <c r="G77" i="3"/>
  <c r="H77" i="3"/>
  <c r="I77" i="3"/>
  <c r="J77" i="3"/>
  <c r="K77" i="3"/>
  <c r="L77" i="3"/>
  <c r="C78" i="3"/>
  <c r="G78" i="3"/>
  <c r="H78" i="3"/>
  <c r="I78" i="3"/>
  <c r="J78" i="3"/>
  <c r="K78" i="3"/>
  <c r="L78" i="3"/>
  <c r="C79" i="3"/>
  <c r="G79" i="3"/>
  <c r="H79" i="3"/>
  <c r="I79" i="3"/>
  <c r="J79" i="3"/>
  <c r="K79" i="3"/>
  <c r="L79" i="3"/>
  <c r="C80" i="3"/>
  <c r="G80" i="3"/>
  <c r="H80" i="3"/>
  <c r="I80" i="3"/>
  <c r="J80" i="3"/>
  <c r="K80" i="3"/>
  <c r="L80" i="3"/>
  <c r="C81" i="3"/>
  <c r="G81" i="3"/>
  <c r="H81" i="3"/>
  <c r="I81" i="3"/>
  <c r="J81" i="3"/>
  <c r="K81" i="3"/>
  <c r="L81" i="3"/>
  <c r="C82" i="3"/>
  <c r="G82" i="3"/>
  <c r="H82" i="3"/>
  <c r="I82" i="3"/>
  <c r="J82" i="3"/>
  <c r="K82" i="3"/>
  <c r="L82" i="3"/>
  <c r="C83" i="3"/>
  <c r="G83" i="3"/>
  <c r="H83" i="3"/>
  <c r="I83" i="3"/>
  <c r="J83" i="3"/>
  <c r="K83" i="3"/>
  <c r="L83" i="3"/>
  <c r="C84" i="3"/>
  <c r="G84" i="3"/>
  <c r="H84" i="3"/>
  <c r="I84" i="3"/>
  <c r="J84" i="3"/>
  <c r="K84" i="3"/>
  <c r="L84" i="3"/>
  <c r="C85" i="3"/>
  <c r="G85" i="3"/>
  <c r="H85" i="3"/>
  <c r="I85" i="3"/>
  <c r="J85" i="3"/>
  <c r="K85" i="3"/>
  <c r="L85" i="3"/>
  <c r="C86" i="3"/>
  <c r="G86" i="3"/>
  <c r="H86" i="3"/>
  <c r="I86" i="3"/>
  <c r="J86" i="3"/>
  <c r="K86" i="3"/>
  <c r="L86" i="3"/>
  <c r="C87" i="3"/>
  <c r="G87" i="3"/>
  <c r="H87" i="3"/>
  <c r="I87" i="3"/>
  <c r="J87" i="3"/>
  <c r="K87" i="3"/>
  <c r="L87" i="3"/>
  <c r="C88" i="3"/>
  <c r="G88" i="3"/>
  <c r="H88" i="3"/>
  <c r="I88" i="3"/>
  <c r="J88" i="3"/>
  <c r="K88" i="3"/>
  <c r="L88" i="3"/>
  <c r="C89" i="3"/>
  <c r="G89" i="3"/>
  <c r="H89" i="3"/>
  <c r="I89" i="3"/>
  <c r="J89" i="3"/>
  <c r="K89" i="3"/>
  <c r="L89" i="3"/>
  <c r="C90" i="3"/>
  <c r="G90" i="3"/>
  <c r="H90" i="3"/>
  <c r="I90" i="3"/>
  <c r="J90" i="3"/>
  <c r="K90" i="3"/>
  <c r="L90" i="3"/>
  <c r="C91" i="3"/>
  <c r="G91" i="3"/>
  <c r="H91" i="3"/>
  <c r="I91" i="3"/>
  <c r="J91" i="3"/>
  <c r="K91" i="3"/>
  <c r="L91" i="3"/>
  <c r="C92" i="3"/>
  <c r="G92" i="3"/>
  <c r="H92" i="3"/>
  <c r="I92" i="3"/>
  <c r="J92" i="3"/>
  <c r="K92" i="3"/>
  <c r="L92" i="3"/>
  <c r="C93" i="3"/>
  <c r="G93" i="3"/>
  <c r="H93" i="3"/>
  <c r="I93" i="3"/>
  <c r="J93" i="3"/>
  <c r="K93" i="3"/>
  <c r="L93" i="3"/>
  <c r="C94" i="3"/>
  <c r="G94" i="3"/>
  <c r="H94" i="3"/>
  <c r="I94" i="3"/>
  <c r="J94" i="3"/>
  <c r="K94" i="3"/>
  <c r="L94" i="3"/>
  <c r="C95" i="3"/>
  <c r="G95" i="3"/>
  <c r="H95" i="3"/>
  <c r="I95" i="3"/>
  <c r="J95" i="3"/>
  <c r="K95" i="3"/>
  <c r="L95" i="3"/>
  <c r="C96" i="3"/>
  <c r="G96" i="3"/>
  <c r="H96" i="3"/>
  <c r="I96" i="3"/>
  <c r="J96" i="3"/>
  <c r="K96" i="3"/>
  <c r="L96" i="3"/>
  <c r="C97" i="3"/>
  <c r="G97" i="3"/>
  <c r="H97" i="3"/>
  <c r="I97" i="3"/>
  <c r="J97" i="3"/>
  <c r="K97" i="3"/>
  <c r="L97" i="3"/>
  <c r="C98" i="3"/>
  <c r="G98" i="3"/>
  <c r="H98" i="3"/>
  <c r="I98" i="3"/>
  <c r="J98" i="3"/>
  <c r="K98" i="3"/>
  <c r="L98" i="3"/>
  <c r="C99" i="3"/>
  <c r="G99" i="3"/>
  <c r="H99" i="3"/>
  <c r="I99" i="3"/>
  <c r="J99" i="3"/>
  <c r="K99" i="3"/>
  <c r="L99" i="3"/>
  <c r="C100" i="3"/>
  <c r="G100" i="3"/>
  <c r="H100" i="3"/>
  <c r="I100" i="3"/>
  <c r="J100" i="3"/>
  <c r="K100" i="3"/>
  <c r="L100" i="3"/>
  <c r="C101" i="3"/>
  <c r="G101" i="3"/>
  <c r="H101" i="3"/>
  <c r="I101" i="3"/>
  <c r="J101" i="3"/>
  <c r="K101" i="3"/>
  <c r="L101" i="3"/>
  <c r="C102" i="3"/>
  <c r="G102" i="3"/>
  <c r="H102" i="3"/>
  <c r="I102" i="3"/>
  <c r="J102" i="3"/>
  <c r="K102" i="3"/>
  <c r="L102" i="3"/>
  <c r="C103" i="3"/>
  <c r="G103" i="3"/>
  <c r="H103" i="3"/>
  <c r="I103" i="3"/>
  <c r="J103" i="3"/>
  <c r="K103" i="3"/>
  <c r="L103" i="3"/>
  <c r="C104" i="3"/>
  <c r="G104" i="3"/>
  <c r="H104" i="3"/>
  <c r="I104" i="3"/>
  <c r="J104" i="3"/>
  <c r="K104" i="3"/>
  <c r="L104" i="3"/>
  <c r="C105" i="3"/>
  <c r="G105" i="3"/>
  <c r="H105" i="3"/>
  <c r="I105" i="3"/>
  <c r="J105" i="3"/>
  <c r="K105" i="3"/>
  <c r="L105" i="3"/>
  <c r="C106" i="3"/>
  <c r="G106" i="3"/>
  <c r="H106" i="3"/>
  <c r="I106" i="3"/>
  <c r="J106" i="3"/>
  <c r="K106" i="3"/>
  <c r="L106" i="3"/>
  <c r="C107" i="3"/>
  <c r="G107" i="3"/>
  <c r="H107" i="3"/>
  <c r="I107" i="3"/>
  <c r="J107" i="3"/>
  <c r="K107" i="3"/>
  <c r="L107" i="3"/>
  <c r="C108" i="3"/>
  <c r="G108" i="3"/>
  <c r="H108" i="3"/>
  <c r="I108" i="3"/>
  <c r="J108" i="3"/>
  <c r="K108" i="3"/>
  <c r="L108" i="3"/>
  <c r="C109" i="3"/>
  <c r="G109" i="3"/>
  <c r="H109" i="3"/>
  <c r="I109" i="3"/>
  <c r="J109" i="3"/>
  <c r="K109" i="3"/>
  <c r="L109" i="3"/>
  <c r="C110" i="3"/>
  <c r="G110" i="3"/>
  <c r="H110" i="3"/>
  <c r="I110" i="3"/>
  <c r="J110" i="3"/>
  <c r="K110" i="3"/>
  <c r="L110" i="3"/>
  <c r="C111" i="3"/>
  <c r="G111" i="3"/>
  <c r="H111" i="3"/>
  <c r="I111" i="3"/>
  <c r="J111" i="3"/>
  <c r="K111" i="3"/>
  <c r="L111" i="3"/>
  <c r="C112" i="3"/>
  <c r="G112" i="3"/>
  <c r="H112" i="3"/>
  <c r="I112" i="3"/>
  <c r="J112" i="3"/>
  <c r="K112" i="3"/>
  <c r="L112" i="3"/>
  <c r="C113" i="3"/>
  <c r="G113" i="3"/>
  <c r="H113" i="3"/>
  <c r="I113" i="3"/>
  <c r="J113" i="3"/>
  <c r="K113" i="3"/>
  <c r="L113" i="3"/>
  <c r="C114" i="3"/>
  <c r="G114" i="3"/>
  <c r="H114" i="3"/>
  <c r="I114" i="3"/>
  <c r="J114" i="3"/>
  <c r="K114" i="3"/>
  <c r="L114" i="3"/>
  <c r="C115" i="3"/>
  <c r="G115" i="3"/>
  <c r="H115" i="3"/>
  <c r="I115" i="3"/>
  <c r="J115" i="3"/>
  <c r="K115" i="3"/>
  <c r="L115" i="3"/>
  <c r="C116" i="3"/>
  <c r="G116" i="3"/>
  <c r="H116" i="3"/>
  <c r="I116" i="3"/>
  <c r="J116" i="3"/>
  <c r="K116" i="3"/>
  <c r="L116" i="3"/>
  <c r="C117" i="3"/>
  <c r="G117" i="3"/>
  <c r="H117" i="3"/>
  <c r="I117" i="3"/>
  <c r="J117" i="3"/>
  <c r="K117" i="3"/>
  <c r="L117" i="3"/>
  <c r="C118" i="3"/>
  <c r="G118" i="3"/>
  <c r="H118" i="3"/>
  <c r="I118" i="3"/>
  <c r="J118" i="3"/>
  <c r="K118" i="3"/>
  <c r="L118" i="3"/>
  <c r="C119" i="3"/>
  <c r="G119" i="3"/>
  <c r="H119" i="3"/>
  <c r="I119" i="3"/>
  <c r="J119" i="3"/>
  <c r="K119" i="3"/>
  <c r="L119" i="3"/>
  <c r="C120" i="3"/>
  <c r="G120" i="3"/>
  <c r="H120" i="3"/>
  <c r="I120" i="3"/>
  <c r="J120" i="3"/>
  <c r="K120" i="3"/>
  <c r="L120" i="3"/>
  <c r="C121" i="3"/>
  <c r="G121" i="3"/>
  <c r="H121" i="3"/>
  <c r="I121" i="3"/>
  <c r="J121" i="3"/>
  <c r="K121" i="3"/>
  <c r="L121" i="3"/>
  <c r="C122" i="3"/>
  <c r="G122" i="3"/>
  <c r="H122" i="3"/>
  <c r="I122" i="3"/>
  <c r="J122" i="3"/>
  <c r="K122" i="3"/>
  <c r="L122" i="3"/>
  <c r="C123" i="3"/>
  <c r="G123" i="3"/>
  <c r="H123" i="3"/>
  <c r="I123" i="3"/>
  <c r="J123" i="3"/>
  <c r="K123" i="3"/>
  <c r="L123" i="3"/>
  <c r="C124" i="3"/>
  <c r="G124" i="3"/>
  <c r="H124" i="3"/>
  <c r="I124" i="3"/>
  <c r="J124" i="3"/>
  <c r="K124" i="3"/>
  <c r="L124" i="3"/>
  <c r="C125" i="3"/>
  <c r="G125" i="3"/>
  <c r="H125" i="3"/>
  <c r="I125" i="3"/>
  <c r="J125" i="3"/>
  <c r="K125" i="3"/>
  <c r="L125" i="3"/>
  <c r="C126" i="3"/>
  <c r="G126" i="3"/>
  <c r="H126" i="3"/>
  <c r="I126" i="3"/>
  <c r="J126" i="3"/>
  <c r="K126" i="3"/>
  <c r="L126" i="3"/>
  <c r="C127" i="3"/>
  <c r="G127" i="3"/>
  <c r="H127" i="3"/>
  <c r="I127" i="3"/>
  <c r="J127" i="3"/>
  <c r="K127" i="3"/>
  <c r="L127" i="3"/>
  <c r="C128" i="3"/>
  <c r="G128" i="3"/>
  <c r="H128" i="3"/>
  <c r="I128" i="3"/>
  <c r="J128" i="3"/>
  <c r="K128" i="3"/>
  <c r="L128" i="3"/>
  <c r="C129" i="3"/>
  <c r="G129" i="3"/>
  <c r="H129" i="3"/>
  <c r="I129" i="3"/>
  <c r="J129" i="3"/>
  <c r="K129" i="3"/>
  <c r="L129" i="3"/>
  <c r="C130" i="3"/>
  <c r="G130" i="3"/>
  <c r="H130" i="3"/>
  <c r="I130" i="3"/>
  <c r="J130" i="3"/>
  <c r="K130" i="3"/>
  <c r="L130" i="3"/>
  <c r="C131" i="3"/>
  <c r="G131" i="3"/>
  <c r="H131" i="3"/>
  <c r="I131" i="3"/>
  <c r="J131" i="3"/>
  <c r="K131" i="3"/>
  <c r="L131" i="3"/>
  <c r="C132" i="3"/>
  <c r="G132" i="3"/>
  <c r="H132" i="3"/>
  <c r="I132" i="3"/>
  <c r="J132" i="3"/>
  <c r="K132" i="3"/>
  <c r="L132" i="3"/>
  <c r="C133" i="3"/>
  <c r="G133" i="3"/>
  <c r="H133" i="3"/>
  <c r="I133" i="3"/>
  <c r="J133" i="3"/>
  <c r="K133" i="3"/>
  <c r="L133" i="3"/>
  <c r="C134" i="3"/>
  <c r="G134" i="3"/>
  <c r="H134" i="3"/>
  <c r="I134" i="3"/>
  <c r="J134" i="3"/>
  <c r="K134" i="3"/>
  <c r="L134" i="3"/>
  <c r="C135" i="3"/>
  <c r="G135" i="3"/>
  <c r="H135" i="3"/>
  <c r="I135" i="3"/>
  <c r="J135" i="3"/>
  <c r="K135" i="3"/>
  <c r="L135" i="3"/>
  <c r="C136" i="3"/>
  <c r="G136" i="3"/>
  <c r="H136" i="3"/>
  <c r="I136" i="3"/>
  <c r="J136" i="3"/>
  <c r="K136" i="3"/>
  <c r="L136" i="3"/>
  <c r="C137" i="3"/>
  <c r="G137" i="3"/>
  <c r="H137" i="3"/>
  <c r="I137" i="3"/>
  <c r="J137" i="3"/>
  <c r="K137" i="3"/>
  <c r="L137" i="3"/>
  <c r="C138" i="3"/>
  <c r="G138" i="3"/>
  <c r="H138" i="3"/>
  <c r="I138" i="3"/>
  <c r="J138" i="3"/>
  <c r="K138" i="3"/>
  <c r="L138" i="3"/>
  <c r="C139" i="3"/>
  <c r="G139" i="3"/>
  <c r="H139" i="3"/>
  <c r="I139" i="3"/>
  <c r="J139" i="3"/>
  <c r="K139" i="3"/>
  <c r="L139" i="3"/>
  <c r="C140" i="3"/>
  <c r="G140" i="3"/>
  <c r="H140" i="3"/>
  <c r="I140" i="3"/>
  <c r="J140" i="3"/>
  <c r="K140" i="3"/>
  <c r="L140" i="3"/>
  <c r="C141" i="3"/>
  <c r="G141" i="3"/>
  <c r="H141" i="3"/>
  <c r="I141" i="3"/>
  <c r="J141" i="3"/>
  <c r="K141" i="3"/>
  <c r="L141" i="3"/>
  <c r="C142" i="3"/>
  <c r="G142" i="3"/>
  <c r="H142" i="3"/>
  <c r="I142" i="3"/>
  <c r="J142" i="3"/>
  <c r="K142" i="3"/>
  <c r="L142" i="3"/>
  <c r="C143" i="3"/>
  <c r="G143" i="3"/>
  <c r="H143" i="3"/>
  <c r="I143" i="3"/>
  <c r="J143" i="3"/>
  <c r="K143" i="3"/>
  <c r="L143" i="3"/>
  <c r="C144" i="3"/>
  <c r="G144" i="3"/>
  <c r="H144" i="3"/>
  <c r="I144" i="3"/>
  <c r="J144" i="3"/>
  <c r="K144" i="3"/>
  <c r="L144" i="3"/>
  <c r="C145" i="3"/>
  <c r="G145" i="3"/>
  <c r="H145" i="3"/>
  <c r="I145" i="3"/>
  <c r="J145" i="3"/>
  <c r="K145" i="3"/>
  <c r="L145" i="3"/>
  <c r="C146" i="3"/>
  <c r="G146" i="3"/>
  <c r="H146" i="3"/>
  <c r="I146" i="3"/>
  <c r="J146" i="3"/>
  <c r="K146" i="3"/>
  <c r="L146" i="3"/>
  <c r="C147" i="3"/>
  <c r="G147" i="3"/>
  <c r="H147" i="3"/>
  <c r="I147" i="3"/>
  <c r="J147" i="3"/>
  <c r="K147" i="3"/>
  <c r="L147" i="3"/>
  <c r="C148" i="3"/>
  <c r="G148" i="3"/>
  <c r="H148" i="3"/>
  <c r="I148" i="3"/>
  <c r="J148" i="3"/>
  <c r="K148" i="3"/>
  <c r="L148" i="3"/>
  <c r="C149" i="3"/>
  <c r="G149" i="3"/>
  <c r="H149" i="3"/>
  <c r="I149" i="3"/>
  <c r="J149" i="3"/>
  <c r="K149" i="3"/>
  <c r="L149" i="3"/>
  <c r="C150" i="3"/>
  <c r="G150" i="3"/>
  <c r="H150" i="3"/>
  <c r="I150" i="3"/>
  <c r="J150" i="3"/>
  <c r="K150" i="3"/>
  <c r="L150" i="3"/>
  <c r="C151" i="3"/>
  <c r="G151" i="3"/>
  <c r="H151" i="3"/>
  <c r="I151" i="3"/>
  <c r="J151" i="3"/>
  <c r="K151" i="3"/>
  <c r="L151" i="3"/>
  <c r="C152" i="3"/>
  <c r="G152" i="3"/>
  <c r="H152" i="3"/>
  <c r="I152" i="3"/>
  <c r="J152" i="3"/>
  <c r="K152" i="3"/>
  <c r="L152" i="3"/>
  <c r="C153" i="3"/>
  <c r="G153" i="3"/>
  <c r="H153" i="3"/>
  <c r="I153" i="3"/>
  <c r="J153" i="3"/>
  <c r="K153" i="3"/>
  <c r="L153" i="3"/>
  <c r="C154" i="3"/>
  <c r="G154" i="3"/>
  <c r="H154" i="3"/>
  <c r="I154" i="3"/>
  <c r="J154" i="3"/>
  <c r="K154" i="3"/>
  <c r="L154" i="3"/>
  <c r="C155" i="3"/>
  <c r="G155" i="3"/>
  <c r="H155" i="3"/>
  <c r="I155" i="3"/>
  <c r="J155" i="3"/>
  <c r="K155" i="3"/>
  <c r="L155" i="3"/>
  <c r="C156" i="3"/>
  <c r="G156" i="3"/>
  <c r="H156" i="3"/>
  <c r="I156" i="3"/>
  <c r="J156" i="3"/>
  <c r="K156" i="3"/>
  <c r="L156" i="3"/>
  <c r="C157" i="3"/>
  <c r="G157" i="3"/>
  <c r="H157" i="3"/>
  <c r="I157" i="3"/>
  <c r="J157" i="3"/>
  <c r="K157" i="3"/>
  <c r="L157" i="3"/>
  <c r="C158" i="3"/>
  <c r="G158" i="3"/>
  <c r="H158" i="3"/>
  <c r="I158" i="3"/>
  <c r="J158" i="3"/>
  <c r="K158" i="3"/>
  <c r="L158" i="3"/>
  <c r="C159" i="3"/>
  <c r="G159" i="3"/>
  <c r="H159" i="3"/>
  <c r="I159" i="3"/>
  <c r="J159" i="3"/>
  <c r="K159" i="3"/>
  <c r="L159" i="3"/>
  <c r="C160" i="3"/>
  <c r="G160" i="3"/>
  <c r="H160" i="3"/>
  <c r="I160" i="3"/>
  <c r="J160" i="3"/>
  <c r="K160" i="3"/>
  <c r="L160" i="3"/>
  <c r="C161" i="3"/>
  <c r="G161" i="3"/>
  <c r="H161" i="3"/>
  <c r="I161" i="3"/>
  <c r="J161" i="3"/>
  <c r="K161" i="3"/>
  <c r="L161" i="3"/>
  <c r="C162" i="3"/>
  <c r="G162" i="3"/>
  <c r="H162" i="3"/>
  <c r="I162" i="3"/>
  <c r="J162" i="3"/>
  <c r="K162" i="3"/>
  <c r="L162" i="3"/>
  <c r="C163" i="3"/>
  <c r="G163" i="3"/>
  <c r="H163" i="3"/>
  <c r="I163" i="3"/>
  <c r="J163" i="3"/>
  <c r="K163" i="3"/>
  <c r="L163" i="3"/>
  <c r="C164" i="3"/>
  <c r="G164" i="3"/>
  <c r="H164" i="3"/>
  <c r="I164" i="3"/>
  <c r="J164" i="3"/>
  <c r="K164" i="3"/>
  <c r="L164" i="3"/>
  <c r="C165" i="3"/>
  <c r="G165" i="3"/>
  <c r="H165" i="3"/>
  <c r="I165" i="3"/>
  <c r="J165" i="3"/>
  <c r="K165" i="3"/>
  <c r="L165" i="3"/>
  <c r="C166" i="3"/>
  <c r="G166" i="3"/>
  <c r="H166" i="3"/>
  <c r="I166" i="3"/>
  <c r="J166" i="3"/>
  <c r="K166" i="3"/>
  <c r="L166" i="3"/>
  <c r="C167" i="3"/>
  <c r="G167" i="3"/>
  <c r="H167" i="3"/>
  <c r="I167" i="3"/>
  <c r="J167" i="3"/>
  <c r="K167" i="3"/>
  <c r="L167" i="3"/>
  <c r="C168" i="3"/>
  <c r="G168" i="3"/>
  <c r="H168" i="3"/>
  <c r="I168" i="3"/>
  <c r="J168" i="3"/>
  <c r="K168" i="3"/>
  <c r="L168" i="3"/>
  <c r="C169" i="3"/>
  <c r="G169" i="3"/>
  <c r="H169" i="3"/>
  <c r="I169" i="3"/>
  <c r="J169" i="3"/>
  <c r="K169" i="3"/>
  <c r="L169" i="3"/>
  <c r="C170" i="3"/>
  <c r="G170" i="3"/>
  <c r="H170" i="3"/>
  <c r="I170" i="3"/>
  <c r="J170" i="3"/>
  <c r="K170" i="3"/>
  <c r="L170" i="3"/>
  <c r="C171" i="3"/>
  <c r="G171" i="3"/>
  <c r="H171" i="3"/>
  <c r="I171" i="3"/>
  <c r="J171" i="3"/>
  <c r="K171" i="3"/>
  <c r="L171" i="3"/>
  <c r="C172" i="3"/>
  <c r="G172" i="3"/>
  <c r="H172" i="3"/>
  <c r="I172" i="3"/>
  <c r="J172" i="3"/>
  <c r="K172" i="3"/>
  <c r="L172" i="3"/>
  <c r="C173" i="3"/>
  <c r="G173" i="3"/>
  <c r="H173" i="3"/>
  <c r="I173" i="3"/>
  <c r="J173" i="3"/>
  <c r="K173" i="3"/>
  <c r="L173" i="3"/>
  <c r="C174" i="3"/>
  <c r="G174" i="3"/>
  <c r="H174" i="3"/>
  <c r="I174" i="3"/>
  <c r="J174" i="3"/>
  <c r="K174" i="3"/>
  <c r="L174" i="3"/>
  <c r="C175" i="3"/>
  <c r="G175" i="3"/>
  <c r="H175" i="3"/>
  <c r="I175" i="3"/>
  <c r="J175" i="3"/>
  <c r="K175" i="3"/>
  <c r="L175" i="3"/>
  <c r="C176" i="3"/>
  <c r="G176" i="3"/>
  <c r="H176" i="3"/>
  <c r="I176" i="3"/>
  <c r="J176" i="3"/>
  <c r="K176" i="3"/>
  <c r="L176" i="3"/>
  <c r="C177" i="3"/>
  <c r="G177" i="3"/>
  <c r="H177" i="3"/>
  <c r="I177" i="3"/>
  <c r="J177" i="3"/>
  <c r="K177" i="3"/>
  <c r="L177" i="3"/>
  <c r="C178" i="3"/>
  <c r="G178" i="3"/>
  <c r="H178" i="3"/>
  <c r="I178" i="3"/>
  <c r="J178" i="3"/>
  <c r="K178" i="3"/>
  <c r="L178" i="3"/>
  <c r="C179" i="3"/>
  <c r="G179" i="3"/>
  <c r="H179" i="3"/>
  <c r="I179" i="3"/>
  <c r="J179" i="3"/>
  <c r="K179" i="3"/>
  <c r="L179" i="3"/>
  <c r="C180" i="3"/>
  <c r="G180" i="3"/>
  <c r="H180" i="3"/>
  <c r="I180" i="3"/>
  <c r="J180" i="3"/>
  <c r="K180" i="3"/>
  <c r="L180" i="3"/>
  <c r="C181" i="3"/>
  <c r="G181" i="3"/>
  <c r="H181" i="3"/>
  <c r="I181" i="3"/>
  <c r="J181" i="3"/>
  <c r="K181" i="3"/>
  <c r="L181" i="3"/>
  <c r="C182" i="3"/>
  <c r="G182" i="3"/>
  <c r="H182" i="3"/>
  <c r="I182" i="3"/>
  <c r="J182" i="3"/>
  <c r="K182" i="3"/>
  <c r="L182" i="3"/>
  <c r="C183" i="3"/>
  <c r="G183" i="3"/>
  <c r="H183" i="3"/>
  <c r="I183" i="3"/>
  <c r="J183" i="3"/>
  <c r="K183" i="3"/>
  <c r="L183" i="3"/>
  <c r="C184" i="3"/>
  <c r="G184" i="3"/>
  <c r="H184" i="3"/>
  <c r="I184" i="3"/>
  <c r="J184" i="3"/>
  <c r="K184" i="3"/>
  <c r="L184" i="3"/>
  <c r="C185" i="3"/>
  <c r="G185" i="3"/>
  <c r="H185" i="3"/>
  <c r="I185" i="3"/>
  <c r="J185" i="3"/>
  <c r="K185" i="3"/>
  <c r="L185" i="3"/>
  <c r="C186" i="3"/>
  <c r="G186" i="3"/>
  <c r="H186" i="3"/>
  <c r="I186" i="3"/>
  <c r="J186" i="3"/>
  <c r="K186" i="3"/>
  <c r="L186" i="3"/>
  <c r="C187" i="3"/>
  <c r="G187" i="3"/>
  <c r="H187" i="3"/>
  <c r="I187" i="3"/>
  <c r="J187" i="3"/>
  <c r="K187" i="3"/>
  <c r="L187" i="3"/>
  <c r="C188" i="3"/>
  <c r="G188" i="3"/>
  <c r="H188" i="3"/>
  <c r="I188" i="3"/>
  <c r="J188" i="3"/>
  <c r="K188" i="3"/>
  <c r="L188" i="3"/>
  <c r="C189" i="3"/>
  <c r="G189" i="3"/>
  <c r="H189" i="3"/>
  <c r="I189" i="3"/>
  <c r="J189" i="3"/>
  <c r="K189" i="3"/>
  <c r="L189" i="3"/>
  <c r="C190" i="3"/>
  <c r="G190" i="3"/>
  <c r="H190" i="3"/>
  <c r="I190" i="3"/>
  <c r="J190" i="3"/>
  <c r="K190" i="3"/>
  <c r="L190" i="3"/>
  <c r="C191" i="3"/>
  <c r="G191" i="3"/>
  <c r="H191" i="3"/>
  <c r="I191" i="3"/>
  <c r="J191" i="3"/>
  <c r="K191" i="3"/>
  <c r="L191" i="3"/>
  <c r="C192" i="3"/>
  <c r="G192" i="3"/>
  <c r="H192" i="3"/>
  <c r="I192" i="3"/>
  <c r="J192" i="3"/>
  <c r="K192" i="3"/>
  <c r="L192" i="3"/>
  <c r="C193" i="3"/>
  <c r="G193" i="3"/>
  <c r="H193" i="3"/>
  <c r="I193" i="3"/>
  <c r="J193" i="3"/>
  <c r="K193" i="3"/>
  <c r="L193" i="3"/>
  <c r="C194" i="3"/>
  <c r="G194" i="3"/>
  <c r="H194" i="3"/>
  <c r="I194" i="3"/>
  <c r="J194" i="3"/>
  <c r="K194" i="3"/>
  <c r="L194" i="3"/>
  <c r="C195" i="3"/>
  <c r="G195" i="3"/>
  <c r="H195" i="3"/>
  <c r="I195" i="3"/>
  <c r="J195" i="3"/>
  <c r="K195" i="3"/>
  <c r="L195" i="3"/>
  <c r="C196" i="3"/>
  <c r="G196" i="3"/>
  <c r="H196" i="3"/>
  <c r="I196" i="3"/>
  <c r="J196" i="3"/>
  <c r="K196" i="3"/>
  <c r="L196" i="3"/>
  <c r="C197" i="3"/>
  <c r="G197" i="3"/>
  <c r="H197" i="3"/>
  <c r="I197" i="3"/>
  <c r="J197" i="3"/>
  <c r="K197" i="3"/>
  <c r="L197" i="3"/>
  <c r="C198" i="3"/>
  <c r="G198" i="3"/>
  <c r="H198" i="3"/>
  <c r="I198" i="3"/>
  <c r="J198" i="3"/>
  <c r="K198" i="3"/>
  <c r="L198" i="3"/>
  <c r="C199" i="3"/>
  <c r="G199" i="3"/>
  <c r="H199" i="3"/>
  <c r="I199" i="3"/>
  <c r="J199" i="3"/>
  <c r="K199" i="3"/>
  <c r="L199" i="3"/>
  <c r="C200" i="3"/>
  <c r="G200" i="3"/>
  <c r="H200" i="3"/>
  <c r="I200" i="3"/>
  <c r="J200" i="3"/>
  <c r="K200" i="3"/>
  <c r="L200" i="3"/>
  <c r="C201" i="3"/>
  <c r="G201" i="3"/>
  <c r="H201" i="3"/>
  <c r="I201" i="3"/>
  <c r="J201" i="3"/>
  <c r="K201" i="3"/>
  <c r="L201" i="3"/>
  <c r="C202" i="3"/>
  <c r="G202" i="3"/>
  <c r="H202" i="3"/>
  <c r="I202" i="3"/>
  <c r="J202" i="3"/>
  <c r="K202" i="3"/>
  <c r="L202" i="3"/>
  <c r="C203" i="3"/>
  <c r="G203" i="3"/>
  <c r="H203" i="3"/>
  <c r="I203" i="3"/>
  <c r="J203" i="3"/>
  <c r="K203" i="3"/>
  <c r="L203" i="3"/>
  <c r="C204" i="3"/>
  <c r="G204" i="3"/>
  <c r="H204" i="3"/>
  <c r="I204" i="3"/>
  <c r="J204" i="3"/>
  <c r="K204" i="3"/>
  <c r="L204" i="3"/>
  <c r="C205" i="3"/>
  <c r="G205" i="3"/>
  <c r="H205" i="3"/>
  <c r="I205" i="3"/>
  <c r="J205" i="3"/>
  <c r="K205" i="3"/>
  <c r="L205" i="3"/>
  <c r="C206" i="3"/>
  <c r="G206" i="3"/>
  <c r="H206" i="3"/>
  <c r="I206" i="3"/>
  <c r="J206" i="3"/>
  <c r="K206" i="3"/>
  <c r="L206" i="3"/>
  <c r="C207" i="3"/>
  <c r="G207" i="3"/>
  <c r="H207" i="3"/>
  <c r="I207" i="3"/>
  <c r="J207" i="3"/>
  <c r="K207" i="3"/>
  <c r="L207" i="3"/>
  <c r="C208" i="3"/>
  <c r="G208" i="3"/>
  <c r="H208" i="3"/>
  <c r="I208" i="3"/>
  <c r="J208" i="3"/>
  <c r="K208" i="3"/>
  <c r="L208" i="3"/>
  <c r="C209" i="3"/>
  <c r="G209" i="3"/>
  <c r="H209" i="3"/>
  <c r="I209" i="3"/>
  <c r="J209" i="3"/>
  <c r="K209" i="3"/>
  <c r="L209" i="3"/>
  <c r="C210" i="3"/>
  <c r="G210" i="3"/>
  <c r="H210" i="3"/>
  <c r="I210" i="3"/>
  <c r="J210" i="3"/>
  <c r="K210" i="3"/>
  <c r="L210" i="3"/>
  <c r="C211" i="3"/>
  <c r="G211" i="3"/>
  <c r="H211" i="3"/>
  <c r="I211" i="3"/>
  <c r="J211" i="3"/>
  <c r="K211" i="3"/>
  <c r="L211" i="3"/>
  <c r="C212" i="3"/>
  <c r="G212" i="3"/>
  <c r="H212" i="3"/>
  <c r="I212" i="3"/>
  <c r="J212" i="3"/>
  <c r="K212" i="3"/>
  <c r="L212" i="3"/>
  <c r="C213" i="3"/>
  <c r="G213" i="3"/>
  <c r="H213" i="3"/>
  <c r="I213" i="3"/>
  <c r="J213" i="3"/>
  <c r="K213" i="3"/>
  <c r="L213" i="3"/>
  <c r="C214" i="3"/>
  <c r="G214" i="3"/>
  <c r="H214" i="3"/>
  <c r="I214" i="3"/>
  <c r="J214" i="3"/>
  <c r="K214" i="3"/>
  <c r="L214" i="3"/>
  <c r="C215" i="3"/>
  <c r="G215" i="3"/>
  <c r="H215" i="3"/>
  <c r="I215" i="3"/>
  <c r="J215" i="3"/>
  <c r="K215" i="3"/>
  <c r="L215" i="3"/>
  <c r="C216" i="3"/>
  <c r="G216" i="3"/>
  <c r="H216" i="3"/>
  <c r="I216" i="3"/>
  <c r="J216" i="3"/>
  <c r="K216" i="3"/>
  <c r="L216" i="3"/>
  <c r="C217" i="3"/>
  <c r="G217" i="3"/>
  <c r="H217" i="3"/>
  <c r="I217" i="3"/>
  <c r="J217" i="3"/>
  <c r="K217" i="3"/>
  <c r="L217" i="3"/>
  <c r="C218" i="3"/>
  <c r="G218" i="3"/>
  <c r="H218" i="3"/>
  <c r="I218" i="3"/>
  <c r="J218" i="3"/>
  <c r="K218" i="3"/>
  <c r="L218" i="3"/>
  <c r="C219" i="3"/>
  <c r="G219" i="3"/>
  <c r="H219" i="3"/>
  <c r="I219" i="3"/>
  <c r="J219" i="3"/>
  <c r="K219" i="3"/>
  <c r="L219" i="3"/>
  <c r="C220" i="3"/>
  <c r="G220" i="3"/>
  <c r="H220" i="3"/>
  <c r="I220" i="3"/>
  <c r="J220" i="3"/>
  <c r="K220" i="3"/>
  <c r="L220" i="3"/>
  <c r="C221" i="3"/>
  <c r="G221" i="3"/>
  <c r="H221" i="3"/>
  <c r="I221" i="3"/>
  <c r="J221" i="3"/>
  <c r="K221" i="3"/>
  <c r="L221" i="3"/>
  <c r="C222" i="3"/>
  <c r="G222" i="3"/>
  <c r="H222" i="3"/>
  <c r="I222" i="3"/>
  <c r="J222" i="3"/>
  <c r="K222" i="3"/>
  <c r="L222" i="3"/>
  <c r="C223" i="3"/>
  <c r="G223" i="3"/>
  <c r="H223" i="3"/>
  <c r="I223" i="3"/>
  <c r="J223" i="3"/>
  <c r="K223" i="3"/>
  <c r="L223" i="3"/>
  <c r="C224" i="3"/>
  <c r="G224" i="3"/>
  <c r="H224" i="3"/>
  <c r="I224" i="3"/>
  <c r="J224" i="3"/>
  <c r="K224" i="3"/>
  <c r="L224" i="3"/>
  <c r="C225" i="3"/>
  <c r="G225" i="3"/>
  <c r="H225" i="3"/>
  <c r="I225" i="3"/>
  <c r="J225" i="3"/>
  <c r="K225" i="3"/>
  <c r="L225" i="3"/>
  <c r="C226" i="3"/>
  <c r="G226" i="3"/>
  <c r="H226" i="3"/>
  <c r="I226" i="3"/>
  <c r="J226" i="3"/>
  <c r="K226" i="3"/>
  <c r="L226" i="3"/>
  <c r="C227" i="3"/>
  <c r="G227" i="3"/>
  <c r="H227" i="3"/>
  <c r="I227" i="3"/>
  <c r="J227" i="3"/>
  <c r="K227" i="3"/>
  <c r="L227" i="3"/>
  <c r="C228" i="3"/>
  <c r="G228" i="3"/>
  <c r="H228" i="3"/>
  <c r="I228" i="3"/>
  <c r="J228" i="3"/>
  <c r="K228" i="3"/>
  <c r="L228" i="3"/>
  <c r="C229" i="3"/>
  <c r="G229" i="3"/>
  <c r="H229" i="3"/>
  <c r="I229" i="3"/>
  <c r="J229" i="3"/>
  <c r="K229" i="3"/>
  <c r="L229" i="3"/>
  <c r="C230" i="3"/>
  <c r="G230" i="3"/>
  <c r="H230" i="3"/>
  <c r="I230" i="3"/>
  <c r="J230" i="3"/>
  <c r="K230" i="3"/>
  <c r="L230" i="3"/>
  <c r="C231" i="3"/>
  <c r="G231" i="3"/>
  <c r="H231" i="3"/>
  <c r="I231" i="3"/>
  <c r="J231" i="3"/>
  <c r="K231" i="3"/>
  <c r="L231" i="3"/>
  <c r="C232" i="3"/>
  <c r="G232" i="3"/>
  <c r="H232" i="3"/>
  <c r="I232" i="3"/>
  <c r="J232" i="3"/>
  <c r="K232" i="3"/>
  <c r="L232" i="3"/>
  <c r="C233" i="3"/>
  <c r="G233" i="3"/>
  <c r="H233" i="3"/>
  <c r="I233" i="3"/>
  <c r="J233" i="3"/>
  <c r="K233" i="3"/>
  <c r="L233" i="3"/>
  <c r="C234" i="3"/>
  <c r="G234" i="3"/>
  <c r="H234" i="3"/>
  <c r="I234" i="3"/>
  <c r="J234" i="3"/>
  <c r="K234" i="3"/>
  <c r="L234" i="3"/>
  <c r="C235" i="3"/>
  <c r="G235" i="3"/>
  <c r="H235" i="3"/>
  <c r="I235" i="3"/>
  <c r="J235" i="3"/>
  <c r="K235" i="3"/>
  <c r="L235" i="3"/>
  <c r="C236" i="3"/>
  <c r="G236" i="3"/>
  <c r="H236" i="3"/>
  <c r="I236" i="3"/>
  <c r="J236" i="3"/>
  <c r="K236" i="3"/>
  <c r="L236" i="3"/>
  <c r="C237" i="3"/>
  <c r="G237" i="3"/>
  <c r="H237" i="3"/>
  <c r="I237" i="3"/>
  <c r="J237" i="3"/>
  <c r="K237" i="3"/>
  <c r="L237" i="3"/>
  <c r="C238" i="3"/>
  <c r="G238" i="3"/>
  <c r="H238" i="3"/>
  <c r="I238" i="3"/>
  <c r="J238" i="3"/>
  <c r="K238" i="3"/>
  <c r="L238" i="3"/>
  <c r="C239" i="3"/>
  <c r="G239" i="3"/>
  <c r="H239" i="3"/>
  <c r="I239" i="3"/>
  <c r="J239" i="3"/>
  <c r="K239" i="3"/>
  <c r="L239" i="3"/>
  <c r="C240" i="3"/>
  <c r="G240" i="3"/>
  <c r="H240" i="3"/>
  <c r="I240" i="3"/>
  <c r="J240" i="3"/>
  <c r="K240" i="3"/>
  <c r="L240" i="3"/>
  <c r="C241" i="3"/>
  <c r="G241" i="3"/>
  <c r="H241" i="3"/>
  <c r="I241" i="3"/>
  <c r="J241" i="3"/>
  <c r="K241" i="3"/>
  <c r="L241" i="3"/>
  <c r="C242" i="3"/>
  <c r="G242" i="3"/>
  <c r="H242" i="3"/>
  <c r="I242" i="3"/>
  <c r="J242" i="3"/>
  <c r="K242" i="3"/>
  <c r="L242" i="3"/>
  <c r="C243" i="3"/>
  <c r="G243" i="3"/>
  <c r="H243" i="3"/>
  <c r="I243" i="3"/>
  <c r="J243" i="3"/>
  <c r="K243" i="3"/>
  <c r="L243" i="3"/>
  <c r="C244" i="3"/>
  <c r="G244" i="3"/>
  <c r="H244" i="3"/>
  <c r="I244" i="3"/>
  <c r="J244" i="3"/>
  <c r="K244" i="3"/>
  <c r="L244" i="3"/>
  <c r="C245" i="3"/>
  <c r="G245" i="3"/>
  <c r="H245" i="3"/>
  <c r="I245" i="3"/>
  <c r="J245" i="3"/>
  <c r="K245" i="3"/>
  <c r="L245" i="3"/>
  <c r="C246" i="3"/>
  <c r="G246" i="3"/>
  <c r="H246" i="3"/>
  <c r="I246" i="3"/>
  <c r="J246" i="3"/>
  <c r="K246" i="3"/>
  <c r="L246" i="3"/>
  <c r="C247" i="3"/>
  <c r="G247" i="3"/>
  <c r="H247" i="3"/>
  <c r="I247" i="3"/>
  <c r="J247" i="3"/>
  <c r="K247" i="3"/>
  <c r="L247" i="3"/>
  <c r="C248" i="3"/>
  <c r="G248" i="3"/>
  <c r="H248" i="3"/>
  <c r="I248" i="3"/>
  <c r="J248" i="3"/>
  <c r="K248" i="3"/>
  <c r="L248" i="3"/>
  <c r="C249" i="3"/>
  <c r="G249" i="3"/>
  <c r="H249" i="3"/>
  <c r="I249" i="3"/>
  <c r="J249" i="3"/>
  <c r="K249" i="3"/>
  <c r="L249" i="3"/>
  <c r="C250" i="3"/>
  <c r="G250" i="3"/>
  <c r="H250" i="3"/>
  <c r="I250" i="3"/>
  <c r="J250" i="3"/>
  <c r="K250" i="3"/>
  <c r="L250" i="3"/>
  <c r="C251" i="3"/>
  <c r="G251" i="3"/>
  <c r="H251" i="3"/>
  <c r="I251" i="3"/>
  <c r="J251" i="3"/>
  <c r="K251" i="3"/>
  <c r="L251" i="3"/>
  <c r="C252" i="3"/>
  <c r="G252" i="3"/>
  <c r="H252" i="3"/>
  <c r="I252" i="3"/>
  <c r="J252" i="3"/>
  <c r="K252" i="3"/>
  <c r="L252" i="3"/>
  <c r="C253" i="3"/>
  <c r="G253" i="3"/>
  <c r="H253" i="3"/>
  <c r="I253" i="3"/>
  <c r="J253" i="3"/>
  <c r="K253" i="3"/>
  <c r="L253" i="3"/>
  <c r="C254" i="3"/>
  <c r="G254" i="3"/>
  <c r="H254" i="3"/>
  <c r="I254" i="3"/>
  <c r="J254" i="3"/>
  <c r="K254" i="3"/>
  <c r="L254" i="3"/>
  <c r="C255" i="3"/>
  <c r="G255" i="3"/>
  <c r="H255" i="3"/>
  <c r="I255" i="3"/>
  <c r="J255" i="3"/>
  <c r="K255" i="3"/>
  <c r="L255" i="3"/>
  <c r="C256" i="3"/>
  <c r="G256" i="3"/>
  <c r="H256" i="3"/>
  <c r="I256" i="3"/>
  <c r="J256" i="3"/>
  <c r="K256" i="3"/>
  <c r="L256" i="3"/>
  <c r="C257" i="3"/>
  <c r="G257" i="3"/>
  <c r="H257" i="3"/>
  <c r="I257" i="3"/>
  <c r="J257" i="3"/>
  <c r="K257" i="3"/>
  <c r="L257" i="3"/>
  <c r="C258" i="3"/>
  <c r="G258" i="3"/>
  <c r="H258" i="3"/>
  <c r="I258" i="3"/>
  <c r="J258" i="3"/>
  <c r="K258" i="3"/>
  <c r="L258" i="3"/>
  <c r="C259" i="3"/>
  <c r="G259" i="3"/>
  <c r="H259" i="3"/>
  <c r="I259" i="3"/>
  <c r="J259" i="3"/>
  <c r="K259" i="3"/>
  <c r="L259" i="3"/>
  <c r="C260" i="3"/>
  <c r="G260" i="3"/>
  <c r="H260" i="3"/>
  <c r="I260" i="3"/>
  <c r="J260" i="3"/>
  <c r="K260" i="3"/>
  <c r="L260" i="3"/>
  <c r="C261" i="3"/>
  <c r="G261" i="3"/>
  <c r="H261" i="3"/>
  <c r="I261" i="3"/>
  <c r="J261" i="3"/>
  <c r="K261" i="3"/>
  <c r="L261" i="3"/>
  <c r="C262" i="3"/>
  <c r="G262" i="3"/>
  <c r="H262" i="3"/>
  <c r="I262" i="3"/>
  <c r="J262" i="3"/>
  <c r="K262" i="3"/>
  <c r="L262" i="3"/>
  <c r="C263" i="3"/>
  <c r="G263" i="3"/>
  <c r="H263" i="3"/>
  <c r="I263" i="3"/>
  <c r="J263" i="3"/>
  <c r="K263" i="3"/>
  <c r="L263" i="3"/>
  <c r="C264" i="3"/>
  <c r="G264" i="3"/>
  <c r="H264" i="3"/>
  <c r="I264" i="3"/>
  <c r="J264" i="3"/>
  <c r="K264" i="3"/>
  <c r="L264" i="3"/>
  <c r="C265" i="3"/>
  <c r="G265" i="3"/>
  <c r="H265" i="3"/>
  <c r="I265" i="3"/>
  <c r="J265" i="3"/>
  <c r="K265" i="3"/>
  <c r="L265" i="3"/>
  <c r="C266" i="3"/>
  <c r="G266" i="3"/>
  <c r="H266" i="3"/>
  <c r="I266" i="3"/>
  <c r="J266" i="3"/>
  <c r="K266" i="3"/>
  <c r="L266" i="3"/>
  <c r="C267" i="3"/>
  <c r="G267" i="3"/>
  <c r="H267" i="3"/>
  <c r="I267" i="3"/>
  <c r="J267" i="3"/>
  <c r="K267" i="3"/>
  <c r="L267" i="3"/>
  <c r="C268" i="3"/>
  <c r="G268" i="3"/>
  <c r="H268" i="3"/>
  <c r="I268" i="3"/>
  <c r="J268" i="3"/>
  <c r="K268" i="3"/>
  <c r="L268" i="3"/>
  <c r="C269" i="3"/>
  <c r="G269" i="3"/>
  <c r="H269" i="3"/>
  <c r="I269" i="3"/>
  <c r="J269" i="3"/>
  <c r="K269" i="3"/>
  <c r="L269" i="3"/>
  <c r="C270" i="3"/>
  <c r="G270" i="3"/>
  <c r="H270" i="3"/>
  <c r="I270" i="3"/>
  <c r="J270" i="3"/>
  <c r="K270" i="3"/>
  <c r="L270" i="3"/>
  <c r="C271" i="3"/>
  <c r="G271" i="3"/>
  <c r="H271" i="3"/>
  <c r="I271" i="3"/>
  <c r="J271" i="3"/>
  <c r="K271" i="3"/>
  <c r="L271" i="3"/>
  <c r="C272" i="3"/>
  <c r="G272" i="3"/>
  <c r="H272" i="3"/>
  <c r="I272" i="3"/>
  <c r="J272" i="3"/>
  <c r="K272" i="3"/>
  <c r="L272" i="3"/>
  <c r="C273" i="3"/>
  <c r="G273" i="3"/>
  <c r="H273" i="3"/>
  <c r="I273" i="3"/>
  <c r="J273" i="3"/>
  <c r="K273" i="3"/>
  <c r="L273" i="3"/>
  <c r="C274" i="3"/>
  <c r="G274" i="3"/>
  <c r="H274" i="3"/>
  <c r="I274" i="3"/>
  <c r="J274" i="3"/>
  <c r="K274" i="3"/>
  <c r="L274" i="3"/>
  <c r="C275" i="3"/>
  <c r="G275" i="3"/>
  <c r="H275" i="3"/>
  <c r="I275" i="3"/>
  <c r="J275" i="3"/>
  <c r="K275" i="3"/>
  <c r="L275" i="3"/>
  <c r="C276" i="3"/>
  <c r="G276" i="3"/>
  <c r="H276" i="3"/>
  <c r="I276" i="3"/>
  <c r="J276" i="3"/>
  <c r="K276" i="3"/>
  <c r="L276" i="3"/>
  <c r="C277" i="3"/>
  <c r="G277" i="3"/>
  <c r="H277" i="3"/>
  <c r="I277" i="3"/>
  <c r="J277" i="3"/>
  <c r="K277" i="3"/>
  <c r="L277" i="3"/>
  <c r="C278" i="3"/>
  <c r="G278" i="3"/>
  <c r="H278" i="3"/>
  <c r="I278" i="3"/>
  <c r="J278" i="3"/>
  <c r="K278" i="3"/>
  <c r="L278" i="3"/>
  <c r="C279" i="3"/>
  <c r="G279" i="3"/>
  <c r="H279" i="3"/>
  <c r="I279" i="3"/>
  <c r="J279" i="3"/>
  <c r="K279" i="3"/>
  <c r="L279" i="3"/>
  <c r="C280" i="3"/>
  <c r="G280" i="3"/>
  <c r="H280" i="3"/>
  <c r="I280" i="3"/>
  <c r="J280" i="3"/>
  <c r="K280" i="3"/>
  <c r="L280" i="3"/>
  <c r="C281" i="3"/>
  <c r="G281" i="3"/>
  <c r="H281" i="3"/>
  <c r="I281" i="3"/>
  <c r="J281" i="3"/>
  <c r="K281" i="3"/>
  <c r="L281" i="3"/>
  <c r="C282" i="3"/>
  <c r="G282" i="3"/>
  <c r="H282" i="3"/>
  <c r="I282" i="3"/>
  <c r="J282" i="3"/>
  <c r="K282" i="3"/>
  <c r="L282" i="3"/>
  <c r="C283" i="3"/>
  <c r="G283" i="3"/>
  <c r="H283" i="3"/>
  <c r="I283" i="3"/>
  <c r="J283" i="3"/>
  <c r="K283" i="3"/>
  <c r="L283" i="3"/>
  <c r="C284" i="3"/>
  <c r="G284" i="3"/>
  <c r="H284" i="3"/>
  <c r="I284" i="3"/>
  <c r="J284" i="3"/>
  <c r="K284" i="3"/>
  <c r="L284" i="3"/>
  <c r="C285" i="3"/>
  <c r="G285" i="3"/>
  <c r="H285" i="3"/>
  <c r="I285" i="3"/>
  <c r="J285" i="3"/>
  <c r="K285" i="3"/>
  <c r="L285" i="3"/>
  <c r="C286" i="3"/>
  <c r="G286" i="3"/>
  <c r="H286" i="3"/>
  <c r="I286" i="3"/>
  <c r="J286" i="3"/>
  <c r="K286" i="3"/>
  <c r="L286" i="3"/>
  <c r="C287" i="3"/>
  <c r="G287" i="3"/>
  <c r="H287" i="3"/>
  <c r="I287" i="3"/>
  <c r="J287" i="3"/>
  <c r="K287" i="3"/>
  <c r="L287" i="3"/>
  <c r="C288" i="3"/>
  <c r="G288" i="3"/>
  <c r="H288" i="3"/>
  <c r="I288" i="3"/>
  <c r="J288" i="3"/>
  <c r="K288" i="3"/>
  <c r="L288" i="3"/>
  <c r="C289" i="3"/>
  <c r="G289" i="3"/>
  <c r="H289" i="3"/>
  <c r="I289" i="3"/>
  <c r="J289" i="3"/>
  <c r="K289" i="3"/>
  <c r="L289" i="3"/>
  <c r="C290" i="3"/>
  <c r="G290" i="3"/>
  <c r="H290" i="3"/>
  <c r="I290" i="3"/>
  <c r="J290" i="3"/>
  <c r="K290" i="3"/>
  <c r="L290" i="3"/>
  <c r="C291" i="3"/>
  <c r="G291" i="3"/>
  <c r="H291" i="3"/>
  <c r="I291" i="3"/>
  <c r="J291" i="3"/>
  <c r="K291" i="3"/>
  <c r="L291" i="3"/>
  <c r="C292" i="3"/>
  <c r="G292" i="3"/>
  <c r="H292" i="3"/>
  <c r="I292" i="3"/>
  <c r="J292" i="3"/>
  <c r="K292" i="3"/>
  <c r="L292" i="3"/>
  <c r="C293" i="3"/>
  <c r="G293" i="3"/>
  <c r="H293" i="3"/>
  <c r="I293" i="3"/>
  <c r="J293" i="3"/>
  <c r="K293" i="3"/>
  <c r="L293" i="3"/>
  <c r="C294" i="3"/>
  <c r="G294" i="3"/>
  <c r="H294" i="3"/>
  <c r="I294" i="3"/>
  <c r="J294" i="3"/>
  <c r="K294" i="3"/>
  <c r="L294" i="3"/>
  <c r="C295" i="3"/>
  <c r="G295" i="3"/>
  <c r="H295" i="3"/>
  <c r="I295" i="3"/>
  <c r="J295" i="3"/>
  <c r="K295" i="3"/>
  <c r="L295" i="3"/>
  <c r="C296" i="3"/>
  <c r="G296" i="3"/>
  <c r="H296" i="3"/>
  <c r="I296" i="3"/>
  <c r="J296" i="3"/>
  <c r="K296" i="3"/>
  <c r="L296" i="3"/>
  <c r="C297" i="3"/>
  <c r="G297" i="3"/>
  <c r="H297" i="3"/>
  <c r="I297" i="3"/>
  <c r="J297" i="3"/>
  <c r="K297" i="3"/>
  <c r="L297" i="3"/>
  <c r="C298" i="3"/>
  <c r="G298" i="3"/>
  <c r="H298" i="3"/>
  <c r="I298" i="3"/>
  <c r="J298" i="3"/>
  <c r="K298" i="3"/>
  <c r="L298" i="3"/>
  <c r="C299" i="3"/>
  <c r="G299" i="3"/>
  <c r="H299" i="3"/>
  <c r="I299" i="3"/>
  <c r="J299" i="3"/>
  <c r="K299" i="3"/>
  <c r="L299" i="3"/>
  <c r="C300" i="3"/>
  <c r="G300" i="3"/>
  <c r="H300" i="3"/>
  <c r="I300" i="3"/>
  <c r="J300" i="3"/>
  <c r="K300" i="3"/>
  <c r="L300" i="3"/>
  <c r="C301" i="3"/>
  <c r="G301" i="3"/>
  <c r="H301" i="3"/>
  <c r="I301" i="3"/>
  <c r="J301" i="3"/>
  <c r="K301" i="3"/>
  <c r="L301" i="3"/>
  <c r="C302" i="3"/>
  <c r="G302" i="3"/>
  <c r="H302" i="3"/>
  <c r="I302" i="3"/>
  <c r="J302" i="3"/>
  <c r="K302" i="3"/>
  <c r="L302" i="3"/>
  <c r="C303" i="3"/>
  <c r="G303" i="3"/>
  <c r="H303" i="3"/>
  <c r="I303" i="3"/>
  <c r="J303" i="3"/>
  <c r="K303" i="3"/>
  <c r="L303" i="3"/>
  <c r="C304" i="3"/>
  <c r="G304" i="3"/>
  <c r="H304" i="3"/>
  <c r="I304" i="3"/>
  <c r="J304" i="3"/>
  <c r="K304" i="3"/>
  <c r="L304" i="3"/>
  <c r="C305" i="3"/>
  <c r="G305" i="3"/>
  <c r="H305" i="3"/>
  <c r="I305" i="3"/>
  <c r="J305" i="3"/>
  <c r="K305" i="3"/>
  <c r="L305" i="3"/>
  <c r="C306" i="3"/>
  <c r="G306" i="3"/>
  <c r="H306" i="3"/>
  <c r="I306" i="3"/>
  <c r="J306" i="3"/>
  <c r="K306" i="3"/>
  <c r="L306" i="3"/>
  <c r="C307" i="3"/>
  <c r="G307" i="3"/>
  <c r="H307" i="3"/>
  <c r="I307" i="3"/>
  <c r="J307" i="3"/>
  <c r="K307" i="3"/>
  <c r="L307" i="3"/>
  <c r="C308" i="3"/>
  <c r="G308" i="3"/>
  <c r="H308" i="3"/>
  <c r="I308" i="3"/>
  <c r="J308" i="3"/>
  <c r="K308" i="3"/>
  <c r="L308" i="3"/>
  <c r="C309" i="3"/>
  <c r="G309" i="3"/>
  <c r="H309" i="3"/>
  <c r="I309" i="3"/>
  <c r="J309" i="3"/>
  <c r="K309" i="3"/>
  <c r="L309" i="3"/>
  <c r="C310" i="3"/>
  <c r="G310" i="3"/>
  <c r="H310" i="3"/>
  <c r="I310" i="3"/>
  <c r="J310" i="3"/>
  <c r="K310" i="3"/>
  <c r="L310" i="3"/>
  <c r="C311" i="3"/>
  <c r="G311" i="3"/>
  <c r="H311" i="3"/>
  <c r="I311" i="3"/>
  <c r="J311" i="3"/>
  <c r="K311" i="3"/>
  <c r="L311" i="3"/>
  <c r="C312" i="3"/>
  <c r="G312" i="3"/>
  <c r="H312" i="3"/>
  <c r="I312" i="3"/>
  <c r="J312" i="3"/>
  <c r="K312" i="3"/>
  <c r="L312" i="3"/>
  <c r="C313" i="3"/>
  <c r="G313" i="3"/>
  <c r="H313" i="3"/>
  <c r="I313" i="3"/>
  <c r="J313" i="3"/>
  <c r="K313" i="3"/>
  <c r="L313" i="3"/>
  <c r="C314" i="3"/>
  <c r="G314" i="3"/>
  <c r="H314" i="3"/>
  <c r="I314" i="3"/>
  <c r="J314" i="3"/>
  <c r="K314" i="3"/>
  <c r="L314" i="3"/>
  <c r="C315" i="3"/>
  <c r="G315" i="3"/>
  <c r="H315" i="3"/>
  <c r="I315" i="3"/>
  <c r="J315" i="3"/>
  <c r="K315" i="3"/>
  <c r="L315" i="3"/>
  <c r="C316" i="3"/>
  <c r="G316" i="3"/>
  <c r="H316" i="3"/>
  <c r="I316" i="3"/>
  <c r="J316" i="3"/>
  <c r="K316" i="3"/>
  <c r="L316" i="3"/>
  <c r="C317" i="3"/>
  <c r="G317" i="3"/>
  <c r="H317" i="3"/>
  <c r="I317" i="3"/>
  <c r="J317" i="3"/>
  <c r="K317" i="3"/>
  <c r="L317" i="3"/>
  <c r="C318" i="3"/>
  <c r="G318" i="3"/>
  <c r="H318" i="3"/>
  <c r="I318" i="3"/>
  <c r="J318" i="3"/>
  <c r="K318" i="3"/>
  <c r="L318" i="3"/>
  <c r="C319" i="3"/>
  <c r="G319" i="3"/>
  <c r="H319" i="3"/>
  <c r="I319" i="3"/>
  <c r="J319" i="3"/>
  <c r="K319" i="3"/>
  <c r="L319" i="3"/>
  <c r="C320" i="3"/>
  <c r="G320" i="3"/>
  <c r="H320" i="3"/>
  <c r="I320" i="3"/>
  <c r="J320" i="3"/>
  <c r="K320" i="3"/>
  <c r="L320" i="3"/>
  <c r="C321" i="3"/>
  <c r="G321" i="3"/>
  <c r="H321" i="3"/>
  <c r="I321" i="3"/>
  <c r="J321" i="3"/>
  <c r="K321" i="3"/>
  <c r="L321" i="3"/>
  <c r="C322" i="3"/>
  <c r="G322" i="3"/>
  <c r="H322" i="3"/>
  <c r="I322" i="3"/>
  <c r="J322" i="3"/>
  <c r="K322" i="3"/>
  <c r="L322" i="3"/>
  <c r="C323" i="3"/>
  <c r="G323" i="3"/>
  <c r="H323" i="3"/>
  <c r="I323" i="3"/>
  <c r="J323" i="3"/>
  <c r="K323" i="3"/>
  <c r="L323" i="3"/>
  <c r="C324" i="3"/>
  <c r="G324" i="3"/>
  <c r="H324" i="3"/>
  <c r="I324" i="3"/>
  <c r="J324" i="3"/>
  <c r="K324" i="3"/>
  <c r="L324" i="3"/>
  <c r="C325" i="3"/>
  <c r="G325" i="3"/>
  <c r="H325" i="3"/>
  <c r="I325" i="3"/>
  <c r="J325" i="3"/>
  <c r="K325" i="3"/>
  <c r="L325" i="3"/>
  <c r="C326" i="3"/>
  <c r="G326" i="3"/>
  <c r="H326" i="3"/>
  <c r="I326" i="3"/>
  <c r="J326" i="3"/>
  <c r="K326" i="3"/>
  <c r="L326" i="3"/>
  <c r="C327" i="3"/>
  <c r="G327" i="3"/>
  <c r="H327" i="3"/>
  <c r="I327" i="3"/>
  <c r="J327" i="3"/>
  <c r="K327" i="3"/>
  <c r="L327" i="3"/>
  <c r="C328" i="3"/>
  <c r="G328" i="3"/>
  <c r="H328" i="3"/>
  <c r="I328" i="3"/>
  <c r="J328" i="3"/>
  <c r="K328" i="3"/>
  <c r="L328" i="3"/>
  <c r="C329" i="3"/>
  <c r="G329" i="3"/>
  <c r="H329" i="3"/>
  <c r="I329" i="3"/>
  <c r="J329" i="3"/>
  <c r="K329" i="3"/>
  <c r="L329" i="3"/>
  <c r="C330" i="3"/>
  <c r="G330" i="3"/>
  <c r="H330" i="3"/>
  <c r="I330" i="3"/>
  <c r="J330" i="3"/>
  <c r="K330" i="3"/>
  <c r="L330" i="3"/>
  <c r="C331" i="3"/>
  <c r="G331" i="3"/>
  <c r="H331" i="3"/>
  <c r="I331" i="3"/>
  <c r="J331" i="3"/>
  <c r="K331" i="3"/>
  <c r="L331" i="3"/>
  <c r="C332" i="3"/>
  <c r="G332" i="3"/>
  <c r="H332" i="3"/>
  <c r="I332" i="3"/>
  <c r="J332" i="3"/>
  <c r="K332" i="3"/>
  <c r="L332" i="3"/>
  <c r="C333" i="3"/>
  <c r="G333" i="3"/>
  <c r="H333" i="3"/>
  <c r="I333" i="3"/>
  <c r="J333" i="3"/>
  <c r="K333" i="3"/>
  <c r="L333" i="3"/>
  <c r="C334" i="3"/>
  <c r="G334" i="3"/>
  <c r="H334" i="3"/>
  <c r="I334" i="3"/>
  <c r="J334" i="3"/>
  <c r="K334" i="3"/>
  <c r="L334" i="3"/>
  <c r="C335" i="3"/>
  <c r="G335" i="3"/>
  <c r="H335" i="3"/>
  <c r="I335" i="3"/>
  <c r="J335" i="3"/>
  <c r="K335" i="3"/>
  <c r="L335" i="3"/>
  <c r="C336" i="3"/>
  <c r="G336" i="3"/>
  <c r="H336" i="3"/>
  <c r="I336" i="3"/>
  <c r="J336" i="3"/>
  <c r="K336" i="3"/>
  <c r="L336" i="3"/>
  <c r="C337" i="3"/>
  <c r="G337" i="3"/>
  <c r="H337" i="3"/>
  <c r="I337" i="3"/>
  <c r="J337" i="3"/>
  <c r="K337" i="3"/>
  <c r="L337" i="3"/>
  <c r="C338" i="3"/>
  <c r="G338" i="3"/>
  <c r="H338" i="3"/>
  <c r="I338" i="3"/>
  <c r="J338" i="3"/>
  <c r="K338" i="3"/>
  <c r="L338" i="3"/>
  <c r="C339" i="3"/>
  <c r="G339" i="3"/>
  <c r="H339" i="3"/>
  <c r="I339" i="3"/>
  <c r="J339" i="3"/>
  <c r="K339" i="3"/>
  <c r="L339" i="3"/>
  <c r="C340" i="3"/>
  <c r="G340" i="3"/>
  <c r="H340" i="3"/>
  <c r="I340" i="3"/>
  <c r="J340" i="3"/>
  <c r="K340" i="3"/>
  <c r="L340" i="3"/>
  <c r="C341" i="3"/>
  <c r="G341" i="3"/>
  <c r="H341" i="3"/>
  <c r="I341" i="3"/>
  <c r="J341" i="3"/>
  <c r="K341" i="3"/>
  <c r="L341" i="3"/>
  <c r="C342" i="3"/>
  <c r="G342" i="3"/>
  <c r="H342" i="3"/>
  <c r="I342" i="3"/>
  <c r="J342" i="3"/>
  <c r="K342" i="3"/>
  <c r="L342" i="3"/>
  <c r="C343" i="3"/>
  <c r="G343" i="3"/>
  <c r="H343" i="3"/>
  <c r="I343" i="3"/>
  <c r="J343" i="3"/>
  <c r="K343" i="3"/>
  <c r="L343" i="3"/>
  <c r="C344" i="3"/>
  <c r="G344" i="3"/>
  <c r="H344" i="3"/>
  <c r="I344" i="3"/>
  <c r="J344" i="3"/>
  <c r="K344" i="3"/>
  <c r="L344" i="3"/>
  <c r="C345" i="3"/>
  <c r="G345" i="3"/>
  <c r="H345" i="3"/>
  <c r="I345" i="3"/>
  <c r="J345" i="3"/>
  <c r="K345" i="3"/>
  <c r="L345" i="3"/>
  <c r="C346" i="3"/>
  <c r="G346" i="3"/>
  <c r="H346" i="3"/>
  <c r="I346" i="3"/>
  <c r="J346" i="3"/>
  <c r="K346" i="3"/>
  <c r="L346" i="3"/>
  <c r="C347" i="3"/>
  <c r="G347" i="3"/>
  <c r="H347" i="3"/>
  <c r="I347" i="3"/>
  <c r="J347" i="3"/>
  <c r="K347" i="3"/>
  <c r="L347" i="3"/>
  <c r="C348" i="3"/>
  <c r="G348" i="3"/>
  <c r="H348" i="3"/>
  <c r="I348" i="3"/>
  <c r="J348" i="3"/>
  <c r="K348" i="3"/>
  <c r="L348" i="3"/>
  <c r="C349" i="3"/>
  <c r="G349" i="3"/>
  <c r="H349" i="3"/>
  <c r="I349" i="3"/>
  <c r="J349" i="3"/>
  <c r="K349" i="3"/>
  <c r="L349" i="3"/>
  <c r="C350" i="3"/>
  <c r="G350" i="3"/>
  <c r="H350" i="3"/>
  <c r="I350" i="3"/>
  <c r="J350" i="3"/>
  <c r="K350" i="3"/>
  <c r="L350" i="3"/>
  <c r="C351" i="3"/>
  <c r="G351" i="3"/>
  <c r="H351" i="3"/>
  <c r="I351" i="3"/>
  <c r="J351" i="3"/>
  <c r="K351" i="3"/>
  <c r="L351" i="3"/>
  <c r="C352" i="3"/>
  <c r="G352" i="3"/>
  <c r="H352" i="3"/>
  <c r="I352" i="3"/>
  <c r="J352" i="3"/>
  <c r="K352" i="3"/>
  <c r="L352" i="3"/>
  <c r="C353" i="3"/>
  <c r="G353" i="3"/>
  <c r="H353" i="3"/>
  <c r="I353" i="3"/>
  <c r="J353" i="3"/>
  <c r="K353" i="3"/>
  <c r="L353" i="3"/>
  <c r="C354" i="3"/>
  <c r="G354" i="3"/>
  <c r="H354" i="3"/>
  <c r="I354" i="3"/>
  <c r="J354" i="3"/>
  <c r="K354" i="3"/>
  <c r="L354" i="3"/>
  <c r="C355" i="3"/>
  <c r="G355" i="3"/>
  <c r="H355" i="3"/>
  <c r="I355" i="3"/>
  <c r="J355" i="3"/>
  <c r="K355" i="3"/>
  <c r="L355" i="3"/>
  <c r="C356" i="3"/>
  <c r="G356" i="3"/>
  <c r="H356" i="3"/>
  <c r="I356" i="3"/>
  <c r="J356" i="3"/>
  <c r="K356" i="3"/>
  <c r="L356" i="3"/>
  <c r="C357" i="3"/>
  <c r="G357" i="3"/>
  <c r="H357" i="3"/>
  <c r="I357" i="3"/>
  <c r="J357" i="3"/>
  <c r="K357" i="3"/>
  <c r="L357" i="3"/>
  <c r="C358" i="3"/>
  <c r="G358" i="3"/>
  <c r="H358" i="3"/>
  <c r="I358" i="3"/>
  <c r="J358" i="3"/>
  <c r="K358" i="3"/>
  <c r="L358" i="3"/>
  <c r="C359" i="3"/>
  <c r="G359" i="3"/>
  <c r="H359" i="3"/>
  <c r="I359" i="3"/>
  <c r="J359" i="3"/>
  <c r="K359" i="3"/>
  <c r="L359" i="3"/>
  <c r="C360" i="3"/>
  <c r="G360" i="3"/>
  <c r="H360" i="3"/>
  <c r="I360" i="3"/>
  <c r="J360" i="3"/>
  <c r="K360" i="3"/>
  <c r="L360" i="3"/>
  <c r="C361" i="3"/>
  <c r="G361" i="3"/>
  <c r="H361" i="3"/>
  <c r="I361" i="3"/>
  <c r="J361" i="3"/>
  <c r="K361" i="3"/>
  <c r="L361" i="3"/>
  <c r="C362" i="3"/>
  <c r="G362" i="3"/>
  <c r="H362" i="3"/>
  <c r="I362" i="3"/>
  <c r="J362" i="3"/>
  <c r="K362" i="3"/>
  <c r="L362" i="3"/>
  <c r="C363" i="3"/>
  <c r="G363" i="3"/>
  <c r="H363" i="3"/>
  <c r="I363" i="3"/>
  <c r="J363" i="3"/>
  <c r="K363" i="3"/>
  <c r="L363" i="3"/>
  <c r="C364" i="3"/>
  <c r="G364" i="3"/>
  <c r="H364" i="3"/>
  <c r="I364" i="3"/>
  <c r="J364" i="3"/>
  <c r="K364" i="3"/>
  <c r="L364" i="3"/>
  <c r="C365" i="3"/>
  <c r="G365" i="3"/>
  <c r="H365" i="3"/>
  <c r="I365" i="3"/>
  <c r="J365" i="3"/>
  <c r="K365" i="3"/>
  <c r="L365" i="3"/>
  <c r="C366" i="3"/>
  <c r="G366" i="3"/>
  <c r="H366" i="3"/>
  <c r="I366" i="3"/>
  <c r="J366" i="3"/>
  <c r="K366" i="3"/>
  <c r="L366" i="3"/>
  <c r="C367" i="3"/>
  <c r="G367" i="3"/>
  <c r="H367" i="3"/>
  <c r="I367" i="3"/>
  <c r="J367" i="3"/>
  <c r="K367" i="3"/>
  <c r="L367" i="3"/>
  <c r="C368" i="3"/>
  <c r="G368" i="3"/>
  <c r="H368" i="3"/>
  <c r="I368" i="3"/>
  <c r="J368" i="3"/>
  <c r="K368" i="3"/>
  <c r="L368" i="3"/>
  <c r="C369" i="3"/>
  <c r="G369" i="3"/>
  <c r="H369" i="3"/>
  <c r="I369" i="3"/>
  <c r="J369" i="3"/>
  <c r="K369" i="3"/>
  <c r="L369" i="3"/>
  <c r="C370" i="3"/>
  <c r="G370" i="3"/>
  <c r="H370" i="3"/>
  <c r="I370" i="3"/>
  <c r="J370" i="3"/>
  <c r="K370" i="3"/>
  <c r="L370" i="3"/>
  <c r="C371" i="3"/>
  <c r="G371" i="3"/>
  <c r="H371" i="3"/>
  <c r="I371" i="3"/>
  <c r="J371" i="3"/>
  <c r="K371" i="3"/>
  <c r="L371" i="3"/>
  <c r="C372" i="3"/>
  <c r="G372" i="3"/>
  <c r="H372" i="3"/>
  <c r="I372" i="3"/>
  <c r="J372" i="3"/>
  <c r="K372" i="3"/>
  <c r="L372" i="3"/>
  <c r="C373" i="3"/>
  <c r="G373" i="3"/>
  <c r="H373" i="3"/>
  <c r="I373" i="3"/>
  <c r="J373" i="3"/>
  <c r="K373" i="3"/>
  <c r="L373" i="3"/>
  <c r="C374" i="3"/>
  <c r="G374" i="3"/>
  <c r="H374" i="3"/>
  <c r="I374" i="3"/>
  <c r="J374" i="3"/>
  <c r="K374" i="3"/>
  <c r="L374" i="3"/>
  <c r="C375" i="3"/>
  <c r="G375" i="3"/>
  <c r="H375" i="3"/>
  <c r="I375" i="3"/>
  <c r="J375" i="3"/>
  <c r="K375" i="3"/>
  <c r="L375" i="3"/>
  <c r="C376" i="3"/>
  <c r="G376" i="3"/>
  <c r="H376" i="3"/>
  <c r="I376" i="3"/>
  <c r="J376" i="3"/>
  <c r="K376" i="3"/>
  <c r="L376" i="3"/>
  <c r="C377" i="3"/>
  <c r="G377" i="3"/>
  <c r="H377" i="3"/>
  <c r="I377" i="3"/>
  <c r="J377" i="3"/>
  <c r="K377" i="3"/>
  <c r="L377" i="3"/>
  <c r="C378" i="3"/>
  <c r="G378" i="3"/>
  <c r="H378" i="3"/>
  <c r="I378" i="3"/>
  <c r="J378" i="3"/>
  <c r="K378" i="3"/>
  <c r="L378" i="3"/>
  <c r="C379" i="3"/>
  <c r="G379" i="3"/>
  <c r="H379" i="3"/>
  <c r="I379" i="3"/>
  <c r="J379" i="3"/>
  <c r="K379" i="3"/>
  <c r="L379" i="3"/>
  <c r="C380" i="3"/>
  <c r="G380" i="3"/>
  <c r="H380" i="3"/>
  <c r="I380" i="3"/>
  <c r="J380" i="3"/>
  <c r="K380" i="3"/>
  <c r="L380" i="3"/>
  <c r="C381" i="3"/>
  <c r="G381" i="3"/>
  <c r="H381" i="3"/>
  <c r="I381" i="3"/>
  <c r="J381" i="3"/>
  <c r="K381" i="3"/>
  <c r="L381" i="3"/>
  <c r="C382" i="3"/>
  <c r="G382" i="3"/>
  <c r="H382" i="3"/>
  <c r="I382" i="3"/>
  <c r="J382" i="3"/>
  <c r="K382" i="3"/>
  <c r="L382" i="3"/>
  <c r="C383" i="3"/>
  <c r="G383" i="3"/>
  <c r="H383" i="3"/>
  <c r="I383" i="3"/>
  <c r="J383" i="3"/>
  <c r="K383" i="3"/>
  <c r="L383" i="3"/>
  <c r="C384" i="3"/>
  <c r="G384" i="3"/>
  <c r="H384" i="3"/>
  <c r="I384" i="3"/>
  <c r="J384" i="3"/>
  <c r="K384" i="3"/>
  <c r="L384" i="3"/>
  <c r="C385" i="3"/>
  <c r="G385" i="3"/>
  <c r="H385" i="3"/>
  <c r="I385" i="3"/>
  <c r="J385" i="3"/>
  <c r="K385" i="3"/>
  <c r="L385" i="3"/>
  <c r="C386" i="3"/>
  <c r="G386" i="3"/>
  <c r="H386" i="3"/>
  <c r="I386" i="3"/>
  <c r="J386" i="3"/>
  <c r="K386" i="3"/>
  <c r="L386" i="3"/>
  <c r="C387" i="3"/>
  <c r="G387" i="3"/>
  <c r="H387" i="3"/>
  <c r="I387" i="3"/>
  <c r="J387" i="3"/>
  <c r="K387" i="3"/>
  <c r="L387" i="3"/>
  <c r="C388" i="3"/>
  <c r="G388" i="3"/>
  <c r="H388" i="3"/>
  <c r="I388" i="3"/>
  <c r="J388" i="3"/>
  <c r="K388" i="3"/>
  <c r="L388" i="3"/>
  <c r="C389" i="3"/>
  <c r="G389" i="3"/>
  <c r="H389" i="3"/>
  <c r="I389" i="3"/>
  <c r="J389" i="3"/>
  <c r="K389" i="3"/>
  <c r="L389" i="3"/>
  <c r="C390" i="3"/>
  <c r="G390" i="3"/>
  <c r="H390" i="3"/>
  <c r="I390" i="3"/>
  <c r="J390" i="3"/>
  <c r="K390" i="3"/>
  <c r="L390" i="3"/>
  <c r="C391" i="3"/>
  <c r="G391" i="3"/>
  <c r="H391" i="3"/>
  <c r="I391" i="3"/>
  <c r="J391" i="3"/>
  <c r="K391" i="3"/>
  <c r="L391" i="3"/>
  <c r="C392" i="3"/>
  <c r="G392" i="3"/>
  <c r="H392" i="3"/>
  <c r="I392" i="3"/>
  <c r="J392" i="3"/>
  <c r="K392" i="3"/>
  <c r="L392" i="3"/>
  <c r="C393" i="3"/>
  <c r="G393" i="3"/>
  <c r="H393" i="3"/>
  <c r="I393" i="3"/>
  <c r="J393" i="3"/>
  <c r="K393" i="3"/>
  <c r="L393" i="3"/>
  <c r="C394" i="3"/>
  <c r="G394" i="3"/>
  <c r="H394" i="3"/>
  <c r="I394" i="3"/>
  <c r="J394" i="3"/>
  <c r="K394" i="3"/>
  <c r="L394" i="3"/>
  <c r="C395" i="3"/>
  <c r="G395" i="3"/>
  <c r="H395" i="3"/>
  <c r="I395" i="3"/>
  <c r="J395" i="3"/>
  <c r="K395" i="3"/>
  <c r="L395" i="3"/>
  <c r="C396" i="3"/>
  <c r="G396" i="3"/>
  <c r="H396" i="3"/>
  <c r="I396" i="3"/>
  <c r="J396" i="3"/>
  <c r="K396" i="3"/>
  <c r="L396" i="3"/>
  <c r="C397" i="3"/>
  <c r="G397" i="3"/>
  <c r="H397" i="3"/>
  <c r="I397" i="3"/>
  <c r="J397" i="3"/>
  <c r="K397" i="3"/>
  <c r="L397" i="3"/>
  <c r="C398" i="3"/>
  <c r="G398" i="3"/>
  <c r="H398" i="3"/>
  <c r="I398" i="3"/>
  <c r="J398" i="3"/>
  <c r="K398" i="3"/>
  <c r="L398" i="3"/>
  <c r="C399" i="3"/>
  <c r="G399" i="3"/>
  <c r="H399" i="3"/>
  <c r="I399" i="3"/>
  <c r="J399" i="3"/>
  <c r="K399" i="3"/>
  <c r="L399" i="3"/>
  <c r="C400" i="3"/>
  <c r="G400" i="3"/>
  <c r="H400" i="3"/>
  <c r="I400" i="3"/>
  <c r="J400" i="3"/>
  <c r="K400" i="3"/>
  <c r="L400" i="3"/>
  <c r="C401" i="3"/>
  <c r="G401" i="3"/>
  <c r="H401" i="3"/>
  <c r="I401" i="3"/>
  <c r="J401" i="3"/>
  <c r="K401" i="3"/>
  <c r="L401" i="3"/>
  <c r="C402" i="3"/>
  <c r="G402" i="3"/>
  <c r="H402" i="3"/>
  <c r="I402" i="3"/>
  <c r="J402" i="3"/>
  <c r="K402" i="3"/>
  <c r="L402" i="3"/>
  <c r="C403" i="3"/>
  <c r="G403" i="3"/>
  <c r="H403" i="3"/>
  <c r="I403" i="3"/>
  <c r="J403" i="3"/>
  <c r="K403" i="3"/>
  <c r="L403" i="3"/>
  <c r="C404" i="3"/>
  <c r="G404" i="3"/>
  <c r="H404" i="3"/>
  <c r="I404" i="3"/>
  <c r="J404" i="3"/>
  <c r="K404" i="3"/>
  <c r="L404" i="3"/>
  <c r="C405" i="3"/>
  <c r="G405" i="3"/>
  <c r="H405" i="3"/>
  <c r="I405" i="3"/>
  <c r="J405" i="3"/>
  <c r="K405" i="3"/>
  <c r="L405" i="3"/>
  <c r="C406" i="3"/>
  <c r="G406" i="3"/>
  <c r="H406" i="3"/>
  <c r="I406" i="3"/>
  <c r="J406" i="3"/>
  <c r="K406" i="3"/>
  <c r="L406" i="3"/>
  <c r="C407" i="3"/>
  <c r="G407" i="3"/>
  <c r="H407" i="3"/>
  <c r="I407" i="3"/>
  <c r="J407" i="3"/>
  <c r="K407" i="3"/>
  <c r="L407" i="3"/>
  <c r="C408" i="3"/>
  <c r="G408" i="3"/>
  <c r="H408" i="3"/>
  <c r="I408" i="3"/>
  <c r="J408" i="3"/>
  <c r="K408" i="3"/>
  <c r="L408" i="3"/>
  <c r="C409" i="3"/>
  <c r="G409" i="3"/>
  <c r="H409" i="3"/>
  <c r="I409" i="3"/>
  <c r="J409" i="3"/>
  <c r="K409" i="3"/>
  <c r="L409" i="3"/>
  <c r="C410" i="3"/>
  <c r="G410" i="3"/>
  <c r="H410" i="3"/>
  <c r="I410" i="3"/>
  <c r="J410" i="3"/>
  <c r="K410" i="3"/>
  <c r="L410" i="3"/>
  <c r="C411" i="3"/>
  <c r="G411" i="3"/>
  <c r="H411" i="3"/>
  <c r="I411" i="3"/>
  <c r="J411" i="3"/>
  <c r="K411" i="3"/>
  <c r="L411" i="3"/>
  <c r="C412" i="3"/>
  <c r="G412" i="3"/>
  <c r="H412" i="3"/>
  <c r="I412" i="3"/>
  <c r="J412" i="3"/>
  <c r="K412" i="3"/>
  <c r="L412" i="3"/>
  <c r="C413" i="3"/>
  <c r="G413" i="3"/>
  <c r="H413" i="3"/>
  <c r="I413" i="3"/>
  <c r="J413" i="3"/>
  <c r="K413" i="3"/>
  <c r="L413" i="3"/>
  <c r="C414" i="3"/>
  <c r="G414" i="3"/>
  <c r="H414" i="3"/>
  <c r="I414" i="3"/>
  <c r="J414" i="3"/>
  <c r="K414" i="3"/>
  <c r="L414" i="3"/>
  <c r="C415" i="3"/>
  <c r="G415" i="3"/>
  <c r="H415" i="3"/>
  <c r="I415" i="3"/>
  <c r="J415" i="3"/>
  <c r="K415" i="3"/>
  <c r="L415" i="3"/>
  <c r="C416" i="3"/>
  <c r="G416" i="3"/>
  <c r="H416" i="3"/>
  <c r="I416" i="3"/>
  <c r="J416" i="3"/>
  <c r="K416" i="3"/>
  <c r="L416" i="3"/>
  <c r="C417" i="3"/>
  <c r="G417" i="3"/>
  <c r="H417" i="3"/>
  <c r="I417" i="3"/>
  <c r="J417" i="3"/>
  <c r="K417" i="3"/>
  <c r="L417" i="3"/>
  <c r="C418" i="3"/>
  <c r="G418" i="3"/>
  <c r="H418" i="3"/>
  <c r="I418" i="3"/>
  <c r="J418" i="3"/>
  <c r="K418" i="3"/>
  <c r="L418" i="3"/>
  <c r="C419" i="3"/>
  <c r="G419" i="3"/>
  <c r="H419" i="3"/>
  <c r="I419" i="3"/>
  <c r="J419" i="3"/>
  <c r="K419" i="3"/>
  <c r="L419" i="3"/>
  <c r="C420" i="3"/>
  <c r="G420" i="3"/>
  <c r="H420" i="3"/>
  <c r="I420" i="3"/>
  <c r="J420" i="3"/>
  <c r="K420" i="3"/>
  <c r="L420" i="3"/>
  <c r="C421" i="3"/>
  <c r="G421" i="3"/>
  <c r="H421" i="3"/>
  <c r="I421" i="3"/>
  <c r="J421" i="3"/>
  <c r="K421" i="3"/>
  <c r="L421" i="3"/>
  <c r="C422" i="3"/>
  <c r="G422" i="3"/>
  <c r="H422" i="3"/>
  <c r="I422" i="3"/>
  <c r="J422" i="3"/>
  <c r="K422" i="3"/>
  <c r="L422" i="3"/>
  <c r="C423" i="3"/>
  <c r="G423" i="3"/>
  <c r="H423" i="3"/>
  <c r="I423" i="3"/>
  <c r="J423" i="3"/>
  <c r="K423" i="3"/>
  <c r="L423" i="3"/>
  <c r="C424" i="3"/>
  <c r="G424" i="3"/>
  <c r="H424" i="3"/>
  <c r="I424" i="3"/>
  <c r="J424" i="3"/>
  <c r="K424" i="3"/>
  <c r="L424" i="3"/>
  <c r="C425" i="3"/>
  <c r="G425" i="3"/>
  <c r="H425" i="3"/>
  <c r="I425" i="3"/>
  <c r="J425" i="3"/>
  <c r="K425" i="3"/>
  <c r="L425" i="3"/>
  <c r="C426" i="3"/>
  <c r="G426" i="3"/>
  <c r="H426" i="3"/>
  <c r="I426" i="3"/>
  <c r="J426" i="3"/>
  <c r="K426" i="3"/>
  <c r="L426" i="3"/>
  <c r="C427" i="3"/>
  <c r="G427" i="3"/>
  <c r="H427" i="3"/>
  <c r="I427" i="3"/>
  <c r="J427" i="3"/>
  <c r="K427" i="3"/>
  <c r="L427" i="3"/>
  <c r="C428" i="3"/>
  <c r="G428" i="3"/>
  <c r="H428" i="3"/>
  <c r="I428" i="3"/>
  <c r="J428" i="3"/>
  <c r="K428" i="3"/>
  <c r="L428" i="3"/>
  <c r="C429" i="3"/>
  <c r="G429" i="3"/>
  <c r="H429" i="3"/>
  <c r="I429" i="3"/>
  <c r="J429" i="3"/>
  <c r="K429" i="3"/>
  <c r="L429" i="3"/>
  <c r="C430" i="3"/>
  <c r="G430" i="3"/>
  <c r="H430" i="3"/>
  <c r="I430" i="3"/>
  <c r="J430" i="3"/>
  <c r="K430" i="3"/>
  <c r="L430" i="3"/>
  <c r="C431" i="3"/>
  <c r="G431" i="3"/>
  <c r="H431" i="3"/>
  <c r="I431" i="3"/>
  <c r="J431" i="3"/>
  <c r="K431" i="3"/>
  <c r="L431" i="3"/>
  <c r="C432" i="3"/>
  <c r="G432" i="3"/>
  <c r="H432" i="3"/>
  <c r="I432" i="3"/>
  <c r="J432" i="3"/>
  <c r="K432" i="3"/>
  <c r="L432" i="3"/>
  <c r="C433" i="3"/>
  <c r="G433" i="3"/>
  <c r="H433" i="3"/>
  <c r="I433" i="3"/>
  <c r="J433" i="3"/>
  <c r="K433" i="3"/>
  <c r="L433" i="3"/>
  <c r="C434" i="3"/>
  <c r="G434" i="3"/>
  <c r="H434" i="3"/>
  <c r="I434" i="3"/>
  <c r="J434" i="3"/>
  <c r="K434" i="3"/>
  <c r="L434" i="3"/>
  <c r="C435" i="3"/>
  <c r="G435" i="3"/>
  <c r="H435" i="3"/>
  <c r="I435" i="3"/>
  <c r="J435" i="3"/>
  <c r="K435" i="3"/>
  <c r="L435" i="3"/>
  <c r="C436" i="3"/>
  <c r="G436" i="3"/>
  <c r="H436" i="3"/>
  <c r="I436" i="3"/>
  <c r="J436" i="3"/>
  <c r="K436" i="3"/>
  <c r="L436" i="3"/>
  <c r="C437" i="3"/>
  <c r="G437" i="3"/>
  <c r="H437" i="3"/>
  <c r="I437" i="3"/>
  <c r="J437" i="3"/>
  <c r="K437" i="3"/>
  <c r="L437" i="3"/>
  <c r="C438" i="3"/>
  <c r="G438" i="3"/>
  <c r="H438" i="3"/>
  <c r="I438" i="3"/>
  <c r="J438" i="3"/>
  <c r="K438" i="3"/>
  <c r="L438" i="3"/>
  <c r="C439" i="3"/>
  <c r="G439" i="3"/>
  <c r="H439" i="3"/>
  <c r="I439" i="3"/>
  <c r="J439" i="3"/>
  <c r="K439" i="3"/>
  <c r="L439" i="3"/>
  <c r="C440" i="3"/>
  <c r="G440" i="3"/>
  <c r="H440" i="3"/>
  <c r="I440" i="3"/>
  <c r="J440" i="3"/>
  <c r="K440" i="3"/>
  <c r="L440" i="3"/>
  <c r="C441" i="3"/>
  <c r="G441" i="3"/>
  <c r="H441" i="3"/>
  <c r="I441" i="3"/>
  <c r="J441" i="3"/>
  <c r="K441" i="3"/>
  <c r="L441" i="3"/>
  <c r="C442" i="3"/>
  <c r="G442" i="3"/>
  <c r="H442" i="3"/>
  <c r="I442" i="3"/>
  <c r="J442" i="3"/>
  <c r="K442" i="3"/>
  <c r="L442" i="3"/>
  <c r="C443" i="3"/>
  <c r="G443" i="3"/>
  <c r="H443" i="3"/>
  <c r="I443" i="3"/>
  <c r="J443" i="3"/>
  <c r="K443" i="3"/>
  <c r="L443" i="3"/>
  <c r="C444" i="3"/>
  <c r="G444" i="3"/>
  <c r="H444" i="3"/>
  <c r="I444" i="3"/>
  <c r="J444" i="3"/>
  <c r="K444" i="3"/>
  <c r="L444" i="3"/>
  <c r="C445" i="3"/>
  <c r="G445" i="3"/>
  <c r="H445" i="3"/>
  <c r="I445" i="3"/>
  <c r="J445" i="3"/>
  <c r="K445" i="3"/>
  <c r="L445" i="3"/>
  <c r="C446" i="3"/>
  <c r="G446" i="3"/>
  <c r="H446" i="3"/>
  <c r="I446" i="3"/>
  <c r="J446" i="3"/>
  <c r="K446" i="3"/>
  <c r="L446" i="3"/>
  <c r="C447" i="3"/>
  <c r="G447" i="3"/>
  <c r="H447" i="3"/>
  <c r="I447" i="3"/>
  <c r="J447" i="3"/>
  <c r="K447" i="3"/>
  <c r="L447" i="3"/>
  <c r="C448" i="3"/>
  <c r="G448" i="3"/>
  <c r="H448" i="3"/>
  <c r="I448" i="3"/>
  <c r="J448" i="3"/>
  <c r="K448" i="3"/>
  <c r="L448" i="3"/>
  <c r="C449" i="3"/>
  <c r="G449" i="3"/>
  <c r="H449" i="3"/>
  <c r="I449" i="3"/>
  <c r="J449" i="3"/>
  <c r="K449" i="3"/>
  <c r="L449" i="3"/>
  <c r="C450" i="3"/>
  <c r="G450" i="3"/>
  <c r="H450" i="3"/>
  <c r="I450" i="3"/>
  <c r="J450" i="3"/>
  <c r="K450" i="3"/>
  <c r="L450" i="3"/>
  <c r="C451" i="3"/>
  <c r="G451" i="3"/>
  <c r="H451" i="3"/>
  <c r="I451" i="3"/>
  <c r="J451" i="3"/>
  <c r="K451" i="3"/>
  <c r="L451" i="3"/>
  <c r="C452" i="3"/>
  <c r="G452" i="3"/>
  <c r="H452" i="3"/>
  <c r="I452" i="3"/>
  <c r="J452" i="3"/>
  <c r="K452" i="3"/>
  <c r="L452" i="3"/>
  <c r="C453" i="3"/>
  <c r="G453" i="3"/>
  <c r="H453" i="3"/>
  <c r="I453" i="3"/>
  <c r="J453" i="3"/>
  <c r="K453" i="3"/>
  <c r="L453" i="3"/>
  <c r="C454" i="3"/>
  <c r="G454" i="3"/>
  <c r="H454" i="3"/>
  <c r="I454" i="3"/>
  <c r="J454" i="3"/>
  <c r="K454" i="3"/>
  <c r="L454" i="3"/>
  <c r="C455" i="3"/>
  <c r="G455" i="3"/>
  <c r="H455" i="3"/>
  <c r="I455" i="3"/>
  <c r="J455" i="3"/>
  <c r="K455" i="3"/>
  <c r="L455" i="3"/>
  <c r="C456" i="3"/>
  <c r="G456" i="3"/>
  <c r="H456" i="3"/>
  <c r="I456" i="3"/>
  <c r="J456" i="3"/>
  <c r="K456" i="3"/>
  <c r="L456" i="3"/>
  <c r="C457" i="3"/>
  <c r="G457" i="3"/>
  <c r="H457" i="3"/>
  <c r="I457" i="3"/>
  <c r="J457" i="3"/>
  <c r="K457" i="3"/>
  <c r="L457" i="3"/>
  <c r="C458" i="3"/>
  <c r="G458" i="3"/>
  <c r="H458" i="3"/>
  <c r="I458" i="3"/>
  <c r="J458" i="3"/>
  <c r="K458" i="3"/>
  <c r="L458" i="3"/>
  <c r="C459" i="3"/>
  <c r="G459" i="3"/>
  <c r="H459" i="3"/>
  <c r="I459" i="3"/>
  <c r="J459" i="3"/>
  <c r="K459" i="3"/>
  <c r="L459" i="3"/>
  <c r="C460" i="3"/>
  <c r="G460" i="3"/>
  <c r="H460" i="3"/>
  <c r="I460" i="3"/>
  <c r="J460" i="3"/>
  <c r="K460" i="3"/>
  <c r="L460" i="3"/>
  <c r="C461" i="3"/>
  <c r="G461" i="3"/>
  <c r="H461" i="3"/>
  <c r="I461" i="3"/>
  <c r="J461" i="3"/>
  <c r="K461" i="3"/>
  <c r="L461" i="3"/>
  <c r="C462" i="3"/>
  <c r="G462" i="3"/>
  <c r="H462" i="3"/>
  <c r="I462" i="3"/>
  <c r="J462" i="3"/>
  <c r="K462" i="3"/>
  <c r="L462" i="3"/>
  <c r="C463" i="3"/>
  <c r="G463" i="3"/>
  <c r="H463" i="3"/>
  <c r="I463" i="3"/>
  <c r="J463" i="3"/>
  <c r="K463" i="3"/>
  <c r="L463" i="3"/>
  <c r="C464" i="3"/>
  <c r="G464" i="3"/>
  <c r="H464" i="3"/>
  <c r="I464" i="3"/>
  <c r="J464" i="3"/>
  <c r="K464" i="3"/>
  <c r="L464" i="3"/>
  <c r="C465" i="3"/>
  <c r="G465" i="3"/>
  <c r="H465" i="3"/>
  <c r="I465" i="3"/>
  <c r="J465" i="3"/>
  <c r="K465" i="3"/>
  <c r="L465" i="3"/>
  <c r="C466" i="3"/>
  <c r="G466" i="3"/>
  <c r="H466" i="3"/>
  <c r="I466" i="3"/>
  <c r="J466" i="3"/>
  <c r="K466" i="3"/>
  <c r="L466" i="3"/>
  <c r="C467" i="3"/>
  <c r="G467" i="3"/>
  <c r="H467" i="3"/>
  <c r="I467" i="3"/>
  <c r="J467" i="3"/>
  <c r="K467" i="3"/>
  <c r="L467" i="3"/>
  <c r="C468" i="3"/>
  <c r="G468" i="3"/>
  <c r="H468" i="3"/>
  <c r="I468" i="3"/>
  <c r="J468" i="3"/>
  <c r="K468" i="3"/>
  <c r="L468" i="3"/>
  <c r="C469" i="3"/>
  <c r="G469" i="3"/>
  <c r="H469" i="3"/>
  <c r="I469" i="3"/>
  <c r="J469" i="3"/>
  <c r="K469" i="3"/>
  <c r="L469" i="3"/>
  <c r="C470" i="3"/>
  <c r="G470" i="3"/>
  <c r="H470" i="3"/>
  <c r="I470" i="3"/>
  <c r="J470" i="3"/>
  <c r="K470" i="3"/>
  <c r="L470" i="3"/>
  <c r="C471" i="3"/>
  <c r="G471" i="3"/>
  <c r="H471" i="3"/>
  <c r="I471" i="3"/>
  <c r="J471" i="3"/>
  <c r="K471" i="3"/>
  <c r="L471" i="3"/>
  <c r="C472" i="3"/>
  <c r="G472" i="3"/>
  <c r="H472" i="3"/>
  <c r="I472" i="3"/>
  <c r="J472" i="3"/>
  <c r="K472" i="3"/>
  <c r="L472" i="3"/>
  <c r="X3" i="3"/>
  <c r="H16" i="5"/>
  <c r="H17" i="5"/>
  <c r="H18" i="5"/>
  <c r="H19" i="5"/>
  <c r="H20" i="5"/>
  <c r="H15" i="5"/>
  <c r="Q6" i="5"/>
  <c r="Q7" i="5"/>
  <c r="Q8" i="5"/>
  <c r="Q9" i="5"/>
  <c r="Q10" i="5"/>
  <c r="Q5" i="5"/>
  <c r="H8" i="5"/>
  <c r="H10" i="5"/>
  <c r="H9" i="5"/>
  <c r="H7" i="5"/>
  <c r="H6" i="5"/>
  <c r="H5" i="5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2" i="1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2" i="7"/>
  <c r="J231" i="1"/>
  <c r="V8" i="3"/>
  <c r="U8" i="3"/>
  <c r="T8" i="3"/>
  <c r="S8" i="3"/>
  <c r="R8" i="3"/>
  <c r="Q8" i="3"/>
  <c r="N8" i="3"/>
  <c r="V7" i="3"/>
  <c r="U7" i="3"/>
  <c r="T7" i="3"/>
  <c r="S7" i="3"/>
  <c r="R7" i="3"/>
  <c r="Q7" i="3"/>
  <c r="O7" i="3"/>
  <c r="N7" i="3"/>
  <c r="V6" i="3"/>
  <c r="U6" i="3"/>
  <c r="T6" i="3"/>
  <c r="S6" i="3"/>
  <c r="R6" i="3"/>
  <c r="Q6" i="3"/>
  <c r="O6" i="3"/>
  <c r="N6" i="3"/>
  <c r="M6" i="3"/>
  <c r="V5" i="3"/>
  <c r="U5" i="3"/>
  <c r="T5" i="3"/>
  <c r="S5" i="3"/>
  <c r="R5" i="3"/>
  <c r="Q5" i="3"/>
  <c r="O5" i="3"/>
  <c r="N5" i="3"/>
  <c r="M5" i="3"/>
  <c r="V4" i="3"/>
  <c r="U4" i="3"/>
  <c r="T4" i="3"/>
  <c r="S4" i="3"/>
  <c r="R4" i="3"/>
  <c r="Q4" i="3"/>
  <c r="O4" i="3"/>
  <c r="N4" i="3"/>
  <c r="V3" i="3"/>
  <c r="U3" i="3"/>
  <c r="T3" i="3"/>
  <c r="S3" i="3"/>
  <c r="R3" i="3"/>
  <c r="Q3" i="3"/>
  <c r="O3" i="3"/>
  <c r="N3" i="3"/>
  <c r="W2" i="3"/>
  <c r="I3" i="2"/>
  <c r="J3" i="2"/>
  <c r="I4" i="2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88" i="2"/>
  <c r="J88" i="2"/>
  <c r="I89" i="2"/>
  <c r="J89" i="2"/>
  <c r="I90" i="2"/>
  <c r="J90" i="2"/>
  <c r="I91" i="2"/>
  <c r="J91" i="2"/>
  <c r="I92" i="2"/>
  <c r="J92" i="2"/>
  <c r="I93" i="2"/>
  <c r="J93" i="2"/>
  <c r="I94" i="2"/>
  <c r="J94" i="2"/>
  <c r="I95" i="2"/>
  <c r="J95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I113" i="2"/>
  <c r="J113" i="2"/>
  <c r="I114" i="2"/>
  <c r="J114" i="2"/>
  <c r="I115" i="2"/>
  <c r="J115" i="2"/>
  <c r="I116" i="2"/>
  <c r="J116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43" i="2"/>
  <c r="J143" i="2"/>
  <c r="I144" i="2"/>
  <c r="J144" i="2"/>
  <c r="I145" i="2"/>
  <c r="J145" i="2"/>
  <c r="I146" i="2"/>
  <c r="J146" i="2"/>
  <c r="I147" i="2"/>
  <c r="J147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190" i="2"/>
  <c r="J190" i="2"/>
  <c r="I191" i="2"/>
  <c r="J191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03" i="2"/>
  <c r="J203" i="2"/>
  <c r="I204" i="2"/>
  <c r="J204" i="2"/>
  <c r="I205" i="2"/>
  <c r="J205" i="2"/>
  <c r="I206" i="2"/>
  <c r="J206" i="2"/>
  <c r="I207" i="2"/>
  <c r="J207" i="2"/>
  <c r="I208" i="2"/>
  <c r="J208" i="2"/>
  <c r="I209" i="2"/>
  <c r="J209" i="2"/>
  <c r="I210" i="2"/>
  <c r="J210" i="2"/>
  <c r="I211" i="2"/>
  <c r="J211" i="2"/>
  <c r="I212" i="2"/>
  <c r="J212" i="2"/>
  <c r="I213" i="2"/>
  <c r="J213" i="2"/>
  <c r="I214" i="2"/>
  <c r="J214" i="2"/>
  <c r="I215" i="2"/>
  <c r="J215" i="2"/>
  <c r="I216" i="2"/>
  <c r="J216" i="2"/>
  <c r="I217" i="2"/>
  <c r="J217" i="2"/>
  <c r="I218" i="2"/>
  <c r="J218" i="2"/>
  <c r="I219" i="2"/>
  <c r="J219" i="2"/>
  <c r="I220" i="2"/>
  <c r="J220" i="2"/>
  <c r="I221" i="2"/>
  <c r="J221" i="2"/>
  <c r="I222" i="2"/>
  <c r="J222" i="2"/>
  <c r="I223" i="2"/>
  <c r="J223" i="2"/>
  <c r="I224" i="2"/>
  <c r="J224" i="2"/>
  <c r="I225" i="2"/>
  <c r="J225" i="2"/>
  <c r="I226" i="2"/>
  <c r="J226" i="2"/>
  <c r="I227" i="2"/>
  <c r="J227" i="2"/>
  <c r="I228" i="2"/>
  <c r="J228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36" i="2"/>
  <c r="J236" i="2"/>
  <c r="I237" i="2"/>
  <c r="J237" i="2"/>
  <c r="I238" i="2"/>
  <c r="J238" i="2"/>
  <c r="I239" i="2"/>
  <c r="J239" i="2"/>
  <c r="I240" i="2"/>
  <c r="J240" i="2"/>
  <c r="I241" i="2"/>
  <c r="J241" i="2"/>
  <c r="I242" i="2"/>
  <c r="J242" i="2"/>
  <c r="I243" i="2"/>
  <c r="J243" i="2"/>
  <c r="I244" i="2"/>
  <c r="J244" i="2"/>
  <c r="I245" i="2"/>
  <c r="J245" i="2"/>
  <c r="I246" i="2"/>
  <c r="J246" i="2"/>
  <c r="I247" i="2"/>
  <c r="J247" i="2"/>
  <c r="I248" i="2"/>
  <c r="J248" i="2"/>
  <c r="I249" i="2"/>
  <c r="J249" i="2"/>
  <c r="I250" i="2"/>
  <c r="J250" i="2"/>
  <c r="I251" i="2"/>
  <c r="J251" i="2"/>
  <c r="I252" i="2"/>
  <c r="J252" i="2"/>
  <c r="I253" i="2"/>
  <c r="J253" i="2"/>
  <c r="I254" i="2"/>
  <c r="J254" i="2"/>
  <c r="I255" i="2"/>
  <c r="J255" i="2"/>
  <c r="I256" i="2"/>
  <c r="J256" i="2"/>
  <c r="I257" i="2"/>
  <c r="J257" i="2"/>
  <c r="I258" i="2"/>
  <c r="J258" i="2"/>
  <c r="I259" i="2"/>
  <c r="J259" i="2"/>
  <c r="I260" i="2"/>
  <c r="J260" i="2"/>
  <c r="I261" i="2"/>
  <c r="J261" i="2"/>
  <c r="I262" i="2"/>
  <c r="J262" i="2"/>
  <c r="I263" i="2"/>
  <c r="J263" i="2"/>
  <c r="I264" i="2"/>
  <c r="J264" i="2"/>
  <c r="I265" i="2"/>
  <c r="J265" i="2"/>
  <c r="I266" i="2"/>
  <c r="J266" i="2"/>
  <c r="I267" i="2"/>
  <c r="J267" i="2"/>
  <c r="I268" i="2"/>
  <c r="J268" i="2"/>
  <c r="I269" i="2"/>
  <c r="J269" i="2"/>
  <c r="I270" i="2"/>
  <c r="J270" i="2"/>
  <c r="I271" i="2"/>
  <c r="J271" i="2"/>
  <c r="I272" i="2"/>
  <c r="J272" i="2"/>
  <c r="I273" i="2"/>
  <c r="J273" i="2"/>
  <c r="I274" i="2"/>
  <c r="J274" i="2"/>
  <c r="I275" i="2"/>
  <c r="J275" i="2"/>
  <c r="I276" i="2"/>
  <c r="J276" i="2"/>
  <c r="I277" i="2"/>
  <c r="J277" i="2"/>
  <c r="I278" i="2"/>
  <c r="J278" i="2"/>
  <c r="I279" i="2"/>
  <c r="J279" i="2"/>
  <c r="I280" i="2"/>
  <c r="J280" i="2"/>
  <c r="I281" i="2"/>
  <c r="J281" i="2"/>
  <c r="I282" i="2"/>
  <c r="J282" i="2"/>
  <c r="I283" i="2"/>
  <c r="J283" i="2"/>
  <c r="I284" i="2"/>
  <c r="J284" i="2"/>
  <c r="I285" i="2"/>
  <c r="J285" i="2"/>
  <c r="I286" i="2"/>
  <c r="J286" i="2"/>
  <c r="I287" i="2"/>
  <c r="J287" i="2"/>
  <c r="I288" i="2"/>
  <c r="J288" i="2"/>
  <c r="I289" i="2"/>
  <c r="J289" i="2"/>
  <c r="I290" i="2"/>
  <c r="J290" i="2"/>
  <c r="I291" i="2"/>
  <c r="J291" i="2"/>
  <c r="I292" i="2"/>
  <c r="J292" i="2"/>
  <c r="I293" i="2"/>
  <c r="J293" i="2"/>
  <c r="I294" i="2"/>
  <c r="J294" i="2"/>
  <c r="I295" i="2"/>
  <c r="J295" i="2"/>
  <c r="I296" i="2"/>
  <c r="J296" i="2"/>
  <c r="I297" i="2"/>
  <c r="J297" i="2"/>
  <c r="I298" i="2"/>
  <c r="J298" i="2"/>
  <c r="I299" i="2"/>
  <c r="J299" i="2"/>
  <c r="I300" i="2"/>
  <c r="J300" i="2"/>
  <c r="I301" i="2"/>
  <c r="J301" i="2"/>
  <c r="I302" i="2"/>
  <c r="J302" i="2"/>
  <c r="I303" i="2"/>
  <c r="J303" i="2"/>
  <c r="I304" i="2"/>
  <c r="J304" i="2"/>
  <c r="I305" i="2"/>
  <c r="J305" i="2"/>
  <c r="I306" i="2"/>
  <c r="J306" i="2"/>
  <c r="I307" i="2"/>
  <c r="J307" i="2"/>
  <c r="I308" i="2"/>
  <c r="J308" i="2"/>
  <c r="I309" i="2"/>
  <c r="J309" i="2"/>
  <c r="I310" i="2"/>
  <c r="J310" i="2"/>
  <c r="I311" i="2"/>
  <c r="J311" i="2"/>
  <c r="I312" i="2"/>
  <c r="J312" i="2"/>
  <c r="I313" i="2"/>
  <c r="J313" i="2"/>
  <c r="I314" i="2"/>
  <c r="J314" i="2"/>
  <c r="I315" i="2"/>
  <c r="J315" i="2"/>
  <c r="I316" i="2"/>
  <c r="J316" i="2"/>
  <c r="I317" i="2"/>
  <c r="J317" i="2"/>
  <c r="I318" i="2"/>
  <c r="J318" i="2"/>
  <c r="I319" i="2"/>
  <c r="J319" i="2"/>
  <c r="I320" i="2"/>
  <c r="J320" i="2"/>
  <c r="I321" i="2"/>
  <c r="J321" i="2"/>
  <c r="I322" i="2"/>
  <c r="J322" i="2"/>
  <c r="I323" i="2"/>
  <c r="J323" i="2"/>
  <c r="I324" i="2"/>
  <c r="J324" i="2"/>
  <c r="I325" i="2"/>
  <c r="J325" i="2"/>
  <c r="I326" i="2"/>
  <c r="J326" i="2"/>
  <c r="I327" i="2"/>
  <c r="J327" i="2"/>
  <c r="I328" i="2"/>
  <c r="J328" i="2"/>
  <c r="I329" i="2"/>
  <c r="J329" i="2"/>
  <c r="I330" i="2"/>
  <c r="J330" i="2"/>
  <c r="I331" i="2"/>
  <c r="J331" i="2"/>
  <c r="I332" i="2"/>
  <c r="J332" i="2"/>
  <c r="I333" i="2"/>
  <c r="J333" i="2"/>
  <c r="I334" i="2"/>
  <c r="J334" i="2"/>
  <c r="I335" i="2"/>
  <c r="J335" i="2"/>
  <c r="I336" i="2"/>
  <c r="J336" i="2"/>
  <c r="I337" i="2"/>
  <c r="J337" i="2"/>
  <c r="I338" i="2"/>
  <c r="J338" i="2"/>
  <c r="I339" i="2"/>
  <c r="J339" i="2"/>
  <c r="I340" i="2"/>
  <c r="J340" i="2"/>
  <c r="I341" i="2"/>
  <c r="J341" i="2"/>
  <c r="I342" i="2"/>
  <c r="J342" i="2"/>
  <c r="I343" i="2"/>
  <c r="J343" i="2"/>
  <c r="I344" i="2"/>
  <c r="J344" i="2"/>
  <c r="I345" i="2"/>
  <c r="J345" i="2"/>
  <c r="I346" i="2"/>
  <c r="J346" i="2"/>
  <c r="I347" i="2"/>
  <c r="J347" i="2"/>
  <c r="I348" i="2"/>
  <c r="J348" i="2"/>
  <c r="I349" i="2"/>
  <c r="J349" i="2"/>
  <c r="I350" i="2"/>
  <c r="J350" i="2"/>
  <c r="I351" i="2"/>
  <c r="J351" i="2"/>
  <c r="I352" i="2"/>
  <c r="J352" i="2"/>
  <c r="I353" i="2"/>
  <c r="J353" i="2"/>
  <c r="I354" i="2"/>
  <c r="J354" i="2"/>
  <c r="I355" i="2"/>
  <c r="J355" i="2"/>
  <c r="I356" i="2"/>
  <c r="J356" i="2"/>
  <c r="I357" i="2"/>
  <c r="J357" i="2"/>
  <c r="I358" i="2"/>
  <c r="J358" i="2"/>
  <c r="I359" i="2"/>
  <c r="J359" i="2"/>
  <c r="I360" i="2"/>
  <c r="J360" i="2"/>
  <c r="I361" i="2"/>
  <c r="J361" i="2"/>
  <c r="I362" i="2"/>
  <c r="J362" i="2"/>
  <c r="I363" i="2"/>
  <c r="J363" i="2"/>
  <c r="I364" i="2"/>
  <c r="J364" i="2"/>
  <c r="I365" i="2"/>
  <c r="J365" i="2"/>
  <c r="I366" i="2"/>
  <c r="J366" i="2"/>
  <c r="I367" i="2"/>
  <c r="J367" i="2"/>
  <c r="I368" i="2"/>
  <c r="J368" i="2"/>
  <c r="I369" i="2"/>
  <c r="J369" i="2"/>
  <c r="I370" i="2"/>
  <c r="J370" i="2"/>
  <c r="I371" i="2"/>
  <c r="J371" i="2"/>
  <c r="I372" i="2"/>
  <c r="J372" i="2"/>
  <c r="I373" i="2"/>
  <c r="J373" i="2"/>
  <c r="I374" i="2"/>
  <c r="J374" i="2"/>
  <c r="I375" i="2"/>
  <c r="J375" i="2"/>
  <c r="I376" i="2"/>
  <c r="J376" i="2"/>
  <c r="I377" i="2"/>
  <c r="J377" i="2"/>
  <c r="I378" i="2"/>
  <c r="J378" i="2"/>
  <c r="I379" i="2"/>
  <c r="J379" i="2"/>
  <c r="I380" i="2"/>
  <c r="J380" i="2"/>
  <c r="I381" i="2"/>
  <c r="J381" i="2"/>
  <c r="I382" i="2"/>
  <c r="J382" i="2"/>
  <c r="I383" i="2"/>
  <c r="J383" i="2"/>
  <c r="I384" i="2"/>
  <c r="J384" i="2"/>
  <c r="I385" i="2"/>
  <c r="J385" i="2"/>
  <c r="I386" i="2"/>
  <c r="J386" i="2"/>
  <c r="I387" i="2"/>
  <c r="J387" i="2"/>
  <c r="I388" i="2"/>
  <c r="J388" i="2"/>
  <c r="I389" i="2"/>
  <c r="J389" i="2"/>
  <c r="I390" i="2"/>
  <c r="J390" i="2"/>
  <c r="I391" i="2"/>
  <c r="J391" i="2"/>
  <c r="I392" i="2"/>
  <c r="J392" i="2"/>
  <c r="I393" i="2"/>
  <c r="J393" i="2"/>
  <c r="I394" i="2"/>
  <c r="J394" i="2"/>
  <c r="I395" i="2"/>
  <c r="J395" i="2"/>
  <c r="I396" i="2"/>
  <c r="J396" i="2"/>
  <c r="I397" i="2"/>
  <c r="J397" i="2"/>
  <c r="I398" i="2"/>
  <c r="J398" i="2"/>
  <c r="I399" i="2"/>
  <c r="J399" i="2"/>
  <c r="I400" i="2"/>
  <c r="J400" i="2"/>
  <c r="I401" i="2"/>
  <c r="J401" i="2"/>
  <c r="I402" i="2"/>
  <c r="J402" i="2"/>
  <c r="I403" i="2"/>
  <c r="J403" i="2"/>
  <c r="I404" i="2"/>
  <c r="J404" i="2"/>
  <c r="I405" i="2"/>
  <c r="J405" i="2"/>
  <c r="I406" i="2"/>
  <c r="J406" i="2"/>
  <c r="I407" i="2"/>
  <c r="J407" i="2"/>
  <c r="I408" i="2"/>
  <c r="J408" i="2"/>
  <c r="I409" i="2"/>
  <c r="J409" i="2"/>
  <c r="I410" i="2"/>
  <c r="J410" i="2"/>
  <c r="I411" i="2"/>
  <c r="J411" i="2"/>
  <c r="I412" i="2"/>
  <c r="J412" i="2"/>
  <c r="I413" i="2"/>
  <c r="J413" i="2"/>
  <c r="I414" i="2"/>
  <c r="J414" i="2"/>
  <c r="I415" i="2"/>
  <c r="J415" i="2"/>
  <c r="I416" i="2"/>
  <c r="J416" i="2"/>
  <c r="I417" i="2"/>
  <c r="J417" i="2"/>
  <c r="I418" i="2"/>
  <c r="J418" i="2"/>
  <c r="I419" i="2"/>
  <c r="J419" i="2"/>
  <c r="I420" i="2"/>
  <c r="J420" i="2"/>
  <c r="I421" i="2"/>
  <c r="J421" i="2"/>
  <c r="I422" i="2"/>
  <c r="J422" i="2"/>
  <c r="I423" i="2"/>
  <c r="J423" i="2"/>
  <c r="I424" i="2"/>
  <c r="J424" i="2"/>
  <c r="I425" i="2"/>
  <c r="J425" i="2"/>
  <c r="I426" i="2"/>
  <c r="J426" i="2"/>
  <c r="I427" i="2"/>
  <c r="J427" i="2"/>
  <c r="I428" i="2"/>
  <c r="J428" i="2"/>
  <c r="I429" i="2"/>
  <c r="J429" i="2"/>
  <c r="I430" i="2"/>
  <c r="J430" i="2"/>
  <c r="I431" i="2"/>
  <c r="J431" i="2"/>
  <c r="I432" i="2"/>
  <c r="J432" i="2"/>
  <c r="I433" i="2"/>
  <c r="J433" i="2"/>
  <c r="I434" i="2"/>
  <c r="J434" i="2"/>
  <c r="I435" i="2"/>
  <c r="J435" i="2"/>
  <c r="I436" i="2"/>
  <c r="J436" i="2"/>
  <c r="I437" i="2"/>
  <c r="J437" i="2"/>
  <c r="I438" i="2"/>
  <c r="J438" i="2"/>
  <c r="I439" i="2"/>
  <c r="J439" i="2"/>
  <c r="I440" i="2"/>
  <c r="J440" i="2"/>
  <c r="I441" i="2"/>
  <c r="J441" i="2"/>
  <c r="I442" i="2"/>
  <c r="J442" i="2"/>
  <c r="I443" i="2"/>
  <c r="J443" i="2"/>
  <c r="I444" i="2"/>
  <c r="J444" i="2"/>
  <c r="I445" i="2"/>
  <c r="J445" i="2"/>
  <c r="I446" i="2"/>
  <c r="J446" i="2"/>
  <c r="I447" i="2"/>
  <c r="J447" i="2"/>
  <c r="I448" i="2"/>
  <c r="J448" i="2"/>
  <c r="I449" i="2"/>
  <c r="J449" i="2"/>
  <c r="I450" i="2"/>
  <c r="J450" i="2"/>
  <c r="I451" i="2"/>
  <c r="J451" i="2"/>
  <c r="I452" i="2"/>
  <c r="J452" i="2"/>
  <c r="I453" i="2"/>
  <c r="J453" i="2"/>
  <c r="I454" i="2"/>
  <c r="J454" i="2"/>
  <c r="I455" i="2"/>
  <c r="J455" i="2"/>
  <c r="I456" i="2"/>
  <c r="J456" i="2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I467" i="2"/>
  <c r="J467" i="2"/>
  <c r="I468" i="2"/>
  <c r="J468" i="2"/>
  <c r="I469" i="2"/>
  <c r="J469" i="2"/>
  <c r="I470" i="2"/>
  <c r="J470" i="2"/>
  <c r="I471" i="2"/>
  <c r="J471" i="2"/>
  <c r="I472" i="2"/>
  <c r="J472" i="2"/>
  <c r="J2" i="2"/>
  <c r="I2" i="2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J2" i="1"/>
  <c r="I2" i="1"/>
</calcChain>
</file>

<file path=xl/sharedStrings.xml><?xml version="1.0" encoding="utf-8"?>
<sst xmlns="http://schemas.openxmlformats.org/spreadsheetml/2006/main" count="7324" uniqueCount="486">
  <si>
    <t>1t2t</t>
  </si>
  <si>
    <t>1f2t</t>
  </si>
  <si>
    <t>1t2f</t>
  </si>
  <si>
    <t>1f2f</t>
  </si>
  <si>
    <t>test.BallonFactory</t>
  </si>
  <si>
    <t>1t3f4f</t>
  </si>
  <si>
    <t>1f2t3t5f6f</t>
  </si>
  <si>
    <t>1f2t3t5t</t>
  </si>
  <si>
    <t>1f2t3t5f6t</t>
  </si>
  <si>
    <t>1f2t3f4t5f6f</t>
  </si>
  <si>
    <t>1t3f4t5f6t</t>
  </si>
  <si>
    <t>1t3f4t5f6f</t>
  </si>
  <si>
    <t>1t3t5f6f</t>
  </si>
  <si>
    <t>1f2t3f4t5t</t>
  </si>
  <si>
    <t>1f2t3f4t5f6t</t>
  </si>
  <si>
    <t>1t3t5t</t>
  </si>
  <si>
    <t>1t3t5f6t</t>
  </si>
  <si>
    <t>1t3f4t5t</t>
  </si>
  <si>
    <t>1f2t3f4f</t>
  </si>
  <si>
    <t>1t</t>
  </si>
  <si>
    <t>1f2f3f4t</t>
  </si>
  <si>
    <t>1f2f3f4f</t>
  </si>
  <si>
    <t>1f2f3t</t>
  </si>
  <si>
    <t>1t5t7t</t>
  </si>
  <si>
    <t>1f2t3t4t</t>
  </si>
  <si>
    <t>1f2t3f</t>
  </si>
  <si>
    <t>1f2t3t4f</t>
  </si>
  <si>
    <t>1t5t7f8f10f</t>
  </si>
  <si>
    <t>1t5t7f8t10t</t>
  </si>
  <si>
    <t>1t5t7f8t10f</t>
  </si>
  <si>
    <t>1t5f</t>
  </si>
  <si>
    <t>1t5t7f8f10t</t>
  </si>
  <si>
    <t>test.Base64</t>
  </si>
  <si>
    <t>1f</t>
  </si>
  <si>
    <t>1t2f3f</t>
  </si>
  <si>
    <t>1t2f3t</t>
  </si>
  <si>
    <t>2f</t>
  </si>
  <si>
    <t>2t3f</t>
  </si>
  <si>
    <t>2t3t14f</t>
  </si>
  <si>
    <t>2t3t14t</t>
  </si>
  <si>
    <t>1t2t3t</t>
  </si>
  <si>
    <t>1t2t3f4f</t>
  </si>
  <si>
    <t>1t2t3f4t5t7f8f9f</t>
  </si>
  <si>
    <t>1t2t3f4t5f6f7f8t10f11t</t>
  </si>
  <si>
    <t>1t2t3f4t5f6f7t10t</t>
  </si>
  <si>
    <t>1t2t3f4t5t7t10f11t</t>
  </si>
  <si>
    <t>1t2t3f4t5t7f8t10f11f12f</t>
  </si>
  <si>
    <t>1t2t3f4t5t7f8t10t</t>
  </si>
  <si>
    <t>1t2t3f4t5t7t10f11f12f</t>
  </si>
  <si>
    <t>1t2t3f4t5f6f7f8t10f11f12f</t>
  </si>
  <si>
    <t>1t2t3f4t5f6f7t10f11f12f</t>
  </si>
  <si>
    <t>1t2t3f4t5f6f7f8f9f</t>
  </si>
  <si>
    <t>1t2t3f4t5t7f8t10f11t</t>
  </si>
  <si>
    <t>1t2t3f4t5t7t10t</t>
  </si>
  <si>
    <t>1t2t3f4t5f6f7f8t10t</t>
  </si>
  <si>
    <t>1t2t3f4t5f6f7t10f11t</t>
  </si>
  <si>
    <t>test.Class11</t>
  </si>
  <si>
    <t>2t</t>
  </si>
  <si>
    <t>1t3t40t</t>
  </si>
  <si>
    <t>1t2t4t7t14t21t28t</t>
  </si>
  <si>
    <t>1t2t4t7t14f</t>
  </si>
  <si>
    <t>1t2t4t7t14t21f</t>
  </si>
  <si>
    <t>1t2t4t7t14t21t28f</t>
  </si>
  <si>
    <t>1t2t4t7f</t>
  </si>
  <si>
    <t>5f</t>
  </si>
  <si>
    <t>test.client</t>
  </si>
  <si>
    <t>46t</t>
  </si>
  <si>
    <t>46f57f</t>
  </si>
  <si>
    <t>46f57t</t>
  </si>
  <si>
    <t>7t</t>
  </si>
  <si>
    <t>7f</t>
  </si>
  <si>
    <t>test.GeoEngine</t>
  </si>
  <si>
    <t>1t7f</t>
  </si>
  <si>
    <t>1t7t</t>
  </si>
  <si>
    <t>2t3t4f</t>
  </si>
  <si>
    <t>1t2t5f6f</t>
  </si>
  <si>
    <t>1t2t5t</t>
  </si>
  <si>
    <t>1t2t5f6t10t11f</t>
  </si>
  <si>
    <t>1t2t5f6t10t11t12t</t>
  </si>
  <si>
    <t>1t2t5f6t10f</t>
  </si>
  <si>
    <t>1t2t5f6t10t11t12f13t</t>
  </si>
  <si>
    <t>1t2t5f6t10t11t12f13f14f</t>
  </si>
  <si>
    <t>1t2t4f5f</t>
  </si>
  <si>
    <t>1t2t4f5t6t8f9f</t>
  </si>
  <si>
    <t>1t2t4t6t8f9t</t>
  </si>
  <si>
    <t>1t2f3t4f5t6f7t8f9t</t>
  </si>
  <si>
    <t>1t2f3t4t6t8f9t</t>
  </si>
  <si>
    <t>1t2t4t6f7t8t</t>
  </si>
  <si>
    <t>1t2t4t6t8t</t>
  </si>
  <si>
    <t>1t2f3t4t6t8f9f</t>
  </si>
  <si>
    <t>1t2f3t4f5t6f7t8f9f</t>
  </si>
  <si>
    <t>1t2t4f5t6f7t8f9t</t>
  </si>
  <si>
    <t>1t2t4f5t6t8f9t</t>
  </si>
  <si>
    <t>1t2t4t6f7t8f9f</t>
  </si>
  <si>
    <t>1t2t4f5t6f7f</t>
  </si>
  <si>
    <t>1t2f3t4t6f7f</t>
  </si>
  <si>
    <t>1t2f3t4t6t8t</t>
  </si>
  <si>
    <t>1t2t4f5t6t8t</t>
  </si>
  <si>
    <t>1t2t4f5t6f7t8t</t>
  </si>
  <si>
    <t>1t2t4t6f7t8f9t</t>
  </si>
  <si>
    <t>1t2f3t4t6f7t8f9f</t>
  </si>
  <si>
    <t>1t2f3t4f5t6t8t</t>
  </si>
  <si>
    <t>1t2f3t4f5t6t8f9f</t>
  </si>
  <si>
    <t>1t2f3t4f5f</t>
  </si>
  <si>
    <t>1t2f3t4f5t6f7f</t>
  </si>
  <si>
    <t>1t2t4t6t8f9f</t>
  </si>
  <si>
    <t>1t2f3t4t6f7t8f9t</t>
  </si>
  <si>
    <t>1t2t4t6f7f</t>
  </si>
  <si>
    <t>1t2f3t4f5t6f7t8t</t>
  </si>
  <si>
    <t>1t2f3t4t6f7t8t</t>
  </si>
  <si>
    <t>1t2f3t4f5t6t8f9t</t>
  </si>
  <si>
    <t>1t2t4f5t6f7t8f9f</t>
  </si>
  <si>
    <t>test.FastBlurFilter</t>
  </si>
  <si>
    <t>test.ImageData</t>
  </si>
  <si>
    <t>5t7t8t10f</t>
  </si>
  <si>
    <t>5t7t8t10t11f</t>
  </si>
  <si>
    <t>5t7t8f</t>
  </si>
  <si>
    <t>5t7t8t10t11t12f</t>
  </si>
  <si>
    <t>5t7f</t>
  </si>
  <si>
    <t>5t7t8t10t11t12t13f</t>
  </si>
  <si>
    <t>7t8t15t20t27t</t>
  </si>
  <si>
    <t>7t8t15t20t27f</t>
  </si>
  <si>
    <t>7t8t15f</t>
  </si>
  <si>
    <t>7t8f</t>
  </si>
  <si>
    <t>7t8t15t20f</t>
  </si>
  <si>
    <t>7t8t15t20t27t30t33t36t</t>
  </si>
  <si>
    <t>7t8t15t20t27t30f</t>
  </si>
  <si>
    <t>7t8t15t20t27t30t33f</t>
  </si>
  <si>
    <t>7t8t15t20t27t30t33t36f</t>
  </si>
  <si>
    <t>5t7t8t10t11t12t13t</t>
  </si>
  <si>
    <t>5f6f</t>
  </si>
  <si>
    <t>5f6t</t>
  </si>
  <si>
    <t>5t7t8f9t</t>
  </si>
  <si>
    <t>5t7t8f9f</t>
  </si>
  <si>
    <t>7t8t13t17t24t</t>
  </si>
  <si>
    <t>7t8t13t17t24f</t>
  </si>
  <si>
    <t>7t8t13t17f</t>
  </si>
  <si>
    <t>7t8t13f</t>
  </si>
  <si>
    <t>7t8t13t17t24t27t30t33t</t>
  </si>
  <si>
    <t>7t8t13t17t24t27f</t>
  </si>
  <si>
    <t>7t8t13t17t24t27t30t33f</t>
  </si>
  <si>
    <t>7t8t13t17t24t27t30f</t>
  </si>
  <si>
    <t>1f2f3f</t>
  </si>
  <si>
    <t>1f2f3t34f35f36t</t>
  </si>
  <si>
    <t>1f2f3t34t</t>
  </si>
  <si>
    <t>test.QRCodeDataBlockReader</t>
  </si>
  <si>
    <t>1t3t6t</t>
  </si>
  <si>
    <t>1t3f</t>
  </si>
  <si>
    <t>1t3t6f</t>
  </si>
  <si>
    <t>test.StructurePanel</t>
  </si>
  <si>
    <t>1f2t4t</t>
  </si>
  <si>
    <t>1t5t7f</t>
  </si>
  <si>
    <t>1f2t4f</t>
  </si>
  <si>
    <t>1t5f6t</t>
  </si>
  <si>
    <t>1t5f6f</t>
  </si>
  <si>
    <t>test.TIFFFaxDecoder</t>
  </si>
  <si>
    <t>1t6t12t</t>
  </si>
  <si>
    <t>1f2f3f4t5t12t</t>
  </si>
  <si>
    <t>1t6f7t8f9f</t>
  </si>
  <si>
    <t>1f2f3t5t12t</t>
  </si>
  <si>
    <t>1f2f3t5t12f</t>
  </si>
  <si>
    <t>1f2f3t5f</t>
  </si>
  <si>
    <t>1f2t5t12t</t>
  </si>
  <si>
    <t>1t6f7t8f9t12t</t>
  </si>
  <si>
    <t>1f2f3f4t5f</t>
  </si>
  <si>
    <t>1f2t5t12f</t>
  </si>
  <si>
    <t>1t6f7t8t12t</t>
  </si>
  <si>
    <t>1t6f7f</t>
  </si>
  <si>
    <t>1f2f3f4t5t12f</t>
  </si>
  <si>
    <t>1f2t5f</t>
  </si>
  <si>
    <t>1t6f7t8t12f</t>
  </si>
  <si>
    <t>1t6t12f</t>
  </si>
  <si>
    <t>1t6f7t8f9t12f</t>
  </si>
  <si>
    <t>1t4t</t>
  </si>
  <si>
    <t>1f2f8t9f</t>
  </si>
  <si>
    <t>1f2t3f8t9f</t>
  </si>
  <si>
    <t>1f2f8t9t</t>
  </si>
  <si>
    <t>1f2t3f8t9t</t>
  </si>
  <si>
    <t>1f2t3t8t9f</t>
  </si>
  <si>
    <t>1t4f5t6f8f</t>
  </si>
  <si>
    <t>1f2f8f</t>
  </si>
  <si>
    <t>1f2t3f8f</t>
  </si>
  <si>
    <t>1f2t3t8f</t>
  </si>
  <si>
    <t>1t4f5f8t9f</t>
  </si>
  <si>
    <t>1f2t3t8t9t</t>
  </si>
  <si>
    <t>1t4f5f8f</t>
  </si>
  <si>
    <t>1t4f5t6t8t9t</t>
  </si>
  <si>
    <t>1t4f5t6f8t9f</t>
  </si>
  <si>
    <t>1t4f5f8t9t</t>
  </si>
  <si>
    <t>1t4f5t6t8f</t>
  </si>
  <si>
    <t>1t4f5t6f8t9t</t>
  </si>
  <si>
    <t>1t4f5t6t8t9f</t>
  </si>
  <si>
    <t>1t3t</t>
  </si>
  <si>
    <t>1f2f5f</t>
  </si>
  <si>
    <t>1f2f5t</t>
  </si>
  <si>
    <t>1t3f4f5f</t>
  </si>
  <si>
    <t>1t3f4f5t</t>
  </si>
  <si>
    <t>1f2t5t</t>
  </si>
  <si>
    <t>1t3f4t5f</t>
  </si>
  <si>
    <t>test.TIFFFaxEncoder</t>
  </si>
  <si>
    <t>2f3f</t>
  </si>
  <si>
    <t>2f3t4t</t>
  </si>
  <si>
    <t>2t3t4t</t>
  </si>
  <si>
    <t>2f3t4f</t>
  </si>
  <si>
    <t>class</t>
  </si>
  <si>
    <t>method</t>
  </si>
  <si>
    <t>path</t>
  </si>
  <si>
    <t>path id</t>
  </si>
  <si>
    <t>time full</t>
  </si>
  <si>
    <t>time c1</t>
  </si>
  <si>
    <t>inv f</t>
  </si>
  <si>
    <t>inv c1</t>
  </si>
  <si>
    <t>%  inv</t>
  </si>
  <si>
    <t>% time</t>
  </si>
  <si>
    <t>id</t>
  </si>
  <si>
    <t>under 20%</t>
  </si>
  <si>
    <t>under 40%</t>
  </si>
  <si>
    <t>under 60%</t>
  </si>
  <si>
    <t>under 80%</t>
  </si>
  <si>
    <t>at 100%</t>
  </si>
  <si>
    <t>over 100%</t>
  </si>
  <si>
    <t>% sat of full</t>
  </si>
  <si>
    <t>sat/unsat</t>
  </si>
  <si>
    <t>over 50% info</t>
  </si>
  <si>
    <t>total</t>
  </si>
  <si>
    <t>time % of full</t>
  </si>
  <si>
    <t>&gt;0 &lt;25</t>
  </si>
  <si>
    <t>&gt;=25 &lt; 50</t>
  </si>
  <si>
    <t>&gt;=50 &lt; 75</t>
  </si>
  <si>
    <t>&gt;=75 &lt; 100</t>
  </si>
  <si>
    <t>count 100%</t>
  </si>
  <si>
    <t>test.BallonFactory_1_</t>
  </si>
  <si>
    <t>test.BallonFactory_2_</t>
  </si>
  <si>
    <t>test.BallonFactory_6_</t>
  </si>
  <si>
    <t>test.BallonFactory_9_</t>
  </si>
  <si>
    <t>test.Base64_2_</t>
  </si>
  <si>
    <t>test.Base64_4_</t>
  </si>
  <si>
    <t>test.Base64_13_</t>
  </si>
  <si>
    <t>test.Base64_16_</t>
  </si>
  <si>
    <t>test.Base64_18_</t>
  </si>
  <si>
    <t>test.Base64_19_</t>
  </si>
  <si>
    <t>test.Base64_20_</t>
  </si>
  <si>
    <t>test.Class11_10_</t>
  </si>
  <si>
    <t>test.Class11_11_</t>
  </si>
  <si>
    <t>test.Class11_12_</t>
  </si>
  <si>
    <t>test.client_1_</t>
  </si>
  <si>
    <t>test.client_3_</t>
  </si>
  <si>
    <t>test.client_4_</t>
  </si>
  <si>
    <t>test.client_6_</t>
  </si>
  <si>
    <t>test.client_7_</t>
  </si>
  <si>
    <t>test.GeoEngine_3_</t>
  </si>
  <si>
    <t>test.GeoEngine_7_</t>
  </si>
  <si>
    <t>test.GeoEngine_8_</t>
  </si>
  <si>
    <t>test.GeoEngine_9_</t>
  </si>
  <si>
    <t>test.GeoEngine_10_</t>
  </si>
  <si>
    <t>test.FastBlurFilter_3_</t>
  </si>
  <si>
    <t>test.ImageData_2_</t>
  </si>
  <si>
    <t>test.ImageData_3_</t>
  </si>
  <si>
    <t>test.ImageData_4_</t>
  </si>
  <si>
    <t>test.ImageData_6_</t>
  </si>
  <si>
    <t>test.ImageData_7_</t>
  </si>
  <si>
    <t>test.ImageData_8_</t>
  </si>
  <si>
    <t>test.ImageData_9_</t>
  </si>
  <si>
    <t>test.ImageData_11_</t>
  </si>
  <si>
    <t>test.ImageData_13_</t>
  </si>
  <si>
    <t>test.ImageData_14_</t>
  </si>
  <si>
    <t>test.ImageData_15_</t>
  </si>
  <si>
    <t>test.ImageData_16_</t>
  </si>
  <si>
    <t>test.ImageData_20_</t>
  </si>
  <si>
    <t>test.ImageData_21_</t>
  </si>
  <si>
    <t>test.QRCodeDataBlockReader_0_</t>
  </si>
  <si>
    <t>test.QRCodeDataBlockReader_1_</t>
  </si>
  <si>
    <t>test.StructurePanel_1_</t>
  </si>
  <si>
    <t>test.TIFFFaxDecoder_9_</t>
  </si>
  <si>
    <t>test.TIFFFaxDecoder_10_</t>
  </si>
  <si>
    <t>test.TIFFFaxDecoder_11_</t>
  </si>
  <si>
    <t>test.TIFFFaxDecoder_12_</t>
  </si>
  <si>
    <t>test.TIFFFaxDecoder_13_</t>
  </si>
  <si>
    <t>test.TIFFFaxEncoder_2_</t>
  </si>
  <si>
    <t>test.TIFFFaxEncoder_6_</t>
  </si>
  <si>
    <t>test.TIFFFaxEncoder_8_</t>
  </si>
  <si>
    <t>RD</t>
  </si>
  <si>
    <t>C1</t>
  </si>
  <si>
    <t>% of inv</t>
  </si>
  <si>
    <t>C2</t>
  </si>
  <si>
    <t>VA on dom4 - medium</t>
  </si>
  <si>
    <t>paths</t>
  </si>
  <si>
    <t>sat/sat</t>
  </si>
  <si>
    <t>unsat/sat</t>
  </si>
  <si>
    <t>unsat/unsat</t>
  </si>
  <si>
    <t>max</t>
  </si>
  <si>
    <t>% of sat</t>
  </si>
  <si>
    <t>Class</t>
  </si>
  <si>
    <t>Method id</t>
  </si>
  <si>
    <t>Path</t>
  </si>
  <si>
    <t>Path Id</t>
  </si>
  <si>
    <t>Full time</t>
  </si>
  <si>
    <t>Path Time</t>
  </si>
  <si>
    <t>%</t>
  </si>
  <si>
    <t>Method</t>
  </si>
  <si>
    <t>PercOfCode</t>
  </si>
  <si>
    <t>Diff</t>
  </si>
  <si>
    <t>Paths</t>
  </si>
  <si>
    <t>test.InfTree</t>
  </si>
  <si>
    <t>test.TileRenderor</t>
  </si>
  <si>
    <t>LOC</t>
  </si>
  <si>
    <t>1f2t8t</t>
  </si>
  <si>
    <t>1t2t8t</t>
  </si>
  <si>
    <t>1t2t8f</t>
  </si>
  <si>
    <t>1t2f8t</t>
  </si>
  <si>
    <t>1t2f8f</t>
  </si>
  <si>
    <t>1f2f8t</t>
  </si>
  <si>
    <t>1f2t8f</t>
  </si>
  <si>
    <t>4t</t>
  </si>
  <si>
    <t>4f</t>
  </si>
  <si>
    <t>1t2t3f4t5f6t</t>
  </si>
  <si>
    <t>1t2t3f4t5t7t10f11f12t</t>
  </si>
  <si>
    <t>1t2t3f4t5f6f7t10f11f12t</t>
  </si>
  <si>
    <t>1t2t3f4t5t7f8f9t</t>
  </si>
  <si>
    <t>1t2t3f4t5t7f8t10f11f12t</t>
  </si>
  <si>
    <t>1t2t3f4t5f6f7f8f9t</t>
  </si>
  <si>
    <t>1t2t3f4t5f6f7f8t10f11f12t</t>
  </si>
  <si>
    <t>1t2t8f9f</t>
  </si>
  <si>
    <t>1t2t8f9t10t12t15f16t</t>
  </si>
  <si>
    <t>1t2t8f9t10t12f13t15f16t</t>
  </si>
  <si>
    <t>1t2t8f9t10t12t15t</t>
  </si>
  <si>
    <t>1t2t8f9t10f11f12f13f14t</t>
  </si>
  <si>
    <t>1t2t8f9t10t12f13t15t</t>
  </si>
  <si>
    <t>1t2t8f9t10t12t15f16f17f</t>
  </si>
  <si>
    <t>1t2t8f9t10t12f13t15f16f17f</t>
  </si>
  <si>
    <t>1t2t8f9t10f11f12f13t15f16t</t>
  </si>
  <si>
    <t>1t2t8f9t10f11f12t15f16t</t>
  </si>
  <si>
    <t>1t2t8f9t10f11f12t15f16f17f</t>
  </si>
  <si>
    <t>1t2t8f9t10f11f12f13t15t</t>
  </si>
  <si>
    <t>1t2t8f9t10t12t15f16f17t</t>
  </si>
  <si>
    <t>1t2t8f9t10f11f12t15f16f17t</t>
  </si>
  <si>
    <t>1t2t8f9t10t12f13t15f16f17t</t>
  </si>
  <si>
    <t>1t2t8f9t10t12f13f14t</t>
  </si>
  <si>
    <t>1t2t8f9t10f11f12f13f14f</t>
  </si>
  <si>
    <t>1t2t8f9t10f11f12f13t15f16f17f</t>
  </si>
  <si>
    <t>1t2t8f9t10f11f12t15t</t>
  </si>
  <si>
    <t>1t2t8f9t10t12f13f14f</t>
  </si>
  <si>
    <t>1t2t8f9t10f11t</t>
  </si>
  <si>
    <t>1t2t8f9t10f11f12f13t15f16f17t</t>
  </si>
  <si>
    <t>7t9t12t</t>
  </si>
  <si>
    <t>7t9t12f13t</t>
  </si>
  <si>
    <t>7t9f10f11t</t>
  </si>
  <si>
    <t>7t9f10f11f</t>
  </si>
  <si>
    <t>7f8f9f10t12f13f14t</t>
  </si>
  <si>
    <t>7f8f9t12f13t</t>
  </si>
  <si>
    <t>7f8f9f10f11f</t>
  </si>
  <si>
    <t>7f8f9f10t12f13t</t>
  </si>
  <si>
    <t>7t9t12f13f14f</t>
  </si>
  <si>
    <t>7f8f9t12t</t>
  </si>
  <si>
    <t>7f8f9f10f11t</t>
  </si>
  <si>
    <t>7t9f10t12f13f14t</t>
  </si>
  <si>
    <t>7f8t</t>
  </si>
  <si>
    <t>7t9f10t12t</t>
  </si>
  <si>
    <t>7f8f9f10t12f13f14f</t>
  </si>
  <si>
    <t>7f8f9f10t12t</t>
  </si>
  <si>
    <t>7t9f10t12f13t</t>
  </si>
  <si>
    <t>7f8f9t12f13f14f</t>
  </si>
  <si>
    <t>7t9t12f13f14t</t>
  </si>
  <si>
    <t>7t9f10t12f13f14f</t>
  </si>
  <si>
    <t>7f8f9t12f13f14t</t>
  </si>
  <si>
    <t>1t3t40f41t52t63f64t67t70t72f73f</t>
  </si>
  <si>
    <t>1t3t40f41t52f53t56t58t60f61f62f</t>
  </si>
  <si>
    <t>1t3t40f41f42t44t46t49f50f51f</t>
  </si>
  <si>
    <t>1t3t40f41t52t63t74f75t77t80t83f84f</t>
  </si>
  <si>
    <t>1t3t40f41t52t63f64t67t70t72t</t>
  </si>
  <si>
    <t>1t3t40f41t52f53t56t58t60t</t>
  </si>
  <si>
    <t>1t3t40f41f42t44t46t49t</t>
  </si>
  <si>
    <t>1t3t40f41t52t63t74t</t>
  </si>
  <si>
    <t>1t3t40f41t52t63t74f75t77t80f</t>
  </si>
  <si>
    <t>1t3t40f41t52f53t56f</t>
  </si>
  <si>
    <t>1t3t40f41t52f53t56t58t60f61t</t>
  </si>
  <si>
    <t>1t3t40f41t52t63f64t67t70f</t>
  </si>
  <si>
    <t>1t3t40f41f42t44t46t49f50f51t</t>
  </si>
  <si>
    <t>1t3t40f41t52t63t74f75t77f</t>
  </si>
  <si>
    <t>1t3t40f41f42t44t46f</t>
  </si>
  <si>
    <t>1t3t40f41t52f53t56t58f</t>
  </si>
  <si>
    <t>1t3t40f41t52t63t74f75t77t80t83t</t>
  </si>
  <si>
    <t>1t3t40f41f42t44t46t49f50t</t>
  </si>
  <si>
    <t>1t3t40f41f42t44f</t>
  </si>
  <si>
    <t>1t3t40f41t52t63t74f75t77t80t83f84t</t>
  </si>
  <si>
    <t>1t3t40f41t52t63f64t67f</t>
  </si>
  <si>
    <t>1t3t40f41t52f53f</t>
  </si>
  <si>
    <t>1t3t40f41t52t63t74f75f</t>
  </si>
  <si>
    <t>1t3t40f41t52t63f64t67t70t72f73t</t>
  </si>
  <si>
    <t>1t3t40f41t52f53t56t58t60f61f62t</t>
  </si>
  <si>
    <t>1t3t40f41f42f</t>
  </si>
  <si>
    <t>1t3t40f41t52t63f64f</t>
  </si>
  <si>
    <t>1t3f4t13f</t>
  </si>
  <si>
    <t>1t3f4t13t</t>
  </si>
  <si>
    <t>1t2t4f7t14t21t28t</t>
  </si>
  <si>
    <t>1t2t4f7t14t21t28f</t>
  </si>
  <si>
    <t>1t2t4f7t14f</t>
  </si>
  <si>
    <t>1t2t4f7t14t21f</t>
  </si>
  <si>
    <t>1t2t4f7f</t>
  </si>
  <si>
    <t>1t2t6t11t18f19f20f</t>
  </si>
  <si>
    <t>1t2t6t11f13t18t</t>
  </si>
  <si>
    <t>1t2t6t11t18f19t</t>
  </si>
  <si>
    <t>1t2t6t11f13t18f19f20f</t>
  </si>
  <si>
    <t>1t2t6t11t18f19f20t</t>
  </si>
  <si>
    <t>1t2t6t11f13t18f19t</t>
  </si>
  <si>
    <t>1t2t6t11f13t18f19f20t</t>
  </si>
  <si>
    <t>1t2t6t11f13f</t>
  </si>
  <si>
    <t>1t2t6t11t18t</t>
  </si>
  <si>
    <t>1t2t6f</t>
  </si>
  <si>
    <t>6t36t</t>
  </si>
  <si>
    <t>6t36f48f</t>
  </si>
  <si>
    <t>6t36f48t</t>
  </si>
  <si>
    <t>6f14f15f16t</t>
  </si>
  <si>
    <t>6f14f15f16f</t>
  </si>
  <si>
    <t>6f14t</t>
  </si>
  <si>
    <t>6f14f15t</t>
  </si>
  <si>
    <t>1t7f9f25f</t>
  </si>
  <si>
    <t>1t7f9t25f</t>
  </si>
  <si>
    <t>1t7t9f25f</t>
  </si>
  <si>
    <t>1t7f9f25t</t>
  </si>
  <si>
    <t>1t7t9t25f</t>
  </si>
  <si>
    <t>1t7t9t25t</t>
  </si>
  <si>
    <t>1t7t9f25t</t>
  </si>
  <si>
    <t>1f7f9f25f</t>
  </si>
  <si>
    <t>1f7t9t25f</t>
  </si>
  <si>
    <t>1f7f9f25t</t>
  </si>
  <si>
    <t>1f7f9t25f</t>
  </si>
  <si>
    <t>1f7f9t25t</t>
  </si>
  <si>
    <t>1f7t9f25t</t>
  </si>
  <si>
    <t>1f7t9t25t</t>
  </si>
  <si>
    <t>1t7f9t25t</t>
  </si>
  <si>
    <t>1f7t9f25f</t>
  </si>
  <si>
    <t>1f2f3f4f6t</t>
  </si>
  <si>
    <t>1f2f3f4f6f</t>
  </si>
  <si>
    <t>1t2t3f</t>
  </si>
  <si>
    <t>1t2t3t4f</t>
  </si>
  <si>
    <t>1t2t3t4t8f</t>
  </si>
  <si>
    <t>1f2t3t4t8f</t>
  </si>
  <si>
    <t>1t2t3t4t8t</t>
  </si>
  <si>
    <t>1f2t3t4t8t</t>
  </si>
  <si>
    <t>1t2t5f6t10t11t12f13f14t15t</t>
  </si>
  <si>
    <t>1t2t5f6t10t11t12f13f14t15f</t>
  </si>
  <si>
    <t>1t2t5f</t>
  </si>
  <si>
    <t>2t11f</t>
  </si>
  <si>
    <t>2t11t</t>
  </si>
  <si>
    <t>1f2f3t34f35f36f38t</t>
  </si>
  <si>
    <t>1f2f3t34f35t38t</t>
  </si>
  <si>
    <t>1f2f3t34f35t38f</t>
  </si>
  <si>
    <t>1f2f3t34f35f36f38f</t>
  </si>
  <si>
    <t>1f2t13f14t15t16t17t18t</t>
  </si>
  <si>
    <t>1f2t13f14t15f</t>
  </si>
  <si>
    <t>1f2t13f14f</t>
  </si>
  <si>
    <t>1f2t13f14t15t16t17t18f</t>
  </si>
  <si>
    <t>1f2t13t21t22f</t>
  </si>
  <si>
    <t>1f2t13t21t22t23t</t>
  </si>
  <si>
    <t>1f2t13f14t15t16f</t>
  </si>
  <si>
    <t>1f2t13t21t22t23f</t>
  </si>
  <si>
    <t>1f2t13f14t15t16t17f</t>
  </si>
  <si>
    <t>1f2t13t21f</t>
  </si>
  <si>
    <t>1f2f3f4t6f</t>
  </si>
  <si>
    <t>1t3f4t6t</t>
  </si>
  <si>
    <t>1f2f3f4t6t</t>
  </si>
  <si>
    <t>1t3f4t6f</t>
  </si>
  <si>
    <t>22t23f</t>
  </si>
  <si>
    <t>22t23t24f</t>
  </si>
  <si>
    <t>22f</t>
  </si>
  <si>
    <t>22t23t24t25f26t34t38f</t>
  </si>
  <si>
    <t>22t23t24t25f26t34t38t39f40t41t42f</t>
  </si>
  <si>
    <t>22t23t24t25f26t34t38t39f40t41t42t43f</t>
  </si>
  <si>
    <t>22t23t24t25t</t>
  </si>
  <si>
    <t>22t23t24t25f26t34t38t39f40t41t42t43t</t>
  </si>
  <si>
    <t>22t23t24t25f26t34t38t39t46t53f</t>
  </si>
  <si>
    <t>22t23t24t25f26t34t38t39t46f</t>
  </si>
  <si>
    <t>22t23t24t25f26t34t38t39f40f</t>
  </si>
  <si>
    <t>22t23t24t25f26t34t38t39t46t53t</t>
  </si>
  <si>
    <t>22t23t24t25f26f</t>
  </si>
  <si>
    <t>22t23t24t25f26t34f</t>
  </si>
  <si>
    <t>22t23t24t25f26t34t38t39f40t41f</t>
  </si>
  <si>
    <t>1t2t5t10f</t>
  </si>
  <si>
    <t>1t2t5f6t</t>
  </si>
  <si>
    <t>1t2f10f</t>
  </si>
  <si>
    <t>1t2f10t</t>
  </si>
  <si>
    <t>1t2t5t10t</t>
  </si>
  <si>
    <t>test.InfTree_2_</t>
  </si>
  <si>
    <t>test.TileRenderor_5_</t>
  </si>
  <si>
    <t>test.TileRenderor_6_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</si>
</sst>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9" fontId="0" fillId="0" borderId="0" xfId="0" applyNumberFormat="1"/>
    <xf numFmtId="1" fontId="0" fillId="0" borderId="0" xfId="0" applyNumberFormat="1"/>
    <xf numFmtId="0" fontId="3" fillId="0" borderId="0" xfId="0" applyFont="1"/>
    <xf numFmtId="0" fontId="0" fillId="0" borderId="0" xfId="0" applyFill="1"/>
  </cellXfs>
  <cellStyles count="3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opLeftCell="A20" workbookViewId="0">
      <selection activeCell="E52" sqref="E52"/>
    </sheetView>
  </sheetViews>
  <sheetFormatPr baseColWidth="10" defaultRowHeight="15" x14ac:dyDescent="0"/>
  <cols>
    <col min="1" max="1" width="26" customWidth="1"/>
    <col min="7" max="7" width="17.33203125" customWidth="1"/>
  </cols>
  <sheetData>
    <row r="1" spans="1:7">
      <c r="A1" t="s">
        <v>292</v>
      </c>
      <c r="B1" t="s">
        <v>299</v>
      </c>
      <c r="C1" t="s">
        <v>300</v>
      </c>
      <c r="D1" t="s">
        <v>301</v>
      </c>
      <c r="E1" t="s">
        <v>302</v>
      </c>
      <c r="F1" t="s">
        <v>305</v>
      </c>
      <c r="G1" t="s">
        <v>214</v>
      </c>
    </row>
    <row r="2" spans="1:7">
      <c r="A2" t="s">
        <v>4</v>
      </c>
      <c r="B2">
        <v>1</v>
      </c>
      <c r="C2">
        <v>2</v>
      </c>
      <c r="D2">
        <v>60</v>
      </c>
      <c r="E2">
        <v>8</v>
      </c>
      <c r="G2" t="str">
        <f>CONCATENATE(A2,"_",B2,"_")</f>
        <v>test.BallonFactory_1_</v>
      </c>
    </row>
    <row r="3" spans="1:7">
      <c r="A3" t="s">
        <v>4</v>
      </c>
      <c r="B3">
        <v>2</v>
      </c>
      <c r="C3">
        <v>3</v>
      </c>
      <c r="D3">
        <v>60</v>
      </c>
      <c r="E3">
        <v>15</v>
      </c>
      <c r="G3" t="str">
        <f t="shared" ref="G3:G54" si="0">CONCATENATE(A3,"_",B3,"_")</f>
        <v>test.BallonFactory_2_</v>
      </c>
    </row>
    <row r="4" spans="1:7">
      <c r="A4" t="s">
        <v>4</v>
      </c>
      <c r="B4">
        <v>6</v>
      </c>
      <c r="C4">
        <v>3</v>
      </c>
      <c r="D4">
        <v>60</v>
      </c>
      <c r="E4">
        <v>5</v>
      </c>
      <c r="G4" t="str">
        <f t="shared" si="0"/>
        <v>test.BallonFactory_6_</v>
      </c>
    </row>
    <row r="5" spans="1:7">
      <c r="A5" t="s">
        <v>4</v>
      </c>
      <c r="B5">
        <v>9</v>
      </c>
      <c r="C5">
        <v>3</v>
      </c>
      <c r="D5">
        <v>60</v>
      </c>
      <c r="E5">
        <v>10</v>
      </c>
      <c r="G5" t="str">
        <f t="shared" si="0"/>
        <v>test.BallonFactory_9_</v>
      </c>
    </row>
    <row r="6" spans="1:7">
      <c r="A6" t="s">
        <v>32</v>
      </c>
      <c r="B6">
        <v>2</v>
      </c>
      <c r="C6">
        <v>3</v>
      </c>
      <c r="D6">
        <v>60</v>
      </c>
      <c r="E6">
        <v>4</v>
      </c>
      <c r="G6" t="str">
        <f t="shared" si="0"/>
        <v>test.Base64_2_</v>
      </c>
    </row>
    <row r="7" spans="1:7">
      <c r="A7" t="s">
        <v>32</v>
      </c>
      <c r="B7">
        <v>4</v>
      </c>
      <c r="C7">
        <v>3</v>
      </c>
      <c r="D7">
        <v>60</v>
      </c>
      <c r="E7">
        <v>4</v>
      </c>
      <c r="G7" t="str">
        <f t="shared" si="0"/>
        <v>test.Base64_4_</v>
      </c>
    </row>
    <row r="8" spans="1:7">
      <c r="A8" t="s">
        <v>32</v>
      </c>
      <c r="B8">
        <v>13</v>
      </c>
      <c r="C8">
        <v>3</v>
      </c>
      <c r="D8">
        <v>60</v>
      </c>
      <c r="E8">
        <v>2</v>
      </c>
      <c r="G8" t="str">
        <f t="shared" si="0"/>
        <v>test.Base64_13_</v>
      </c>
    </row>
    <row r="9" spans="1:7">
      <c r="A9" t="s">
        <v>32</v>
      </c>
      <c r="B9">
        <v>16</v>
      </c>
      <c r="C9">
        <v>3</v>
      </c>
      <c r="D9">
        <v>60</v>
      </c>
      <c r="E9">
        <v>4</v>
      </c>
      <c r="G9" t="str">
        <f t="shared" si="0"/>
        <v>test.Base64_16_</v>
      </c>
    </row>
    <row r="10" spans="1:7">
      <c r="A10" t="s">
        <v>32</v>
      </c>
      <c r="B10">
        <v>18</v>
      </c>
      <c r="C10">
        <v>3</v>
      </c>
      <c r="D10">
        <v>60</v>
      </c>
      <c r="E10">
        <v>25</v>
      </c>
      <c r="G10" t="str">
        <f t="shared" si="0"/>
        <v>test.Base64_18_</v>
      </c>
    </row>
    <row r="11" spans="1:7">
      <c r="A11" t="s">
        <v>32</v>
      </c>
      <c r="B11">
        <v>19</v>
      </c>
      <c r="C11">
        <v>3</v>
      </c>
      <c r="D11">
        <v>60</v>
      </c>
      <c r="E11">
        <v>25</v>
      </c>
      <c r="G11" t="str">
        <f t="shared" si="0"/>
        <v>test.Base64_19_</v>
      </c>
    </row>
    <row r="12" spans="1:7">
      <c r="A12" t="s">
        <v>32</v>
      </c>
      <c r="B12">
        <v>20</v>
      </c>
      <c r="C12">
        <v>3</v>
      </c>
      <c r="D12">
        <v>60</v>
      </c>
      <c r="E12">
        <v>21</v>
      </c>
      <c r="G12" t="str">
        <f t="shared" si="0"/>
        <v>test.Base64_20_</v>
      </c>
    </row>
    <row r="13" spans="1:7">
      <c r="A13" t="s">
        <v>56</v>
      </c>
      <c r="B13">
        <v>10</v>
      </c>
      <c r="C13">
        <v>15</v>
      </c>
      <c r="D13">
        <v>30</v>
      </c>
      <c r="E13">
        <v>32</v>
      </c>
      <c r="G13" t="str">
        <f t="shared" si="0"/>
        <v>test.Class11_10_</v>
      </c>
    </row>
    <row r="14" spans="1:7">
      <c r="A14" t="s">
        <v>56</v>
      </c>
      <c r="B14">
        <v>11</v>
      </c>
      <c r="C14">
        <v>20</v>
      </c>
      <c r="D14">
        <v>15</v>
      </c>
      <c r="E14">
        <v>12</v>
      </c>
      <c r="G14" t="str">
        <f t="shared" si="0"/>
        <v>test.Class11_11_</v>
      </c>
    </row>
    <row r="15" spans="1:7">
      <c r="A15" t="s">
        <v>56</v>
      </c>
      <c r="B15">
        <v>12</v>
      </c>
      <c r="C15">
        <v>20</v>
      </c>
      <c r="D15">
        <v>30</v>
      </c>
      <c r="E15">
        <v>12</v>
      </c>
      <c r="G15" t="str">
        <f t="shared" si="0"/>
        <v>test.Class11_12_</v>
      </c>
    </row>
    <row r="16" spans="1:7">
      <c r="A16" t="s">
        <v>65</v>
      </c>
      <c r="B16">
        <v>1</v>
      </c>
      <c r="C16">
        <v>3</v>
      </c>
      <c r="D16">
        <v>60</v>
      </c>
      <c r="E16">
        <v>7</v>
      </c>
      <c r="G16" t="str">
        <f t="shared" si="0"/>
        <v>test.client_1_</v>
      </c>
    </row>
    <row r="17" spans="1:7">
      <c r="A17" t="s">
        <v>65</v>
      </c>
      <c r="B17">
        <v>3</v>
      </c>
      <c r="C17">
        <v>3</v>
      </c>
      <c r="D17">
        <v>60</v>
      </c>
      <c r="E17">
        <v>3</v>
      </c>
      <c r="G17" t="str">
        <f t="shared" si="0"/>
        <v>test.client_3_</v>
      </c>
    </row>
    <row r="18" spans="1:7">
      <c r="A18" t="s">
        <v>65</v>
      </c>
      <c r="B18">
        <v>4</v>
      </c>
      <c r="C18">
        <v>5</v>
      </c>
      <c r="D18">
        <v>60</v>
      </c>
      <c r="E18">
        <v>16</v>
      </c>
      <c r="G18" t="str">
        <f t="shared" si="0"/>
        <v>test.client_4_</v>
      </c>
    </row>
    <row r="19" spans="1:7">
      <c r="A19" t="s">
        <v>65</v>
      </c>
      <c r="B19">
        <v>6</v>
      </c>
      <c r="C19">
        <v>3</v>
      </c>
      <c r="D19">
        <v>60</v>
      </c>
      <c r="E19">
        <v>2</v>
      </c>
      <c r="G19" t="str">
        <f t="shared" si="0"/>
        <v>test.client_6_</v>
      </c>
    </row>
    <row r="20" spans="1:7">
      <c r="A20" t="s">
        <v>65</v>
      </c>
      <c r="B20">
        <v>7</v>
      </c>
      <c r="C20">
        <v>3</v>
      </c>
      <c r="D20">
        <v>70</v>
      </c>
      <c r="E20">
        <v>6</v>
      </c>
      <c r="G20" t="str">
        <f t="shared" si="0"/>
        <v>test.client_7_</v>
      </c>
    </row>
    <row r="21" spans="1:7">
      <c r="A21" t="s">
        <v>71</v>
      </c>
      <c r="B21">
        <v>3</v>
      </c>
      <c r="C21">
        <v>3</v>
      </c>
      <c r="D21">
        <v>60</v>
      </c>
      <c r="E21">
        <v>3</v>
      </c>
      <c r="G21" t="str">
        <f t="shared" si="0"/>
        <v>test.GeoEngine_3_</v>
      </c>
    </row>
    <row r="22" spans="1:7">
      <c r="A22" t="s">
        <v>71</v>
      </c>
      <c r="B22">
        <v>7</v>
      </c>
      <c r="C22">
        <v>3</v>
      </c>
      <c r="D22">
        <v>60</v>
      </c>
      <c r="E22">
        <v>10</v>
      </c>
      <c r="G22" t="str">
        <f t="shared" si="0"/>
        <v>test.GeoEngine_7_</v>
      </c>
    </row>
    <row r="23" spans="1:7">
      <c r="A23" t="s">
        <v>71</v>
      </c>
      <c r="B23">
        <v>8</v>
      </c>
      <c r="C23">
        <v>3</v>
      </c>
      <c r="D23">
        <v>60</v>
      </c>
      <c r="E23">
        <v>12</v>
      </c>
      <c r="G23" t="str">
        <f t="shared" si="0"/>
        <v>test.GeoEngine_8_</v>
      </c>
    </row>
    <row r="24" spans="1:7">
      <c r="A24" t="s">
        <v>71</v>
      </c>
      <c r="B24">
        <v>9</v>
      </c>
      <c r="C24">
        <v>3</v>
      </c>
      <c r="D24">
        <v>60</v>
      </c>
      <c r="E24">
        <v>4</v>
      </c>
      <c r="G24" t="str">
        <f t="shared" si="0"/>
        <v>test.GeoEngine_9_</v>
      </c>
    </row>
    <row r="25" spans="1:7">
      <c r="A25" t="s">
        <v>71</v>
      </c>
      <c r="B25">
        <v>10</v>
      </c>
      <c r="C25">
        <v>3</v>
      </c>
      <c r="D25">
        <v>60</v>
      </c>
      <c r="E25">
        <v>32</v>
      </c>
      <c r="G25" t="str">
        <f t="shared" si="0"/>
        <v>test.GeoEngine_10_</v>
      </c>
    </row>
    <row r="26" spans="1:7">
      <c r="A26" t="s">
        <v>112</v>
      </c>
      <c r="B26">
        <v>3</v>
      </c>
      <c r="C26">
        <v>3</v>
      </c>
      <c r="D26">
        <v>60</v>
      </c>
      <c r="E26">
        <v>2</v>
      </c>
      <c r="G26" t="str">
        <f t="shared" si="0"/>
        <v>test.FastBlurFilter_3_</v>
      </c>
    </row>
    <row r="27" spans="1:7">
      <c r="A27" t="s">
        <v>303</v>
      </c>
      <c r="B27">
        <v>2</v>
      </c>
      <c r="C27">
        <v>3</v>
      </c>
      <c r="D27">
        <v>75</v>
      </c>
      <c r="E27">
        <v>3</v>
      </c>
      <c r="G27" t="str">
        <f t="shared" si="0"/>
        <v>test.InfTree_2_</v>
      </c>
    </row>
    <row r="28" spans="1:7">
      <c r="A28" t="s">
        <v>113</v>
      </c>
      <c r="B28">
        <v>2</v>
      </c>
      <c r="C28">
        <v>3</v>
      </c>
      <c r="D28">
        <v>60</v>
      </c>
      <c r="E28">
        <v>8</v>
      </c>
      <c r="G28" t="str">
        <f t="shared" si="0"/>
        <v>test.ImageData_2_</v>
      </c>
    </row>
    <row r="29" spans="1:7">
      <c r="A29" t="s">
        <v>113</v>
      </c>
      <c r="B29">
        <v>3</v>
      </c>
      <c r="C29">
        <v>3</v>
      </c>
      <c r="D29">
        <v>60</v>
      </c>
      <c r="E29">
        <v>6</v>
      </c>
      <c r="G29" t="str">
        <f t="shared" si="0"/>
        <v>test.ImageData_3_</v>
      </c>
    </row>
    <row r="30" spans="1:7">
      <c r="A30" t="s">
        <v>113</v>
      </c>
      <c r="B30">
        <v>4</v>
      </c>
      <c r="C30">
        <v>3</v>
      </c>
      <c r="D30">
        <v>60</v>
      </c>
      <c r="E30">
        <v>9</v>
      </c>
      <c r="G30" t="str">
        <f t="shared" si="0"/>
        <v>test.ImageData_4_</v>
      </c>
    </row>
    <row r="31" spans="1:7">
      <c r="A31" t="s">
        <v>113</v>
      </c>
      <c r="B31">
        <v>6</v>
      </c>
      <c r="C31">
        <v>3</v>
      </c>
      <c r="D31">
        <v>60</v>
      </c>
      <c r="E31">
        <v>2</v>
      </c>
      <c r="G31" t="str">
        <f t="shared" si="0"/>
        <v>test.ImageData_6_</v>
      </c>
    </row>
    <row r="32" spans="1:7">
      <c r="A32" t="s">
        <v>113</v>
      </c>
      <c r="B32">
        <v>7</v>
      </c>
      <c r="C32">
        <v>3</v>
      </c>
      <c r="D32">
        <v>60</v>
      </c>
      <c r="E32">
        <v>10</v>
      </c>
      <c r="G32" t="str">
        <f t="shared" si="0"/>
        <v>test.ImageData_7_</v>
      </c>
    </row>
    <row r="33" spans="1:7">
      <c r="A33" t="s">
        <v>113</v>
      </c>
      <c r="B33">
        <v>8</v>
      </c>
      <c r="C33">
        <v>3</v>
      </c>
      <c r="D33">
        <v>60</v>
      </c>
      <c r="E33">
        <v>6</v>
      </c>
      <c r="G33" t="str">
        <f t="shared" si="0"/>
        <v>test.ImageData_8_</v>
      </c>
    </row>
    <row r="34" spans="1:7">
      <c r="A34" t="s">
        <v>113</v>
      </c>
      <c r="B34">
        <v>9</v>
      </c>
      <c r="C34">
        <v>3</v>
      </c>
      <c r="D34">
        <v>60</v>
      </c>
      <c r="E34">
        <v>9</v>
      </c>
      <c r="G34" t="str">
        <f t="shared" si="0"/>
        <v>test.ImageData_9_</v>
      </c>
    </row>
    <row r="35" spans="1:7">
      <c r="A35" t="s">
        <v>113</v>
      </c>
      <c r="B35">
        <v>11</v>
      </c>
      <c r="C35">
        <v>3</v>
      </c>
      <c r="D35">
        <v>60</v>
      </c>
      <c r="E35">
        <v>2</v>
      </c>
      <c r="G35" t="str">
        <f t="shared" si="0"/>
        <v>test.ImageData_11_</v>
      </c>
    </row>
    <row r="36" spans="1:7">
      <c r="A36" t="s">
        <v>113</v>
      </c>
      <c r="B36">
        <v>13</v>
      </c>
      <c r="C36">
        <v>3</v>
      </c>
      <c r="D36">
        <v>60</v>
      </c>
      <c r="E36">
        <v>4</v>
      </c>
      <c r="G36" t="str">
        <f t="shared" si="0"/>
        <v>test.ImageData_13_</v>
      </c>
    </row>
    <row r="37" spans="1:7">
      <c r="A37" t="s">
        <v>113</v>
      </c>
      <c r="B37">
        <v>14</v>
      </c>
      <c r="C37">
        <v>3</v>
      </c>
      <c r="D37">
        <v>60</v>
      </c>
      <c r="E37">
        <v>9</v>
      </c>
      <c r="G37" t="str">
        <f t="shared" si="0"/>
        <v>test.ImageData_14_</v>
      </c>
    </row>
    <row r="38" spans="1:7">
      <c r="A38" t="s">
        <v>113</v>
      </c>
      <c r="B38">
        <v>15</v>
      </c>
      <c r="C38">
        <v>3</v>
      </c>
      <c r="D38">
        <v>60</v>
      </c>
      <c r="E38">
        <v>4</v>
      </c>
      <c r="G38" t="str">
        <f t="shared" si="0"/>
        <v>test.ImageData_15_</v>
      </c>
    </row>
    <row r="39" spans="1:7">
      <c r="A39" t="s">
        <v>113</v>
      </c>
      <c r="B39">
        <v>16</v>
      </c>
      <c r="C39">
        <v>3</v>
      </c>
      <c r="D39">
        <v>60</v>
      </c>
      <c r="E39">
        <v>4</v>
      </c>
      <c r="G39" t="str">
        <f t="shared" si="0"/>
        <v>test.ImageData_16_</v>
      </c>
    </row>
    <row r="40" spans="1:7">
      <c r="A40" t="s">
        <v>113</v>
      </c>
      <c r="B40">
        <v>20</v>
      </c>
      <c r="C40">
        <v>3</v>
      </c>
      <c r="D40">
        <v>60</v>
      </c>
      <c r="E40">
        <v>2</v>
      </c>
      <c r="G40" t="str">
        <f t="shared" si="0"/>
        <v>test.ImageData_20_</v>
      </c>
    </row>
    <row r="41" spans="1:7">
      <c r="A41" t="s">
        <v>113</v>
      </c>
      <c r="B41">
        <v>21</v>
      </c>
      <c r="C41">
        <v>3</v>
      </c>
      <c r="D41">
        <v>60</v>
      </c>
      <c r="E41">
        <v>2</v>
      </c>
      <c r="G41" t="str">
        <f t="shared" si="0"/>
        <v>test.ImageData_21_</v>
      </c>
    </row>
    <row r="42" spans="1:7">
      <c r="A42" t="s">
        <v>145</v>
      </c>
      <c r="B42">
        <v>0</v>
      </c>
      <c r="C42">
        <v>3</v>
      </c>
      <c r="D42">
        <v>60</v>
      </c>
      <c r="E42">
        <v>3</v>
      </c>
      <c r="G42" t="str">
        <f t="shared" si="0"/>
        <v>test.QRCodeDataBlockReader_0_</v>
      </c>
    </row>
    <row r="43" spans="1:7">
      <c r="A43" t="s">
        <v>145</v>
      </c>
      <c r="B43">
        <v>1</v>
      </c>
      <c r="C43">
        <v>3</v>
      </c>
      <c r="D43">
        <v>60</v>
      </c>
      <c r="E43">
        <v>4</v>
      </c>
      <c r="G43" t="str">
        <f t="shared" si="0"/>
        <v>test.QRCodeDataBlockReader_1_</v>
      </c>
    </row>
    <row r="44" spans="1:7">
      <c r="A44" t="s">
        <v>149</v>
      </c>
      <c r="B44">
        <v>1</v>
      </c>
      <c r="C44">
        <v>3</v>
      </c>
      <c r="D44">
        <v>60</v>
      </c>
      <c r="E44">
        <v>8</v>
      </c>
      <c r="G44" t="str">
        <f t="shared" si="0"/>
        <v>test.StructurePanel_1_</v>
      </c>
    </row>
    <row r="45" spans="1:7">
      <c r="A45" t="s">
        <v>304</v>
      </c>
      <c r="B45">
        <v>5</v>
      </c>
      <c r="C45">
        <v>3</v>
      </c>
      <c r="D45">
        <v>60</v>
      </c>
      <c r="E45">
        <v>18</v>
      </c>
      <c r="G45" t="str">
        <f t="shared" si="0"/>
        <v>test.TileRenderor_5_</v>
      </c>
    </row>
    <row r="46" spans="1:7">
      <c r="A46" t="s">
        <v>304</v>
      </c>
      <c r="B46">
        <v>6</v>
      </c>
      <c r="C46">
        <v>3</v>
      </c>
      <c r="D46">
        <v>60</v>
      </c>
      <c r="E46">
        <v>15</v>
      </c>
      <c r="G46" t="str">
        <f t="shared" si="0"/>
        <v>test.TileRenderor_6_</v>
      </c>
    </row>
    <row r="47" spans="1:7">
      <c r="A47" t="s">
        <v>155</v>
      </c>
      <c r="B47">
        <v>9</v>
      </c>
      <c r="C47">
        <v>3</v>
      </c>
      <c r="D47">
        <v>60</v>
      </c>
      <c r="E47">
        <v>18</v>
      </c>
      <c r="G47" t="str">
        <f t="shared" si="0"/>
        <v>test.TIFFFaxDecoder_9_</v>
      </c>
    </row>
    <row r="48" spans="1:7">
      <c r="A48" t="s">
        <v>155</v>
      </c>
      <c r="B48">
        <v>10</v>
      </c>
      <c r="C48">
        <v>3</v>
      </c>
      <c r="D48">
        <v>60</v>
      </c>
      <c r="E48">
        <v>4</v>
      </c>
      <c r="G48" t="str">
        <f t="shared" si="0"/>
        <v>test.TIFFFaxDecoder_10_</v>
      </c>
    </row>
    <row r="49" spans="1:7">
      <c r="A49" t="s">
        <v>155</v>
      </c>
      <c r="B49">
        <v>11</v>
      </c>
      <c r="C49">
        <v>3</v>
      </c>
      <c r="D49">
        <v>60</v>
      </c>
      <c r="E49">
        <v>19</v>
      </c>
      <c r="G49" t="str">
        <f t="shared" si="0"/>
        <v>test.TIFFFaxDecoder_11_</v>
      </c>
    </row>
    <row r="50" spans="1:7">
      <c r="A50" t="s">
        <v>155</v>
      </c>
      <c r="B50">
        <v>12</v>
      </c>
      <c r="C50">
        <v>3</v>
      </c>
      <c r="D50">
        <v>60</v>
      </c>
      <c r="E50">
        <v>9</v>
      </c>
      <c r="G50" t="str">
        <f t="shared" si="0"/>
        <v>test.TIFFFaxDecoder_12_</v>
      </c>
    </row>
    <row r="51" spans="1:7">
      <c r="A51" t="s">
        <v>155</v>
      </c>
      <c r="B51">
        <v>13</v>
      </c>
      <c r="C51">
        <v>3</v>
      </c>
      <c r="D51">
        <v>60</v>
      </c>
      <c r="E51">
        <v>2</v>
      </c>
      <c r="G51" t="str">
        <f t="shared" si="0"/>
        <v>test.TIFFFaxDecoder_13_</v>
      </c>
    </row>
    <row r="52" spans="1:7">
      <c r="A52" t="s">
        <v>199</v>
      </c>
      <c r="B52">
        <v>2</v>
      </c>
      <c r="C52">
        <v>3</v>
      </c>
      <c r="D52">
        <v>60</v>
      </c>
      <c r="E52">
        <v>7</v>
      </c>
      <c r="G52" t="str">
        <f t="shared" si="0"/>
        <v>test.TIFFFaxEncoder_2_</v>
      </c>
    </row>
    <row r="53" spans="1:7">
      <c r="A53" t="s">
        <v>199</v>
      </c>
      <c r="B53">
        <v>6</v>
      </c>
      <c r="C53">
        <v>3</v>
      </c>
      <c r="D53">
        <v>60</v>
      </c>
      <c r="E53">
        <v>6</v>
      </c>
      <c r="G53" t="str">
        <f t="shared" si="0"/>
        <v>test.TIFFFaxEncoder_6_</v>
      </c>
    </row>
    <row r="54" spans="1:7">
      <c r="A54" t="s">
        <v>199</v>
      </c>
      <c r="B54">
        <v>8</v>
      </c>
      <c r="C54">
        <v>3</v>
      </c>
      <c r="D54">
        <v>60</v>
      </c>
      <c r="E54">
        <v>2</v>
      </c>
      <c r="G54" t="str">
        <f t="shared" si="0"/>
        <v>test.TIFFFaxEncoder_8_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workbookViewId="0">
      <selection activeCell="J14" sqref="J14:P20"/>
    </sheetView>
  </sheetViews>
  <sheetFormatPr baseColWidth="10" defaultRowHeight="15" x14ac:dyDescent="0"/>
  <sheetData>
    <row r="1" spans="1:17">
      <c r="A1" t="s">
        <v>281</v>
      </c>
      <c r="J1" t="s">
        <v>285</v>
      </c>
    </row>
    <row r="2" spans="1:17">
      <c r="A2" t="s">
        <v>282</v>
      </c>
      <c r="J2" t="s">
        <v>282</v>
      </c>
    </row>
    <row r="3" spans="1:17">
      <c r="B3" t="s">
        <v>221</v>
      </c>
      <c r="K3" t="s">
        <v>221</v>
      </c>
    </row>
    <row r="4" spans="1:17">
      <c r="A4" t="s">
        <v>225</v>
      </c>
      <c r="B4">
        <v>0</v>
      </c>
      <c r="C4" t="s">
        <v>226</v>
      </c>
      <c r="D4" t="s">
        <v>227</v>
      </c>
      <c r="E4" t="s">
        <v>228</v>
      </c>
      <c r="F4" t="s">
        <v>229</v>
      </c>
      <c r="G4" t="s">
        <v>230</v>
      </c>
      <c r="J4" t="s">
        <v>225</v>
      </c>
      <c r="K4">
        <v>0</v>
      </c>
      <c r="L4" t="s">
        <v>226</v>
      </c>
      <c r="M4" t="s">
        <v>227</v>
      </c>
      <c r="N4" t="s">
        <v>228</v>
      </c>
      <c r="O4" t="s">
        <v>229</v>
      </c>
      <c r="P4" t="s">
        <v>230</v>
      </c>
    </row>
    <row r="5" spans="1:17">
      <c r="A5" t="s">
        <v>215</v>
      </c>
      <c r="B5">
        <v>44</v>
      </c>
      <c r="C5">
        <v>9</v>
      </c>
      <c r="D5">
        <v>0</v>
      </c>
      <c r="E5">
        <v>0</v>
      </c>
      <c r="F5">
        <v>0</v>
      </c>
      <c r="G5">
        <v>0</v>
      </c>
      <c r="H5">
        <f>SUM(C5:G5)</f>
        <v>9</v>
      </c>
      <c r="J5" t="s">
        <v>215</v>
      </c>
      <c r="K5">
        <v>25</v>
      </c>
      <c r="L5">
        <v>19</v>
      </c>
      <c r="M5">
        <v>5</v>
      </c>
      <c r="N5">
        <v>3</v>
      </c>
      <c r="O5">
        <v>1</v>
      </c>
      <c r="P5">
        <v>0</v>
      </c>
      <c r="Q5">
        <f>P5/58</f>
        <v>0</v>
      </c>
    </row>
    <row r="6" spans="1:17">
      <c r="A6" t="s">
        <v>216</v>
      </c>
      <c r="B6">
        <v>38</v>
      </c>
      <c r="C6">
        <v>11</v>
      </c>
      <c r="D6">
        <v>2</v>
      </c>
      <c r="E6">
        <v>1</v>
      </c>
      <c r="F6">
        <v>1</v>
      </c>
      <c r="G6">
        <v>0</v>
      </c>
      <c r="H6">
        <f t="shared" ref="H6:H10" si="0">SUM(C6:G6)</f>
        <v>15</v>
      </c>
      <c r="J6" t="s">
        <v>216</v>
      </c>
      <c r="K6">
        <v>17</v>
      </c>
      <c r="L6">
        <v>16</v>
      </c>
      <c r="M6">
        <v>7</v>
      </c>
      <c r="N6">
        <v>5</v>
      </c>
      <c r="O6">
        <v>5</v>
      </c>
      <c r="P6">
        <v>3</v>
      </c>
      <c r="Q6">
        <f t="shared" ref="Q6:Q10" si="1">P6/58</f>
        <v>5.1724137931034482E-2</v>
      </c>
    </row>
    <row r="7" spans="1:17">
      <c r="A7" t="s">
        <v>217</v>
      </c>
      <c r="B7">
        <v>35</v>
      </c>
      <c r="C7">
        <v>10</v>
      </c>
      <c r="D7">
        <v>3</v>
      </c>
      <c r="E7">
        <v>2</v>
      </c>
      <c r="F7">
        <v>1</v>
      </c>
      <c r="G7">
        <v>2</v>
      </c>
      <c r="H7">
        <f t="shared" si="0"/>
        <v>18</v>
      </c>
      <c r="J7" t="s">
        <v>217</v>
      </c>
      <c r="K7">
        <v>13</v>
      </c>
      <c r="L7">
        <v>12</v>
      </c>
      <c r="M7">
        <v>8</v>
      </c>
      <c r="N7">
        <v>4</v>
      </c>
      <c r="O7">
        <v>4</v>
      </c>
      <c r="P7">
        <v>12</v>
      </c>
      <c r="Q7">
        <f t="shared" si="1"/>
        <v>0.20689655172413793</v>
      </c>
    </row>
    <row r="8" spans="1:17">
      <c r="A8" t="s">
        <v>218</v>
      </c>
      <c r="B8">
        <v>27</v>
      </c>
      <c r="C8">
        <v>16</v>
      </c>
      <c r="D8">
        <v>3</v>
      </c>
      <c r="E8">
        <v>2</v>
      </c>
      <c r="F8">
        <v>0</v>
      </c>
      <c r="G8">
        <v>5</v>
      </c>
      <c r="H8">
        <f>SUM(C8:G8)</f>
        <v>26</v>
      </c>
      <c r="J8" t="s">
        <v>218</v>
      </c>
      <c r="K8">
        <v>9</v>
      </c>
      <c r="L8">
        <v>7</v>
      </c>
      <c r="M8">
        <v>5</v>
      </c>
      <c r="N8">
        <v>5</v>
      </c>
      <c r="O8">
        <v>9</v>
      </c>
      <c r="P8">
        <v>18</v>
      </c>
      <c r="Q8">
        <f t="shared" si="1"/>
        <v>0.31034482758620691</v>
      </c>
    </row>
    <row r="9" spans="1:17">
      <c r="A9" t="s">
        <v>219</v>
      </c>
      <c r="B9">
        <v>21</v>
      </c>
      <c r="C9">
        <v>15</v>
      </c>
      <c r="D9">
        <v>5</v>
      </c>
      <c r="E9">
        <v>1</v>
      </c>
      <c r="F9">
        <v>2</v>
      </c>
      <c r="G9">
        <v>9</v>
      </c>
      <c r="H9">
        <f t="shared" si="0"/>
        <v>32</v>
      </c>
      <c r="J9" t="s">
        <v>219</v>
      </c>
      <c r="K9">
        <v>0</v>
      </c>
      <c r="L9">
        <v>0</v>
      </c>
      <c r="M9">
        <v>1</v>
      </c>
      <c r="N9">
        <v>0</v>
      </c>
      <c r="O9">
        <v>6</v>
      </c>
      <c r="P9">
        <v>46</v>
      </c>
      <c r="Q9">
        <f t="shared" si="1"/>
        <v>0.7931034482758621</v>
      </c>
    </row>
    <row r="10" spans="1:17">
      <c r="A10" t="s">
        <v>220</v>
      </c>
      <c r="B10">
        <v>0</v>
      </c>
      <c r="C10">
        <v>0</v>
      </c>
      <c r="D10">
        <v>0</v>
      </c>
      <c r="E10">
        <v>0</v>
      </c>
      <c r="F10">
        <v>0</v>
      </c>
      <c r="G10">
        <v>53</v>
      </c>
      <c r="H10">
        <f t="shared" si="0"/>
        <v>53</v>
      </c>
      <c r="J10" t="s">
        <v>220</v>
      </c>
      <c r="K10">
        <v>0</v>
      </c>
      <c r="L10">
        <v>0</v>
      </c>
      <c r="M10">
        <v>0</v>
      </c>
      <c r="N10">
        <v>0</v>
      </c>
      <c r="O10">
        <v>0</v>
      </c>
      <c r="P10">
        <v>53</v>
      </c>
      <c r="Q10">
        <f t="shared" si="1"/>
        <v>0.91379310344827591</v>
      </c>
    </row>
    <row r="12" spans="1:17">
      <c r="A12" t="s">
        <v>284</v>
      </c>
      <c r="J12" t="s">
        <v>284</v>
      </c>
    </row>
    <row r="13" spans="1:17">
      <c r="B13" t="s">
        <v>283</v>
      </c>
      <c r="K13" t="s">
        <v>221</v>
      </c>
    </row>
    <row r="14" spans="1:17">
      <c r="A14" t="s">
        <v>225</v>
      </c>
      <c r="B14">
        <v>0</v>
      </c>
      <c r="C14" t="s">
        <v>226</v>
      </c>
      <c r="D14" t="s">
        <v>227</v>
      </c>
      <c r="E14" t="s">
        <v>228</v>
      </c>
      <c r="F14" t="s">
        <v>229</v>
      </c>
      <c r="G14" t="s">
        <v>230</v>
      </c>
      <c r="J14" t="s">
        <v>225</v>
      </c>
      <c r="K14">
        <v>0</v>
      </c>
      <c r="L14" t="s">
        <v>226</v>
      </c>
      <c r="M14" t="s">
        <v>227</v>
      </c>
      <c r="N14" t="s">
        <v>228</v>
      </c>
      <c r="O14" t="s">
        <v>229</v>
      </c>
      <c r="P14" t="s">
        <v>230</v>
      </c>
    </row>
    <row r="15" spans="1:17">
      <c r="A15" t="s">
        <v>215</v>
      </c>
      <c r="B15">
        <v>35</v>
      </c>
      <c r="C15">
        <v>15</v>
      </c>
      <c r="D15">
        <v>2</v>
      </c>
      <c r="E15">
        <v>1</v>
      </c>
      <c r="F15">
        <v>0</v>
      </c>
      <c r="G15">
        <v>0</v>
      </c>
      <c r="H15" s="4">
        <f>G15/58</f>
        <v>0</v>
      </c>
      <c r="J15" t="s">
        <v>215</v>
      </c>
      <c r="K15">
        <v>23</v>
      </c>
      <c r="L15">
        <v>20</v>
      </c>
      <c r="M15">
        <v>7</v>
      </c>
      <c r="N15">
        <v>2</v>
      </c>
      <c r="O15">
        <v>1</v>
      </c>
      <c r="P15">
        <v>0</v>
      </c>
      <c r="Q15">
        <f>P15/58</f>
        <v>0</v>
      </c>
    </row>
    <row r="16" spans="1:17">
      <c r="A16" t="s">
        <v>216</v>
      </c>
      <c r="B16">
        <v>22</v>
      </c>
      <c r="C16">
        <v>19</v>
      </c>
      <c r="D16">
        <v>5</v>
      </c>
      <c r="E16">
        <v>2</v>
      </c>
      <c r="F16">
        <v>1</v>
      </c>
      <c r="G16">
        <v>4</v>
      </c>
      <c r="H16" s="4">
        <f t="shared" ref="H16:H20" si="2">G16/58</f>
        <v>6.8965517241379309E-2</v>
      </c>
      <c r="J16" t="s">
        <v>216</v>
      </c>
      <c r="K16">
        <v>17</v>
      </c>
      <c r="L16">
        <v>13</v>
      </c>
      <c r="M16">
        <v>10</v>
      </c>
      <c r="N16">
        <v>5</v>
      </c>
      <c r="O16">
        <v>4</v>
      </c>
      <c r="P16">
        <v>4</v>
      </c>
      <c r="Q16">
        <f t="shared" ref="Q16:Q20" si="3">P16/58</f>
        <v>6.8965517241379309E-2</v>
      </c>
    </row>
    <row r="17" spans="1:17">
      <c r="A17" t="s">
        <v>217</v>
      </c>
      <c r="B17">
        <v>17</v>
      </c>
      <c r="C17">
        <v>10</v>
      </c>
      <c r="D17">
        <v>8</v>
      </c>
      <c r="E17">
        <v>5</v>
      </c>
      <c r="F17">
        <v>5</v>
      </c>
      <c r="G17">
        <v>8</v>
      </c>
      <c r="H17" s="4">
        <f t="shared" si="2"/>
        <v>0.13793103448275862</v>
      </c>
      <c r="J17" t="s">
        <v>217</v>
      </c>
      <c r="K17">
        <v>13</v>
      </c>
      <c r="L17">
        <v>9</v>
      </c>
      <c r="M17">
        <v>8</v>
      </c>
      <c r="N17">
        <v>7</v>
      </c>
      <c r="O17">
        <v>3</v>
      </c>
      <c r="P17">
        <v>13</v>
      </c>
      <c r="Q17">
        <f t="shared" si="3"/>
        <v>0.22413793103448276</v>
      </c>
    </row>
    <row r="18" spans="1:17">
      <c r="A18" t="s">
        <v>218</v>
      </c>
      <c r="B18">
        <v>10</v>
      </c>
      <c r="C18">
        <v>7</v>
      </c>
      <c r="D18">
        <v>1</v>
      </c>
      <c r="E18">
        <v>7</v>
      </c>
      <c r="F18">
        <v>10</v>
      </c>
      <c r="G18">
        <v>18</v>
      </c>
      <c r="H18" s="4">
        <f t="shared" si="2"/>
        <v>0.31034482758620691</v>
      </c>
      <c r="J18" t="s">
        <v>218</v>
      </c>
      <c r="K18">
        <v>8</v>
      </c>
      <c r="L18">
        <v>7</v>
      </c>
      <c r="M18">
        <v>4</v>
      </c>
      <c r="N18">
        <v>6</v>
      </c>
      <c r="O18">
        <v>9</v>
      </c>
      <c r="P18">
        <v>19</v>
      </c>
      <c r="Q18">
        <f t="shared" si="3"/>
        <v>0.32758620689655171</v>
      </c>
    </row>
    <row r="19" spans="1:17">
      <c r="A19" t="s">
        <v>219</v>
      </c>
      <c r="B19">
        <v>2</v>
      </c>
      <c r="C19">
        <v>1</v>
      </c>
      <c r="D19">
        <v>2</v>
      </c>
      <c r="E19">
        <v>1</v>
      </c>
      <c r="F19">
        <v>4</v>
      </c>
      <c r="G19">
        <v>43</v>
      </c>
      <c r="H19" s="4">
        <f t="shared" si="2"/>
        <v>0.74137931034482762</v>
      </c>
      <c r="J19" t="s">
        <v>219</v>
      </c>
      <c r="K19">
        <v>0</v>
      </c>
      <c r="L19">
        <v>0</v>
      </c>
      <c r="M19">
        <v>0</v>
      </c>
      <c r="N19">
        <v>0</v>
      </c>
      <c r="O19">
        <v>2</v>
      </c>
      <c r="P19">
        <v>51</v>
      </c>
      <c r="Q19">
        <f t="shared" si="3"/>
        <v>0.87931034482758619</v>
      </c>
    </row>
    <row r="20" spans="1:17">
      <c r="A20" t="s">
        <v>220</v>
      </c>
      <c r="B20">
        <v>0</v>
      </c>
      <c r="C20">
        <v>0</v>
      </c>
      <c r="D20">
        <v>0</v>
      </c>
      <c r="E20">
        <v>0</v>
      </c>
      <c r="F20">
        <v>0</v>
      </c>
      <c r="G20">
        <v>53</v>
      </c>
      <c r="H20" s="4">
        <f t="shared" si="2"/>
        <v>0.91379310344827591</v>
      </c>
      <c r="J20" t="s">
        <v>220</v>
      </c>
      <c r="K20">
        <v>0</v>
      </c>
      <c r="L20">
        <v>0</v>
      </c>
      <c r="M20">
        <v>0</v>
      </c>
      <c r="N20">
        <v>0</v>
      </c>
      <c r="O20">
        <v>0</v>
      </c>
      <c r="P20">
        <v>53</v>
      </c>
      <c r="Q20">
        <f t="shared" si="3"/>
        <v>0.91379310344827591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2"/>
  <sheetViews>
    <sheetView workbookViewId="0">
      <pane xSplit="2" ySplit="1" topLeftCell="C354" activePane="bottomRight" state="frozen"/>
      <selection pane="topRight" activeCell="C1" sqref="C1"/>
      <selection pane="bottomLeft" activeCell="A2" sqref="A2"/>
      <selection pane="bottomRight" activeCell="J2" sqref="J2:J472"/>
    </sheetView>
  </sheetViews>
  <sheetFormatPr baseColWidth="10" defaultRowHeight="15" x14ac:dyDescent="0"/>
  <cols>
    <col min="1" max="1" width="20" customWidth="1"/>
  </cols>
  <sheetData>
    <row r="1" spans="1:10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211</v>
      </c>
      <c r="H1" t="s">
        <v>210</v>
      </c>
      <c r="I1" t="s">
        <v>213</v>
      </c>
      <c r="J1" t="s">
        <v>212</v>
      </c>
    </row>
    <row r="2" spans="1:10">
      <c r="A2" t="s">
        <v>4</v>
      </c>
      <c r="B2">
        <v>1</v>
      </c>
      <c r="C2" t="s">
        <v>306</v>
      </c>
      <c r="D2">
        <v>1</v>
      </c>
      <c r="E2">
        <v>17</v>
      </c>
      <c r="F2">
        <v>28</v>
      </c>
      <c r="G2">
        <v>2378</v>
      </c>
      <c r="H2">
        <v>2518</v>
      </c>
      <c r="I2" s="1">
        <f>F2/E2</f>
        <v>1.6470588235294117</v>
      </c>
      <c r="J2" s="1">
        <f>G2/H2</f>
        <v>0.94440031771247024</v>
      </c>
    </row>
    <row r="3" spans="1:10">
      <c r="A3" t="s">
        <v>4</v>
      </c>
      <c r="B3">
        <v>1</v>
      </c>
      <c r="C3" t="s">
        <v>312</v>
      </c>
      <c r="D3">
        <v>2</v>
      </c>
      <c r="E3">
        <v>17</v>
      </c>
      <c r="F3">
        <v>29</v>
      </c>
      <c r="G3">
        <v>2463</v>
      </c>
      <c r="H3">
        <v>2518</v>
      </c>
      <c r="I3" s="1">
        <f t="shared" ref="I3:I66" si="0">F3/E3</f>
        <v>1.7058823529411764</v>
      </c>
      <c r="J3" s="1">
        <f t="shared" ref="J3:J66" si="1">G3/H3</f>
        <v>0.97815726767275613</v>
      </c>
    </row>
    <row r="4" spans="1:10">
      <c r="A4" t="s">
        <v>4</v>
      </c>
      <c r="B4">
        <v>1</v>
      </c>
      <c r="C4" t="s">
        <v>308</v>
      </c>
      <c r="D4">
        <v>3</v>
      </c>
      <c r="E4">
        <v>17</v>
      </c>
      <c r="F4">
        <v>29.0001</v>
      </c>
      <c r="G4">
        <v>2479</v>
      </c>
      <c r="H4">
        <v>2518</v>
      </c>
      <c r="I4" s="1">
        <f t="shared" si="0"/>
        <v>1.7058882352941176</v>
      </c>
      <c r="J4" s="1">
        <f t="shared" si="1"/>
        <v>0.98451151707704532</v>
      </c>
    </row>
    <row r="5" spans="1:10">
      <c r="A5" t="s">
        <v>4</v>
      </c>
      <c r="B5">
        <v>1</v>
      </c>
      <c r="C5" t="s">
        <v>310</v>
      </c>
      <c r="D5">
        <v>4</v>
      </c>
      <c r="E5">
        <v>17</v>
      </c>
      <c r="F5">
        <v>29.000198000000001</v>
      </c>
      <c r="G5">
        <v>2518</v>
      </c>
      <c r="H5">
        <v>2518</v>
      </c>
      <c r="I5" s="1">
        <f t="shared" si="0"/>
        <v>1.705894</v>
      </c>
      <c r="J5" s="1">
        <f t="shared" si="1"/>
        <v>1</v>
      </c>
    </row>
    <row r="6" spans="1:10">
      <c r="A6" t="s">
        <v>4</v>
      </c>
      <c r="B6">
        <v>1</v>
      </c>
      <c r="C6" t="s">
        <v>311</v>
      </c>
      <c r="D6">
        <v>5</v>
      </c>
      <c r="E6">
        <v>17</v>
      </c>
      <c r="F6">
        <v>30</v>
      </c>
      <c r="G6">
        <v>2518</v>
      </c>
      <c r="H6">
        <v>2518</v>
      </c>
      <c r="I6" s="1">
        <f t="shared" si="0"/>
        <v>1.7647058823529411</v>
      </c>
      <c r="J6" s="1">
        <f t="shared" si="1"/>
        <v>1</v>
      </c>
    </row>
    <row r="7" spans="1:10">
      <c r="A7" t="s">
        <v>4</v>
      </c>
      <c r="B7">
        <v>1</v>
      </c>
      <c r="C7" t="s">
        <v>307</v>
      </c>
      <c r="D7">
        <v>6</v>
      </c>
      <c r="E7">
        <v>17</v>
      </c>
      <c r="F7">
        <v>30.0001</v>
      </c>
      <c r="G7">
        <v>2518</v>
      </c>
      <c r="H7">
        <v>2518</v>
      </c>
      <c r="I7" s="1">
        <f t="shared" si="0"/>
        <v>1.7647117647058823</v>
      </c>
      <c r="J7" s="1">
        <f t="shared" si="1"/>
        <v>1</v>
      </c>
    </row>
    <row r="8" spans="1:10">
      <c r="A8" t="s">
        <v>4</v>
      </c>
      <c r="B8">
        <v>1</v>
      </c>
      <c r="C8" t="s">
        <v>309</v>
      </c>
      <c r="D8">
        <v>7</v>
      </c>
      <c r="E8">
        <v>17</v>
      </c>
      <c r="F8">
        <v>30.000198000000001</v>
      </c>
      <c r="G8">
        <v>2518</v>
      </c>
      <c r="H8">
        <v>2518</v>
      </c>
      <c r="I8" s="1">
        <f t="shared" si="0"/>
        <v>1.7647175294117647</v>
      </c>
      <c r="J8" s="1">
        <f t="shared" si="1"/>
        <v>1</v>
      </c>
    </row>
    <row r="9" spans="1:10">
      <c r="A9" t="s">
        <v>4</v>
      </c>
      <c r="B9">
        <v>1</v>
      </c>
      <c r="C9" t="s">
        <v>180</v>
      </c>
      <c r="D9">
        <v>8</v>
      </c>
      <c r="E9">
        <v>17</v>
      </c>
      <c r="F9">
        <v>33</v>
      </c>
      <c r="G9">
        <v>2518</v>
      </c>
      <c r="H9">
        <v>2518</v>
      </c>
      <c r="I9" s="1">
        <f t="shared" si="0"/>
        <v>1.9411764705882353</v>
      </c>
      <c r="J9" s="1">
        <f t="shared" si="1"/>
        <v>1</v>
      </c>
    </row>
    <row r="10" spans="1:10">
      <c r="A10" t="s">
        <v>4</v>
      </c>
      <c r="B10">
        <v>2</v>
      </c>
      <c r="C10" t="s">
        <v>3</v>
      </c>
      <c r="D10">
        <v>1</v>
      </c>
      <c r="E10">
        <v>7</v>
      </c>
      <c r="F10">
        <v>7</v>
      </c>
      <c r="G10">
        <v>232</v>
      </c>
      <c r="H10">
        <v>1238</v>
      </c>
      <c r="I10" s="1">
        <f t="shared" si="0"/>
        <v>1</v>
      </c>
      <c r="J10" s="1">
        <f t="shared" si="1"/>
        <v>0.18739903069466882</v>
      </c>
    </row>
    <row r="11" spans="1:10">
      <c r="A11" t="s">
        <v>4</v>
      </c>
      <c r="B11">
        <v>2</v>
      </c>
      <c r="C11" t="s">
        <v>5</v>
      </c>
      <c r="D11">
        <v>2</v>
      </c>
      <c r="E11">
        <v>7</v>
      </c>
      <c r="F11">
        <v>9</v>
      </c>
      <c r="G11">
        <v>512</v>
      </c>
      <c r="H11">
        <v>1238</v>
      </c>
      <c r="I11" s="1">
        <f t="shared" si="0"/>
        <v>1.2857142857142858</v>
      </c>
      <c r="J11" s="1">
        <f t="shared" si="1"/>
        <v>0.41357027463651053</v>
      </c>
    </row>
    <row r="12" spans="1:10">
      <c r="A12" t="s">
        <v>4</v>
      </c>
      <c r="B12">
        <v>2</v>
      </c>
      <c r="C12" t="s">
        <v>9</v>
      </c>
      <c r="D12">
        <v>3</v>
      </c>
      <c r="E12">
        <v>7</v>
      </c>
      <c r="F12">
        <v>10</v>
      </c>
      <c r="G12">
        <v>843</v>
      </c>
      <c r="H12">
        <v>1238</v>
      </c>
      <c r="I12" s="1">
        <f t="shared" si="0"/>
        <v>1.4285714285714286</v>
      </c>
      <c r="J12" s="1">
        <f t="shared" si="1"/>
        <v>0.68093699515347339</v>
      </c>
    </row>
    <row r="13" spans="1:10">
      <c r="A13" t="s">
        <v>4</v>
      </c>
      <c r="B13">
        <v>2</v>
      </c>
      <c r="C13" t="s">
        <v>11</v>
      </c>
      <c r="D13">
        <v>4</v>
      </c>
      <c r="E13">
        <v>7</v>
      </c>
      <c r="F13">
        <v>10.0001</v>
      </c>
      <c r="G13">
        <v>843</v>
      </c>
      <c r="H13">
        <v>1238</v>
      </c>
      <c r="I13" s="1">
        <f t="shared" si="0"/>
        <v>1.4285857142857143</v>
      </c>
      <c r="J13" s="1">
        <f t="shared" si="1"/>
        <v>0.68093699515347339</v>
      </c>
    </row>
    <row r="14" spans="1:10">
      <c r="A14" t="s">
        <v>4</v>
      </c>
      <c r="B14">
        <v>2</v>
      </c>
      <c r="C14" t="s">
        <v>6</v>
      </c>
      <c r="D14">
        <v>5</v>
      </c>
      <c r="E14">
        <v>7</v>
      </c>
      <c r="F14">
        <v>10.0002</v>
      </c>
      <c r="G14">
        <v>843</v>
      </c>
      <c r="H14">
        <v>1238</v>
      </c>
      <c r="I14" s="1">
        <f t="shared" si="0"/>
        <v>1.4285999999999999</v>
      </c>
      <c r="J14" s="1">
        <f t="shared" si="1"/>
        <v>0.68093699515347339</v>
      </c>
    </row>
    <row r="15" spans="1:10">
      <c r="A15" t="s">
        <v>4</v>
      </c>
      <c r="B15">
        <v>2</v>
      </c>
      <c r="C15" t="s">
        <v>12</v>
      </c>
      <c r="D15">
        <v>6</v>
      </c>
      <c r="E15">
        <v>7</v>
      </c>
      <c r="F15">
        <v>11</v>
      </c>
      <c r="G15">
        <v>843</v>
      </c>
      <c r="H15">
        <v>1238</v>
      </c>
      <c r="I15" s="1">
        <f t="shared" si="0"/>
        <v>1.5714285714285714</v>
      </c>
      <c r="J15" s="1">
        <f t="shared" si="1"/>
        <v>0.68093699515347339</v>
      </c>
    </row>
    <row r="16" spans="1:10">
      <c r="A16" t="s">
        <v>4</v>
      </c>
      <c r="B16">
        <v>2</v>
      </c>
      <c r="C16" t="s">
        <v>7</v>
      </c>
      <c r="D16">
        <v>7</v>
      </c>
      <c r="E16">
        <v>7</v>
      </c>
      <c r="F16">
        <v>11.0001</v>
      </c>
      <c r="G16">
        <v>1210</v>
      </c>
      <c r="H16">
        <v>1238</v>
      </c>
      <c r="I16" s="1">
        <f t="shared" si="0"/>
        <v>1.5714428571428571</v>
      </c>
      <c r="J16" s="1">
        <f t="shared" si="1"/>
        <v>0.97738287560581583</v>
      </c>
    </row>
    <row r="17" spans="1:10">
      <c r="A17" t="s">
        <v>4</v>
      </c>
      <c r="B17">
        <v>2</v>
      </c>
      <c r="C17" t="s">
        <v>13</v>
      </c>
      <c r="D17">
        <v>8</v>
      </c>
      <c r="E17">
        <v>7</v>
      </c>
      <c r="F17">
        <v>11.0002</v>
      </c>
      <c r="G17">
        <v>1222</v>
      </c>
      <c r="H17">
        <v>1238</v>
      </c>
      <c r="I17" s="1">
        <f t="shared" si="0"/>
        <v>1.5714571428571429</v>
      </c>
      <c r="J17" s="1">
        <f t="shared" si="1"/>
        <v>0.98707592891760909</v>
      </c>
    </row>
    <row r="18" spans="1:10">
      <c r="A18" t="s">
        <v>4</v>
      </c>
      <c r="B18">
        <v>2</v>
      </c>
      <c r="C18" t="s">
        <v>15</v>
      </c>
      <c r="D18">
        <v>9</v>
      </c>
      <c r="E18">
        <v>7</v>
      </c>
      <c r="F18">
        <v>11.000299999999999</v>
      </c>
      <c r="G18">
        <v>1222</v>
      </c>
      <c r="H18">
        <v>1238</v>
      </c>
      <c r="I18" s="1">
        <f t="shared" si="0"/>
        <v>1.5714714285714284</v>
      </c>
      <c r="J18" s="1">
        <f t="shared" si="1"/>
        <v>0.98707592891760909</v>
      </c>
    </row>
    <row r="19" spans="1:10">
      <c r="A19" t="s">
        <v>4</v>
      </c>
      <c r="B19">
        <v>2</v>
      </c>
      <c r="C19" t="s">
        <v>16</v>
      </c>
      <c r="D19">
        <v>10</v>
      </c>
      <c r="E19">
        <v>7</v>
      </c>
      <c r="F19">
        <v>11.000401</v>
      </c>
      <c r="G19">
        <v>1234</v>
      </c>
      <c r="H19">
        <v>1238</v>
      </c>
      <c r="I19" s="1">
        <f t="shared" si="0"/>
        <v>1.5714858571428572</v>
      </c>
      <c r="J19" s="1">
        <f t="shared" si="1"/>
        <v>0.99676898222940225</v>
      </c>
    </row>
    <row r="20" spans="1:10">
      <c r="A20" t="s">
        <v>4</v>
      </c>
      <c r="B20">
        <v>2</v>
      </c>
      <c r="C20" t="s">
        <v>17</v>
      </c>
      <c r="D20">
        <v>11</v>
      </c>
      <c r="E20">
        <v>7</v>
      </c>
      <c r="F20">
        <v>11.000501</v>
      </c>
      <c r="G20">
        <v>1234</v>
      </c>
      <c r="H20">
        <v>1238</v>
      </c>
      <c r="I20" s="1">
        <f t="shared" si="0"/>
        <v>1.5715001428571429</v>
      </c>
      <c r="J20" s="1">
        <f t="shared" si="1"/>
        <v>0.99676898222940225</v>
      </c>
    </row>
    <row r="21" spans="1:10">
      <c r="A21" t="s">
        <v>4</v>
      </c>
      <c r="B21">
        <v>2</v>
      </c>
      <c r="C21" t="s">
        <v>8</v>
      </c>
      <c r="D21">
        <v>12</v>
      </c>
      <c r="E21">
        <v>7</v>
      </c>
      <c r="F21">
        <v>12</v>
      </c>
      <c r="G21">
        <v>1234</v>
      </c>
      <c r="H21">
        <v>1238</v>
      </c>
      <c r="I21" s="1">
        <f t="shared" si="0"/>
        <v>1.7142857142857142</v>
      </c>
      <c r="J21" s="1">
        <f t="shared" si="1"/>
        <v>0.99676898222940225</v>
      </c>
    </row>
    <row r="22" spans="1:10">
      <c r="A22" t="s">
        <v>4</v>
      </c>
      <c r="B22">
        <v>2</v>
      </c>
      <c r="C22" t="s">
        <v>10</v>
      </c>
      <c r="D22">
        <v>13</v>
      </c>
      <c r="E22">
        <v>7</v>
      </c>
      <c r="F22">
        <v>12.0001</v>
      </c>
      <c r="G22">
        <v>1234</v>
      </c>
      <c r="H22">
        <v>1238</v>
      </c>
      <c r="I22" s="1">
        <f t="shared" si="0"/>
        <v>1.7142999999999999</v>
      </c>
      <c r="J22" s="1">
        <f t="shared" si="1"/>
        <v>0.99676898222940225</v>
      </c>
    </row>
    <row r="23" spans="1:10">
      <c r="A23" t="s">
        <v>4</v>
      </c>
      <c r="B23">
        <v>2</v>
      </c>
      <c r="C23" t="s">
        <v>14</v>
      </c>
      <c r="D23">
        <v>14</v>
      </c>
      <c r="E23">
        <v>7</v>
      </c>
      <c r="F23">
        <v>12.0002</v>
      </c>
      <c r="G23">
        <v>1234</v>
      </c>
      <c r="H23">
        <v>1238</v>
      </c>
      <c r="I23" s="1">
        <f t="shared" si="0"/>
        <v>1.7143142857142857</v>
      </c>
      <c r="J23" s="1">
        <f t="shared" si="1"/>
        <v>0.99676898222940225</v>
      </c>
    </row>
    <row r="24" spans="1:10">
      <c r="A24" t="s">
        <v>4</v>
      </c>
      <c r="B24">
        <v>2</v>
      </c>
      <c r="C24" t="s">
        <v>18</v>
      </c>
      <c r="D24">
        <v>15</v>
      </c>
      <c r="E24">
        <v>7</v>
      </c>
      <c r="F24">
        <v>17</v>
      </c>
      <c r="G24">
        <v>1238</v>
      </c>
      <c r="H24">
        <v>1238</v>
      </c>
      <c r="I24" s="1">
        <f t="shared" si="0"/>
        <v>2.4285714285714284</v>
      </c>
      <c r="J24" s="1">
        <f t="shared" si="1"/>
        <v>1</v>
      </c>
    </row>
    <row r="25" spans="1:10">
      <c r="A25" t="s">
        <v>4</v>
      </c>
      <c r="B25">
        <v>6</v>
      </c>
      <c r="C25" t="s">
        <v>19</v>
      </c>
      <c r="D25">
        <v>1</v>
      </c>
      <c r="E25">
        <v>2</v>
      </c>
      <c r="F25">
        <v>3</v>
      </c>
      <c r="G25">
        <v>14</v>
      </c>
      <c r="H25">
        <v>80</v>
      </c>
      <c r="I25" s="1">
        <f t="shared" si="0"/>
        <v>1.5</v>
      </c>
      <c r="J25" s="1">
        <f t="shared" si="1"/>
        <v>0.17499999999999999</v>
      </c>
    </row>
    <row r="26" spans="1:10">
      <c r="A26" t="s">
        <v>4</v>
      </c>
      <c r="B26">
        <v>6</v>
      </c>
      <c r="C26" t="s">
        <v>1</v>
      </c>
      <c r="D26">
        <v>2</v>
      </c>
      <c r="E26">
        <v>2</v>
      </c>
      <c r="F26">
        <v>4</v>
      </c>
      <c r="G26">
        <v>24</v>
      </c>
      <c r="H26">
        <v>80</v>
      </c>
      <c r="I26" s="1">
        <f t="shared" si="0"/>
        <v>2</v>
      </c>
      <c r="J26" s="1">
        <f t="shared" si="1"/>
        <v>0.3</v>
      </c>
    </row>
    <row r="27" spans="1:10">
      <c r="A27" t="s">
        <v>4</v>
      </c>
      <c r="B27">
        <v>6</v>
      </c>
      <c r="C27" t="s">
        <v>20</v>
      </c>
      <c r="D27">
        <v>3</v>
      </c>
      <c r="E27">
        <v>2</v>
      </c>
      <c r="F27">
        <v>4.0000999999999998</v>
      </c>
      <c r="G27">
        <v>71</v>
      </c>
      <c r="H27">
        <v>80</v>
      </c>
      <c r="I27" s="1">
        <f t="shared" si="0"/>
        <v>2.0000499999999999</v>
      </c>
      <c r="J27" s="1">
        <f t="shared" si="1"/>
        <v>0.88749999999999996</v>
      </c>
    </row>
    <row r="28" spans="1:10">
      <c r="A28" t="s">
        <v>4</v>
      </c>
      <c r="B28">
        <v>6</v>
      </c>
      <c r="C28" t="s">
        <v>21</v>
      </c>
      <c r="D28">
        <v>4</v>
      </c>
      <c r="E28">
        <v>2</v>
      </c>
      <c r="F28">
        <v>4.0002003000000004</v>
      </c>
      <c r="G28">
        <v>80</v>
      </c>
      <c r="H28">
        <v>80</v>
      </c>
      <c r="I28" s="1">
        <f t="shared" si="0"/>
        <v>2.0001001500000002</v>
      </c>
      <c r="J28" s="1">
        <f t="shared" si="1"/>
        <v>1</v>
      </c>
    </row>
    <row r="29" spans="1:10">
      <c r="A29" t="s">
        <v>4</v>
      </c>
      <c r="B29">
        <v>6</v>
      </c>
      <c r="C29" t="s">
        <v>22</v>
      </c>
      <c r="D29">
        <v>5</v>
      </c>
      <c r="E29">
        <v>2</v>
      </c>
      <c r="F29">
        <v>4.0003004000000004</v>
      </c>
      <c r="G29">
        <v>80</v>
      </c>
      <c r="H29">
        <v>80</v>
      </c>
      <c r="I29" s="1">
        <f t="shared" si="0"/>
        <v>2.0001502000000002</v>
      </c>
      <c r="J29" s="1">
        <f t="shared" si="1"/>
        <v>1</v>
      </c>
    </row>
    <row r="30" spans="1:10">
      <c r="A30" t="s">
        <v>4</v>
      </c>
      <c r="B30">
        <v>9</v>
      </c>
      <c r="C30" t="s">
        <v>23</v>
      </c>
      <c r="D30">
        <v>1</v>
      </c>
      <c r="E30">
        <v>14</v>
      </c>
      <c r="F30">
        <v>10</v>
      </c>
      <c r="G30">
        <v>131</v>
      </c>
      <c r="H30">
        <v>5239</v>
      </c>
      <c r="I30" s="1">
        <f t="shared" si="0"/>
        <v>0.7142857142857143</v>
      </c>
      <c r="J30" s="1">
        <f t="shared" si="1"/>
        <v>2.500477190303493E-2</v>
      </c>
    </row>
    <row r="31" spans="1:10">
      <c r="A31" t="s">
        <v>4</v>
      </c>
      <c r="B31">
        <v>9</v>
      </c>
      <c r="C31" t="s">
        <v>26</v>
      </c>
      <c r="D31">
        <v>2</v>
      </c>
      <c r="E31">
        <v>14</v>
      </c>
      <c r="F31">
        <v>11</v>
      </c>
      <c r="G31">
        <v>647</v>
      </c>
      <c r="H31">
        <v>5239</v>
      </c>
      <c r="I31" s="1">
        <f t="shared" si="0"/>
        <v>0.7857142857142857</v>
      </c>
      <c r="J31" s="1">
        <f t="shared" si="1"/>
        <v>0.12349685054399695</v>
      </c>
    </row>
    <row r="32" spans="1:10">
      <c r="A32" t="s">
        <v>4</v>
      </c>
      <c r="B32">
        <v>9</v>
      </c>
      <c r="C32" t="s">
        <v>24</v>
      </c>
      <c r="D32">
        <v>3</v>
      </c>
      <c r="E32">
        <v>14</v>
      </c>
      <c r="F32">
        <v>11.0001</v>
      </c>
      <c r="G32">
        <v>762</v>
      </c>
      <c r="H32">
        <v>5239</v>
      </c>
      <c r="I32" s="1">
        <f t="shared" si="0"/>
        <v>0.78572142857142857</v>
      </c>
      <c r="J32" s="1">
        <f t="shared" si="1"/>
        <v>0.14544760450467648</v>
      </c>
    </row>
    <row r="33" spans="1:10">
      <c r="A33" t="s">
        <v>4</v>
      </c>
      <c r="B33">
        <v>9</v>
      </c>
      <c r="C33" t="s">
        <v>25</v>
      </c>
      <c r="D33">
        <v>4</v>
      </c>
      <c r="E33">
        <v>14</v>
      </c>
      <c r="F33">
        <v>12</v>
      </c>
      <c r="G33">
        <v>997</v>
      </c>
      <c r="H33">
        <v>5239</v>
      </c>
      <c r="I33" s="1">
        <f t="shared" si="0"/>
        <v>0.8571428571428571</v>
      </c>
      <c r="J33" s="1">
        <f t="shared" si="1"/>
        <v>0.19030349303302158</v>
      </c>
    </row>
    <row r="34" spans="1:10">
      <c r="A34" t="s">
        <v>4</v>
      </c>
      <c r="B34">
        <v>9</v>
      </c>
      <c r="C34" t="s">
        <v>3</v>
      </c>
      <c r="D34">
        <v>5</v>
      </c>
      <c r="E34">
        <v>14</v>
      </c>
      <c r="F34">
        <v>12.0001</v>
      </c>
      <c r="G34">
        <v>1210</v>
      </c>
      <c r="H34">
        <v>5239</v>
      </c>
      <c r="I34" s="1">
        <f t="shared" si="0"/>
        <v>0.85714999999999997</v>
      </c>
      <c r="J34" s="1">
        <f t="shared" si="1"/>
        <v>0.23096010689062799</v>
      </c>
    </row>
    <row r="35" spans="1:10">
      <c r="A35" t="s">
        <v>4</v>
      </c>
      <c r="B35">
        <v>9</v>
      </c>
      <c r="C35" t="s">
        <v>27</v>
      </c>
      <c r="D35">
        <v>6</v>
      </c>
      <c r="E35">
        <v>14</v>
      </c>
      <c r="F35">
        <v>15</v>
      </c>
      <c r="G35">
        <v>2501</v>
      </c>
      <c r="H35">
        <v>5239</v>
      </c>
      <c r="I35" s="1">
        <f t="shared" si="0"/>
        <v>1.0714285714285714</v>
      </c>
      <c r="J35" s="1">
        <f t="shared" si="1"/>
        <v>0.47738117961443022</v>
      </c>
    </row>
    <row r="36" spans="1:10">
      <c r="A36" t="s">
        <v>4</v>
      </c>
      <c r="B36">
        <v>9</v>
      </c>
      <c r="C36" t="s">
        <v>28</v>
      </c>
      <c r="D36">
        <v>7</v>
      </c>
      <c r="E36">
        <v>14</v>
      </c>
      <c r="F36">
        <v>15.0001</v>
      </c>
      <c r="G36">
        <v>3928</v>
      </c>
      <c r="H36">
        <v>5239</v>
      </c>
      <c r="I36" s="1">
        <f t="shared" si="0"/>
        <v>1.0714357142857143</v>
      </c>
      <c r="J36" s="1">
        <f t="shared" si="1"/>
        <v>0.74976140484825349</v>
      </c>
    </row>
    <row r="37" spans="1:10">
      <c r="A37" t="s">
        <v>4</v>
      </c>
      <c r="B37">
        <v>9</v>
      </c>
      <c r="C37" t="s">
        <v>30</v>
      </c>
      <c r="D37">
        <v>8</v>
      </c>
      <c r="E37">
        <v>14</v>
      </c>
      <c r="F37">
        <v>15.0002</v>
      </c>
      <c r="G37">
        <v>4973</v>
      </c>
      <c r="H37">
        <v>5239</v>
      </c>
      <c r="I37" s="1">
        <f t="shared" si="0"/>
        <v>1.0714428571428571</v>
      </c>
      <c r="J37" s="1">
        <f t="shared" si="1"/>
        <v>0.94922695170834126</v>
      </c>
    </row>
    <row r="38" spans="1:10">
      <c r="A38" t="s">
        <v>4</v>
      </c>
      <c r="B38">
        <v>9</v>
      </c>
      <c r="C38" t="s">
        <v>29</v>
      </c>
      <c r="D38">
        <v>9</v>
      </c>
      <c r="E38">
        <v>14</v>
      </c>
      <c r="F38">
        <v>16</v>
      </c>
      <c r="G38">
        <v>5173</v>
      </c>
      <c r="H38">
        <v>5239</v>
      </c>
      <c r="I38" s="1">
        <f t="shared" si="0"/>
        <v>1.1428571428571428</v>
      </c>
      <c r="J38" s="1">
        <f t="shared" si="1"/>
        <v>0.9874021759877839</v>
      </c>
    </row>
    <row r="39" spans="1:10">
      <c r="A39" t="s">
        <v>4</v>
      </c>
      <c r="B39">
        <v>9</v>
      </c>
      <c r="C39" t="s">
        <v>31</v>
      </c>
      <c r="D39">
        <v>10</v>
      </c>
      <c r="E39">
        <v>14</v>
      </c>
      <c r="F39">
        <v>20</v>
      </c>
      <c r="G39">
        <v>5239</v>
      </c>
      <c r="H39">
        <v>5239</v>
      </c>
      <c r="I39" s="1">
        <f t="shared" si="0"/>
        <v>1.4285714285714286</v>
      </c>
      <c r="J39" s="1">
        <f t="shared" si="1"/>
        <v>1</v>
      </c>
    </row>
    <row r="40" spans="1:10">
      <c r="A40" t="s">
        <v>32</v>
      </c>
      <c r="B40">
        <v>2</v>
      </c>
      <c r="C40" t="s">
        <v>33</v>
      </c>
      <c r="D40">
        <v>1</v>
      </c>
      <c r="E40">
        <v>4</v>
      </c>
      <c r="F40">
        <v>4</v>
      </c>
      <c r="G40">
        <v>41</v>
      </c>
      <c r="H40">
        <v>364</v>
      </c>
      <c r="I40" s="1">
        <f t="shared" si="0"/>
        <v>1</v>
      </c>
      <c r="J40" s="1">
        <f t="shared" si="1"/>
        <v>0.11263736263736264</v>
      </c>
    </row>
    <row r="41" spans="1:10">
      <c r="A41" t="s">
        <v>32</v>
      </c>
      <c r="B41">
        <v>2</v>
      </c>
      <c r="C41" t="s">
        <v>34</v>
      </c>
      <c r="D41">
        <v>2</v>
      </c>
      <c r="E41">
        <v>4</v>
      </c>
      <c r="F41">
        <v>6</v>
      </c>
      <c r="G41">
        <v>139</v>
      </c>
      <c r="H41">
        <v>364</v>
      </c>
      <c r="I41" s="1">
        <f t="shared" si="0"/>
        <v>1.5</v>
      </c>
      <c r="J41" s="1">
        <f t="shared" si="1"/>
        <v>0.38186813186813184</v>
      </c>
    </row>
    <row r="42" spans="1:10">
      <c r="A42" t="s">
        <v>32</v>
      </c>
      <c r="B42">
        <v>2</v>
      </c>
      <c r="C42" t="s">
        <v>0</v>
      </c>
      <c r="D42">
        <v>3</v>
      </c>
      <c r="E42">
        <v>4</v>
      </c>
      <c r="F42">
        <v>7</v>
      </c>
      <c r="G42">
        <v>312</v>
      </c>
      <c r="H42">
        <v>364</v>
      </c>
      <c r="I42" s="1">
        <f t="shared" si="0"/>
        <v>1.75</v>
      </c>
      <c r="J42" s="1">
        <f t="shared" si="1"/>
        <v>0.8571428571428571</v>
      </c>
    </row>
    <row r="43" spans="1:10">
      <c r="A43" t="s">
        <v>32</v>
      </c>
      <c r="B43">
        <v>2</v>
      </c>
      <c r="C43" t="s">
        <v>35</v>
      </c>
      <c r="D43">
        <v>4</v>
      </c>
      <c r="E43">
        <v>4</v>
      </c>
      <c r="F43">
        <v>9</v>
      </c>
      <c r="G43">
        <v>364</v>
      </c>
      <c r="H43">
        <v>364</v>
      </c>
      <c r="I43" s="1">
        <f t="shared" si="0"/>
        <v>2.25</v>
      </c>
      <c r="J43" s="1">
        <f t="shared" si="1"/>
        <v>1</v>
      </c>
    </row>
    <row r="44" spans="1:10">
      <c r="A44" t="s">
        <v>32</v>
      </c>
      <c r="B44">
        <v>4</v>
      </c>
      <c r="C44" t="s">
        <v>33</v>
      </c>
      <c r="D44">
        <v>1</v>
      </c>
      <c r="E44">
        <v>3</v>
      </c>
      <c r="F44">
        <v>4</v>
      </c>
      <c r="G44">
        <v>41</v>
      </c>
      <c r="H44">
        <v>364</v>
      </c>
      <c r="I44" s="1">
        <f t="shared" si="0"/>
        <v>1.3333333333333333</v>
      </c>
      <c r="J44" s="1">
        <f t="shared" si="1"/>
        <v>0.11263736263736264</v>
      </c>
    </row>
    <row r="45" spans="1:10">
      <c r="A45" t="s">
        <v>32</v>
      </c>
      <c r="B45">
        <v>4</v>
      </c>
      <c r="C45" t="s">
        <v>34</v>
      </c>
      <c r="D45">
        <v>2</v>
      </c>
      <c r="E45">
        <v>3</v>
      </c>
      <c r="F45">
        <v>6</v>
      </c>
      <c r="G45">
        <v>139</v>
      </c>
      <c r="H45">
        <v>364</v>
      </c>
      <c r="I45" s="1">
        <f t="shared" si="0"/>
        <v>2</v>
      </c>
      <c r="J45" s="1">
        <f t="shared" si="1"/>
        <v>0.38186813186813184</v>
      </c>
    </row>
    <row r="46" spans="1:10">
      <c r="A46" t="s">
        <v>32</v>
      </c>
      <c r="B46">
        <v>4</v>
      </c>
      <c r="C46" t="s">
        <v>0</v>
      </c>
      <c r="D46">
        <v>3</v>
      </c>
      <c r="E46">
        <v>3</v>
      </c>
      <c r="F46">
        <v>6.0000999999999998</v>
      </c>
      <c r="G46">
        <v>312</v>
      </c>
      <c r="H46">
        <v>364</v>
      </c>
      <c r="I46" s="1">
        <f t="shared" si="0"/>
        <v>2.0000333333333331</v>
      </c>
      <c r="J46" s="1">
        <f t="shared" si="1"/>
        <v>0.8571428571428571</v>
      </c>
    </row>
    <row r="47" spans="1:10">
      <c r="A47" t="s">
        <v>32</v>
      </c>
      <c r="B47">
        <v>4</v>
      </c>
      <c r="C47" t="s">
        <v>35</v>
      </c>
      <c r="D47">
        <v>4</v>
      </c>
      <c r="E47">
        <v>3</v>
      </c>
      <c r="F47">
        <v>8</v>
      </c>
      <c r="G47">
        <v>364</v>
      </c>
      <c r="H47">
        <v>364</v>
      </c>
      <c r="I47" s="1">
        <f t="shared" si="0"/>
        <v>2.6666666666666665</v>
      </c>
      <c r="J47" s="1">
        <f t="shared" si="1"/>
        <v>1</v>
      </c>
    </row>
    <row r="48" spans="1:10">
      <c r="A48" t="s">
        <v>32</v>
      </c>
      <c r="B48">
        <v>13</v>
      </c>
      <c r="C48" t="s">
        <v>313</v>
      </c>
      <c r="D48">
        <v>1</v>
      </c>
      <c r="E48">
        <v>1</v>
      </c>
      <c r="F48">
        <v>3</v>
      </c>
      <c r="G48">
        <v>5</v>
      </c>
      <c r="H48">
        <v>6</v>
      </c>
      <c r="I48" s="1">
        <f t="shared" si="0"/>
        <v>3</v>
      </c>
      <c r="J48" s="1">
        <f t="shared" si="1"/>
        <v>0.83333333333333337</v>
      </c>
    </row>
    <row r="49" spans="1:10">
      <c r="A49" t="s">
        <v>32</v>
      </c>
      <c r="B49">
        <v>13</v>
      </c>
      <c r="C49" t="s">
        <v>314</v>
      </c>
      <c r="D49">
        <v>2</v>
      </c>
      <c r="E49">
        <v>1</v>
      </c>
      <c r="F49">
        <v>3.0001000000000002</v>
      </c>
      <c r="G49">
        <v>6</v>
      </c>
      <c r="H49">
        <v>6</v>
      </c>
      <c r="I49" s="1">
        <f t="shared" si="0"/>
        <v>3.0001000000000002</v>
      </c>
      <c r="J49" s="1">
        <f t="shared" si="1"/>
        <v>1</v>
      </c>
    </row>
    <row r="50" spans="1:10">
      <c r="A50" t="s">
        <v>32</v>
      </c>
      <c r="B50">
        <v>16</v>
      </c>
      <c r="C50" t="s">
        <v>36</v>
      </c>
      <c r="D50">
        <v>1</v>
      </c>
      <c r="E50">
        <v>52</v>
      </c>
      <c r="F50">
        <v>10</v>
      </c>
      <c r="G50">
        <v>9</v>
      </c>
      <c r="H50">
        <v>19454</v>
      </c>
      <c r="I50" s="1">
        <f t="shared" si="0"/>
        <v>0.19230769230769232</v>
      </c>
      <c r="J50" s="1">
        <f t="shared" si="1"/>
        <v>4.6262979335869232E-4</v>
      </c>
    </row>
    <row r="51" spans="1:10">
      <c r="A51" t="s">
        <v>32</v>
      </c>
      <c r="B51">
        <v>16</v>
      </c>
      <c r="C51" t="s">
        <v>37</v>
      </c>
      <c r="D51">
        <v>2</v>
      </c>
      <c r="E51">
        <v>52</v>
      </c>
      <c r="F51">
        <v>10.0001</v>
      </c>
      <c r="G51">
        <v>22</v>
      </c>
      <c r="H51">
        <v>19454</v>
      </c>
      <c r="I51" s="1">
        <f t="shared" si="0"/>
        <v>0.19230961538461538</v>
      </c>
      <c r="J51" s="1">
        <f t="shared" si="1"/>
        <v>1.1308728282101368E-3</v>
      </c>
    </row>
    <row r="52" spans="1:10">
      <c r="A52" t="s">
        <v>32</v>
      </c>
      <c r="B52">
        <v>16</v>
      </c>
      <c r="C52" t="s">
        <v>38</v>
      </c>
      <c r="D52">
        <v>3</v>
      </c>
      <c r="E52">
        <v>52</v>
      </c>
      <c r="F52">
        <v>88</v>
      </c>
      <c r="G52">
        <v>14267</v>
      </c>
      <c r="H52">
        <v>19454</v>
      </c>
      <c r="I52" s="1">
        <f t="shared" si="0"/>
        <v>1.6923076923076923</v>
      </c>
      <c r="J52" s="1">
        <f t="shared" si="1"/>
        <v>0.73337102909427365</v>
      </c>
    </row>
    <row r="53" spans="1:10">
      <c r="A53" t="s">
        <v>32</v>
      </c>
      <c r="B53">
        <v>16</v>
      </c>
      <c r="C53" t="s">
        <v>39</v>
      </c>
      <c r="D53">
        <v>4</v>
      </c>
      <c r="E53">
        <v>52</v>
      </c>
      <c r="F53">
        <v>91</v>
      </c>
      <c r="G53">
        <v>19454</v>
      </c>
      <c r="H53">
        <v>19454</v>
      </c>
      <c r="I53" s="1">
        <f t="shared" si="0"/>
        <v>1.75</v>
      </c>
      <c r="J53" s="1">
        <f t="shared" si="1"/>
        <v>1</v>
      </c>
    </row>
    <row r="54" spans="1:10">
      <c r="A54" t="s">
        <v>32</v>
      </c>
      <c r="B54">
        <v>18</v>
      </c>
      <c r="C54" t="s">
        <v>33</v>
      </c>
      <c r="D54">
        <v>1</v>
      </c>
      <c r="E54">
        <v>47</v>
      </c>
      <c r="F54">
        <v>8</v>
      </c>
      <c r="G54">
        <v>17</v>
      </c>
      <c r="H54">
        <v>9280</v>
      </c>
      <c r="I54" s="1">
        <f t="shared" si="0"/>
        <v>0.1702127659574468</v>
      </c>
      <c r="J54" s="1">
        <f t="shared" si="1"/>
        <v>1.8318965517241379E-3</v>
      </c>
    </row>
    <row r="55" spans="1:10">
      <c r="A55" t="s">
        <v>32</v>
      </c>
      <c r="B55">
        <v>18</v>
      </c>
      <c r="C55" t="s">
        <v>2</v>
      </c>
      <c r="D55">
        <v>2</v>
      </c>
      <c r="E55">
        <v>47</v>
      </c>
      <c r="F55">
        <v>9</v>
      </c>
      <c r="G55">
        <v>33</v>
      </c>
      <c r="H55">
        <v>9280</v>
      </c>
      <c r="I55" s="1">
        <f t="shared" si="0"/>
        <v>0.19148936170212766</v>
      </c>
      <c r="J55" s="1">
        <f t="shared" si="1"/>
        <v>3.5560344827586209E-3</v>
      </c>
    </row>
    <row r="56" spans="1:10">
      <c r="A56" t="s">
        <v>32</v>
      </c>
      <c r="B56">
        <v>18</v>
      </c>
      <c r="C56" t="s">
        <v>40</v>
      </c>
      <c r="D56">
        <v>3</v>
      </c>
      <c r="E56">
        <v>47</v>
      </c>
      <c r="F56">
        <v>9.0000999999999998</v>
      </c>
      <c r="G56">
        <v>159</v>
      </c>
      <c r="H56">
        <v>9280</v>
      </c>
      <c r="I56" s="1">
        <f t="shared" si="0"/>
        <v>0.19149148936170213</v>
      </c>
      <c r="J56" s="1">
        <f t="shared" si="1"/>
        <v>1.7133620689655172E-2</v>
      </c>
    </row>
    <row r="57" spans="1:10">
      <c r="A57" t="s">
        <v>32</v>
      </c>
      <c r="B57">
        <v>18</v>
      </c>
      <c r="C57" t="s">
        <v>41</v>
      </c>
      <c r="D57">
        <v>4</v>
      </c>
      <c r="E57">
        <v>47</v>
      </c>
      <c r="F57">
        <v>11</v>
      </c>
      <c r="G57">
        <v>246</v>
      </c>
      <c r="H57">
        <v>9280</v>
      </c>
      <c r="I57" s="1">
        <f t="shared" si="0"/>
        <v>0.23404255319148937</v>
      </c>
      <c r="J57" s="1">
        <f t="shared" si="1"/>
        <v>2.6508620689655173E-2</v>
      </c>
    </row>
    <row r="58" spans="1:10">
      <c r="A58" t="s">
        <v>32</v>
      </c>
      <c r="B58">
        <v>18</v>
      </c>
      <c r="C58" t="s">
        <v>53</v>
      </c>
      <c r="D58">
        <v>5</v>
      </c>
      <c r="E58">
        <v>47</v>
      </c>
      <c r="F58">
        <v>12</v>
      </c>
      <c r="G58">
        <v>622</v>
      </c>
      <c r="H58">
        <v>9280</v>
      </c>
      <c r="I58" s="1">
        <f t="shared" si="0"/>
        <v>0.25531914893617019</v>
      </c>
      <c r="J58" s="1">
        <f t="shared" si="1"/>
        <v>6.7025862068965519E-2</v>
      </c>
    </row>
    <row r="59" spans="1:10">
      <c r="A59" t="s">
        <v>32</v>
      </c>
      <c r="B59">
        <v>18</v>
      </c>
      <c r="C59" t="s">
        <v>45</v>
      </c>
      <c r="D59">
        <v>6</v>
      </c>
      <c r="E59">
        <v>47</v>
      </c>
      <c r="F59">
        <v>13</v>
      </c>
      <c r="G59">
        <v>680</v>
      </c>
      <c r="H59">
        <v>9280</v>
      </c>
      <c r="I59" s="1">
        <f t="shared" si="0"/>
        <v>0.27659574468085107</v>
      </c>
      <c r="J59" s="1">
        <f t="shared" si="1"/>
        <v>7.3275862068965511E-2</v>
      </c>
    </row>
    <row r="60" spans="1:10">
      <c r="A60" t="s">
        <v>32</v>
      </c>
      <c r="B60">
        <v>18</v>
      </c>
      <c r="C60" t="s">
        <v>47</v>
      </c>
      <c r="D60">
        <v>7</v>
      </c>
      <c r="E60">
        <v>47</v>
      </c>
      <c r="F60">
        <v>13.0001</v>
      </c>
      <c r="G60">
        <v>738</v>
      </c>
      <c r="H60">
        <v>9280</v>
      </c>
      <c r="I60" s="1">
        <f t="shared" si="0"/>
        <v>0.27659787234042554</v>
      </c>
      <c r="J60" s="1">
        <f t="shared" si="1"/>
        <v>7.9525862068965517E-2</v>
      </c>
    </row>
    <row r="61" spans="1:10">
      <c r="A61" t="s">
        <v>32</v>
      </c>
      <c r="B61">
        <v>18</v>
      </c>
      <c r="C61" t="s">
        <v>42</v>
      </c>
      <c r="D61">
        <v>8</v>
      </c>
      <c r="E61">
        <v>47</v>
      </c>
      <c r="F61">
        <v>13.0002</v>
      </c>
      <c r="G61">
        <v>879</v>
      </c>
      <c r="H61">
        <v>9280</v>
      </c>
      <c r="I61" s="1">
        <f t="shared" si="0"/>
        <v>0.27660000000000001</v>
      </c>
      <c r="J61" s="1">
        <f t="shared" si="1"/>
        <v>9.4719827586206895E-2</v>
      </c>
    </row>
    <row r="62" spans="1:10">
      <c r="A62" t="s">
        <v>32</v>
      </c>
      <c r="B62">
        <v>18</v>
      </c>
      <c r="C62" t="s">
        <v>52</v>
      </c>
      <c r="D62">
        <v>9</v>
      </c>
      <c r="E62">
        <v>47</v>
      </c>
      <c r="F62">
        <v>13.000299999999999</v>
      </c>
      <c r="G62">
        <v>881</v>
      </c>
      <c r="H62">
        <v>9280</v>
      </c>
      <c r="I62" s="1">
        <f t="shared" si="0"/>
        <v>0.27660212765957443</v>
      </c>
      <c r="J62" s="1">
        <f t="shared" si="1"/>
        <v>9.4935344827586213E-2</v>
      </c>
    </row>
    <row r="63" spans="1:10">
      <c r="A63" t="s">
        <v>32</v>
      </c>
      <c r="B63">
        <v>18</v>
      </c>
      <c r="C63" t="s">
        <v>51</v>
      </c>
      <c r="D63">
        <v>10</v>
      </c>
      <c r="E63">
        <v>47</v>
      </c>
      <c r="F63">
        <v>13.000401</v>
      </c>
      <c r="G63">
        <v>941</v>
      </c>
      <c r="H63">
        <v>9280</v>
      </c>
      <c r="I63" s="1">
        <f t="shared" si="0"/>
        <v>0.27660427659574466</v>
      </c>
      <c r="J63" s="1">
        <f t="shared" si="1"/>
        <v>0.10140086206896552</v>
      </c>
    </row>
    <row r="64" spans="1:10">
      <c r="A64" t="s">
        <v>32</v>
      </c>
      <c r="B64">
        <v>18</v>
      </c>
      <c r="C64" t="s">
        <v>54</v>
      </c>
      <c r="D64">
        <v>11</v>
      </c>
      <c r="E64">
        <v>47</v>
      </c>
      <c r="F64">
        <v>13.000501</v>
      </c>
      <c r="G64">
        <v>946</v>
      </c>
      <c r="H64">
        <v>9280</v>
      </c>
      <c r="I64" s="1">
        <f t="shared" si="0"/>
        <v>0.27660640425531913</v>
      </c>
      <c r="J64" s="1">
        <f t="shared" si="1"/>
        <v>0.1019396551724138</v>
      </c>
    </row>
    <row r="65" spans="1:10">
      <c r="A65" t="s">
        <v>32</v>
      </c>
      <c r="B65">
        <v>18</v>
      </c>
      <c r="C65" t="s">
        <v>46</v>
      </c>
      <c r="D65">
        <v>12</v>
      </c>
      <c r="E65">
        <v>47</v>
      </c>
      <c r="F65">
        <v>14</v>
      </c>
      <c r="G65">
        <v>1166</v>
      </c>
      <c r="H65">
        <v>9280</v>
      </c>
      <c r="I65" s="1">
        <f t="shared" si="0"/>
        <v>0.2978723404255319</v>
      </c>
      <c r="J65" s="1">
        <f t="shared" si="1"/>
        <v>0.12564655172413794</v>
      </c>
    </row>
    <row r="66" spans="1:10">
      <c r="A66" t="s">
        <v>32</v>
      </c>
      <c r="B66">
        <v>18</v>
      </c>
      <c r="C66" t="s">
        <v>48</v>
      </c>
      <c r="D66">
        <v>13</v>
      </c>
      <c r="E66">
        <v>47</v>
      </c>
      <c r="F66">
        <v>14.0001</v>
      </c>
      <c r="G66">
        <v>1166</v>
      </c>
      <c r="H66">
        <v>9280</v>
      </c>
      <c r="I66" s="1">
        <f t="shared" si="0"/>
        <v>0.29787446808510637</v>
      </c>
      <c r="J66" s="1">
        <f t="shared" si="1"/>
        <v>0.12564655172413794</v>
      </c>
    </row>
    <row r="67" spans="1:10">
      <c r="A67" t="s">
        <v>32</v>
      </c>
      <c r="B67">
        <v>18</v>
      </c>
      <c r="C67" t="s">
        <v>44</v>
      </c>
      <c r="D67">
        <v>14</v>
      </c>
      <c r="E67">
        <v>47</v>
      </c>
      <c r="F67">
        <v>14.0002</v>
      </c>
      <c r="G67">
        <v>1166</v>
      </c>
      <c r="H67">
        <v>9280</v>
      </c>
      <c r="I67" s="1">
        <f t="shared" ref="I67:I130" si="2">F67/E67</f>
        <v>0.29787659574468084</v>
      </c>
      <c r="J67" s="1">
        <f t="shared" ref="J67:J130" si="3">G67/H67</f>
        <v>0.12564655172413794</v>
      </c>
    </row>
    <row r="68" spans="1:10">
      <c r="A68" t="s">
        <v>32</v>
      </c>
      <c r="B68">
        <v>18</v>
      </c>
      <c r="C68" t="s">
        <v>43</v>
      </c>
      <c r="D68">
        <v>15</v>
      </c>
      <c r="E68">
        <v>47</v>
      </c>
      <c r="F68">
        <v>14.000299999999999</v>
      </c>
      <c r="G68">
        <v>1168</v>
      </c>
      <c r="H68">
        <v>9280</v>
      </c>
      <c r="I68" s="1">
        <f t="shared" si="2"/>
        <v>0.29787872340425531</v>
      </c>
      <c r="J68" s="1">
        <f t="shared" si="3"/>
        <v>0.12586206896551724</v>
      </c>
    </row>
    <row r="69" spans="1:10">
      <c r="A69" t="s">
        <v>32</v>
      </c>
      <c r="B69">
        <v>18</v>
      </c>
      <c r="C69" t="s">
        <v>55</v>
      </c>
      <c r="D69">
        <v>16</v>
      </c>
      <c r="E69">
        <v>47</v>
      </c>
      <c r="F69">
        <v>14.000401</v>
      </c>
      <c r="G69">
        <v>1168</v>
      </c>
      <c r="H69">
        <v>9280</v>
      </c>
      <c r="I69" s="1">
        <f t="shared" si="2"/>
        <v>0.29788087234042554</v>
      </c>
      <c r="J69" s="1">
        <f t="shared" si="3"/>
        <v>0.12586206896551724</v>
      </c>
    </row>
    <row r="70" spans="1:10">
      <c r="A70" t="s">
        <v>32</v>
      </c>
      <c r="B70">
        <v>18</v>
      </c>
      <c r="C70" t="s">
        <v>50</v>
      </c>
      <c r="D70">
        <v>17</v>
      </c>
      <c r="E70">
        <v>47</v>
      </c>
      <c r="F70">
        <v>15</v>
      </c>
      <c r="G70">
        <v>1175</v>
      </c>
      <c r="H70">
        <v>9280</v>
      </c>
      <c r="I70" s="1">
        <f t="shared" si="2"/>
        <v>0.31914893617021278</v>
      </c>
      <c r="J70" s="1">
        <f t="shared" si="3"/>
        <v>0.12661637931034483</v>
      </c>
    </row>
    <row r="71" spans="1:10">
      <c r="A71" t="s">
        <v>32</v>
      </c>
      <c r="B71">
        <v>18</v>
      </c>
      <c r="C71" t="s">
        <v>49</v>
      </c>
      <c r="D71">
        <v>18</v>
      </c>
      <c r="E71">
        <v>47</v>
      </c>
      <c r="F71">
        <v>15.0001</v>
      </c>
      <c r="G71">
        <v>1175</v>
      </c>
      <c r="H71">
        <v>9280</v>
      </c>
      <c r="I71" s="1">
        <f t="shared" si="2"/>
        <v>0.31915106382978725</v>
      </c>
      <c r="J71" s="1">
        <f t="shared" si="3"/>
        <v>0.12661637931034483</v>
      </c>
    </row>
    <row r="72" spans="1:10">
      <c r="A72" t="s">
        <v>32</v>
      </c>
      <c r="B72">
        <v>18</v>
      </c>
      <c r="C72" t="s">
        <v>315</v>
      </c>
      <c r="D72">
        <v>19</v>
      </c>
      <c r="E72">
        <v>47</v>
      </c>
      <c r="F72">
        <v>60</v>
      </c>
      <c r="G72">
        <v>6957</v>
      </c>
      <c r="H72">
        <v>9280</v>
      </c>
      <c r="I72" s="1">
        <f t="shared" si="2"/>
        <v>1.2765957446808511</v>
      </c>
      <c r="J72" s="1">
        <f t="shared" si="3"/>
        <v>0.74967672413793107</v>
      </c>
    </row>
    <row r="73" spans="1:10">
      <c r="A73" t="s">
        <v>32</v>
      </c>
      <c r="B73">
        <v>18</v>
      </c>
      <c r="C73" t="s">
        <v>318</v>
      </c>
      <c r="D73">
        <v>20</v>
      </c>
      <c r="E73">
        <v>47</v>
      </c>
      <c r="F73">
        <v>60.000100000000003</v>
      </c>
      <c r="G73">
        <v>7664</v>
      </c>
      <c r="H73">
        <v>9280</v>
      </c>
      <c r="I73" s="1">
        <f t="shared" si="2"/>
        <v>1.2765978723404257</v>
      </c>
      <c r="J73" s="1">
        <f t="shared" si="3"/>
        <v>0.82586206896551728</v>
      </c>
    </row>
    <row r="74" spans="1:10">
      <c r="A74" t="s">
        <v>32</v>
      </c>
      <c r="B74">
        <v>18</v>
      </c>
      <c r="C74" t="s">
        <v>321</v>
      </c>
      <c r="D74">
        <v>21</v>
      </c>
      <c r="E74">
        <v>47</v>
      </c>
      <c r="F74">
        <v>62</v>
      </c>
      <c r="G74">
        <v>9272</v>
      </c>
      <c r="H74">
        <v>9280</v>
      </c>
      <c r="I74" s="1">
        <f t="shared" si="2"/>
        <v>1.3191489361702127</v>
      </c>
      <c r="J74" s="1">
        <f t="shared" si="3"/>
        <v>0.99913793103448278</v>
      </c>
    </row>
    <row r="75" spans="1:10">
      <c r="A75" t="s">
        <v>32</v>
      </c>
      <c r="B75">
        <v>18</v>
      </c>
      <c r="C75" t="s">
        <v>320</v>
      </c>
      <c r="D75">
        <v>22</v>
      </c>
      <c r="E75">
        <v>47</v>
      </c>
      <c r="F75">
        <v>62.000100000000003</v>
      </c>
      <c r="G75">
        <v>9280</v>
      </c>
      <c r="H75">
        <v>9280</v>
      </c>
      <c r="I75" s="1">
        <f t="shared" si="2"/>
        <v>1.3191510638297872</v>
      </c>
      <c r="J75" s="1">
        <f t="shared" si="3"/>
        <v>1</v>
      </c>
    </row>
    <row r="76" spans="1:10">
      <c r="A76" t="s">
        <v>32</v>
      </c>
      <c r="B76">
        <v>18</v>
      </c>
      <c r="C76" t="s">
        <v>317</v>
      </c>
      <c r="D76">
        <v>23</v>
      </c>
      <c r="E76">
        <v>47</v>
      </c>
      <c r="F76">
        <v>63</v>
      </c>
      <c r="G76">
        <v>9280</v>
      </c>
      <c r="H76">
        <v>9280</v>
      </c>
      <c r="I76" s="1">
        <f t="shared" si="2"/>
        <v>1.3404255319148937</v>
      </c>
      <c r="J76" s="1">
        <f t="shared" si="3"/>
        <v>1</v>
      </c>
    </row>
    <row r="77" spans="1:10">
      <c r="A77" t="s">
        <v>32</v>
      </c>
      <c r="B77">
        <v>18</v>
      </c>
      <c r="C77" t="s">
        <v>319</v>
      </c>
      <c r="D77">
        <v>24</v>
      </c>
      <c r="E77">
        <v>47</v>
      </c>
      <c r="F77">
        <v>66</v>
      </c>
      <c r="G77">
        <v>9280</v>
      </c>
      <c r="H77">
        <v>9280</v>
      </c>
      <c r="I77" s="1">
        <f t="shared" si="2"/>
        <v>1.4042553191489362</v>
      </c>
      <c r="J77" s="1">
        <f t="shared" si="3"/>
        <v>1</v>
      </c>
    </row>
    <row r="78" spans="1:10">
      <c r="A78" t="s">
        <v>32</v>
      </c>
      <c r="B78">
        <v>18</v>
      </c>
      <c r="C78" t="s">
        <v>316</v>
      </c>
      <c r="D78">
        <v>25</v>
      </c>
      <c r="E78">
        <v>47</v>
      </c>
      <c r="F78">
        <v>70</v>
      </c>
      <c r="G78">
        <v>9280</v>
      </c>
      <c r="H78">
        <v>9280</v>
      </c>
      <c r="I78" s="1">
        <f t="shared" si="2"/>
        <v>1.4893617021276595</v>
      </c>
      <c r="J78" s="1">
        <f t="shared" si="3"/>
        <v>1</v>
      </c>
    </row>
    <row r="79" spans="1:10">
      <c r="A79" t="s">
        <v>32</v>
      </c>
      <c r="B79">
        <v>19</v>
      </c>
      <c r="C79" t="s">
        <v>33</v>
      </c>
      <c r="D79">
        <v>1</v>
      </c>
      <c r="E79">
        <v>48</v>
      </c>
      <c r="F79">
        <v>8</v>
      </c>
      <c r="G79">
        <v>24</v>
      </c>
      <c r="H79">
        <v>9183</v>
      </c>
      <c r="I79" s="1">
        <f t="shared" si="2"/>
        <v>0.16666666666666666</v>
      </c>
      <c r="J79" s="1">
        <f t="shared" si="3"/>
        <v>2.6135249918327343E-3</v>
      </c>
    </row>
    <row r="80" spans="1:10">
      <c r="A80" t="s">
        <v>32</v>
      </c>
      <c r="B80">
        <v>19</v>
      </c>
      <c r="C80" t="s">
        <v>2</v>
      </c>
      <c r="D80">
        <v>2</v>
      </c>
      <c r="E80">
        <v>48</v>
      </c>
      <c r="F80">
        <v>9</v>
      </c>
      <c r="G80">
        <v>38</v>
      </c>
      <c r="H80">
        <v>9183</v>
      </c>
      <c r="I80" s="1">
        <f t="shared" si="2"/>
        <v>0.1875</v>
      </c>
      <c r="J80" s="1">
        <f t="shared" si="3"/>
        <v>4.138081237068496E-3</v>
      </c>
    </row>
    <row r="81" spans="1:10">
      <c r="A81" t="s">
        <v>32</v>
      </c>
      <c r="B81">
        <v>19</v>
      </c>
      <c r="C81" t="s">
        <v>322</v>
      </c>
      <c r="D81">
        <v>3</v>
      </c>
      <c r="E81">
        <v>48</v>
      </c>
      <c r="F81">
        <v>26</v>
      </c>
      <c r="G81">
        <v>3492</v>
      </c>
      <c r="H81">
        <v>9183</v>
      </c>
      <c r="I81" s="1">
        <f t="shared" si="2"/>
        <v>0.54166666666666663</v>
      </c>
      <c r="J81" s="1">
        <f t="shared" si="3"/>
        <v>0.38026788631166286</v>
      </c>
    </row>
    <row r="82" spans="1:10">
      <c r="A82" t="s">
        <v>32</v>
      </c>
      <c r="B82">
        <v>19</v>
      </c>
      <c r="C82" t="s">
        <v>323</v>
      </c>
      <c r="D82">
        <v>4</v>
      </c>
      <c r="E82">
        <v>48</v>
      </c>
      <c r="F82">
        <v>29</v>
      </c>
      <c r="G82">
        <v>4778</v>
      </c>
      <c r="H82">
        <v>9183</v>
      </c>
      <c r="I82" s="1">
        <f t="shared" si="2"/>
        <v>0.60416666666666663</v>
      </c>
      <c r="J82" s="1">
        <f t="shared" si="3"/>
        <v>0.52030926712403358</v>
      </c>
    </row>
    <row r="83" spans="1:10">
      <c r="A83" t="s">
        <v>32</v>
      </c>
      <c r="B83">
        <v>19</v>
      </c>
      <c r="C83" t="s">
        <v>341</v>
      </c>
      <c r="D83">
        <v>5</v>
      </c>
      <c r="E83">
        <v>48</v>
      </c>
      <c r="F83">
        <v>30</v>
      </c>
      <c r="G83">
        <v>5280</v>
      </c>
      <c r="H83">
        <v>9183</v>
      </c>
      <c r="I83" s="1">
        <f t="shared" si="2"/>
        <v>0.625</v>
      </c>
      <c r="J83" s="1">
        <f t="shared" si="3"/>
        <v>0.5749754982032016</v>
      </c>
    </row>
    <row r="84" spans="1:10">
      <c r="A84" t="s">
        <v>32</v>
      </c>
      <c r="B84">
        <v>19</v>
      </c>
      <c r="C84" t="s">
        <v>326</v>
      </c>
      <c r="D84">
        <v>6</v>
      </c>
      <c r="E84">
        <v>48</v>
      </c>
      <c r="F84">
        <v>31</v>
      </c>
      <c r="G84">
        <v>5954</v>
      </c>
      <c r="H84">
        <v>9183</v>
      </c>
      <c r="I84" s="1">
        <f t="shared" si="2"/>
        <v>0.64583333333333337</v>
      </c>
      <c r="J84" s="1">
        <f t="shared" si="3"/>
        <v>0.64837199172383753</v>
      </c>
    </row>
    <row r="85" spans="1:10">
      <c r="A85" t="s">
        <v>32</v>
      </c>
      <c r="B85">
        <v>19</v>
      </c>
      <c r="C85" t="s">
        <v>327</v>
      </c>
      <c r="D85">
        <v>7</v>
      </c>
      <c r="E85">
        <v>48</v>
      </c>
      <c r="F85">
        <v>31.0001</v>
      </c>
      <c r="G85">
        <v>5959</v>
      </c>
      <c r="H85">
        <v>9183</v>
      </c>
      <c r="I85" s="1">
        <f t="shared" si="2"/>
        <v>0.64583541666666666</v>
      </c>
      <c r="J85" s="1">
        <f t="shared" si="3"/>
        <v>0.64891647609713599</v>
      </c>
    </row>
    <row r="86" spans="1:10">
      <c r="A86" t="s">
        <v>32</v>
      </c>
      <c r="B86">
        <v>19</v>
      </c>
      <c r="C86" t="s">
        <v>342</v>
      </c>
      <c r="D86">
        <v>8</v>
      </c>
      <c r="E86">
        <v>48</v>
      </c>
      <c r="F86">
        <v>32</v>
      </c>
      <c r="G86">
        <v>7551</v>
      </c>
      <c r="H86">
        <v>9183</v>
      </c>
      <c r="I86" s="1">
        <f t="shared" si="2"/>
        <v>0.66666666666666663</v>
      </c>
      <c r="J86" s="1">
        <f t="shared" si="3"/>
        <v>0.82228030055537404</v>
      </c>
    </row>
    <row r="87" spans="1:10">
      <c r="A87" t="s">
        <v>32</v>
      </c>
      <c r="B87">
        <v>19</v>
      </c>
      <c r="C87" t="s">
        <v>331</v>
      </c>
      <c r="D87">
        <v>9</v>
      </c>
      <c r="E87">
        <v>48</v>
      </c>
      <c r="F87">
        <v>32.000100000000003</v>
      </c>
      <c r="G87">
        <v>7558</v>
      </c>
      <c r="H87">
        <v>9183</v>
      </c>
      <c r="I87" s="1">
        <f t="shared" si="2"/>
        <v>0.66666875000000003</v>
      </c>
      <c r="J87" s="1">
        <f t="shared" si="3"/>
        <v>0.82304257867799191</v>
      </c>
    </row>
    <row r="88" spans="1:10">
      <c r="A88" t="s">
        <v>32</v>
      </c>
      <c r="B88">
        <v>19</v>
      </c>
      <c r="C88" t="s">
        <v>330</v>
      </c>
      <c r="D88">
        <v>10</v>
      </c>
      <c r="E88">
        <v>48</v>
      </c>
      <c r="F88">
        <v>33</v>
      </c>
      <c r="G88">
        <v>7560</v>
      </c>
      <c r="H88">
        <v>9183</v>
      </c>
      <c r="I88" s="1">
        <f t="shared" si="2"/>
        <v>0.6875</v>
      </c>
      <c r="J88" s="1">
        <f t="shared" si="3"/>
        <v>0.82326037242731132</v>
      </c>
    </row>
    <row r="89" spans="1:10">
      <c r="A89" t="s">
        <v>32</v>
      </c>
      <c r="B89">
        <v>19</v>
      </c>
      <c r="C89" t="s">
        <v>336</v>
      </c>
      <c r="D89">
        <v>11</v>
      </c>
      <c r="E89">
        <v>48</v>
      </c>
      <c r="F89">
        <v>33.000100000000003</v>
      </c>
      <c r="G89">
        <v>8930</v>
      </c>
      <c r="H89">
        <v>9183</v>
      </c>
      <c r="I89" s="1">
        <f t="shared" si="2"/>
        <v>0.6875020833333334</v>
      </c>
      <c r="J89" s="1">
        <f t="shared" si="3"/>
        <v>0.97244909071109664</v>
      </c>
    </row>
    <row r="90" spans="1:10">
      <c r="A90" t="s">
        <v>32</v>
      </c>
      <c r="B90">
        <v>19</v>
      </c>
      <c r="C90" t="s">
        <v>325</v>
      </c>
      <c r="D90">
        <v>12</v>
      </c>
      <c r="E90">
        <v>48</v>
      </c>
      <c r="F90">
        <v>34</v>
      </c>
      <c r="G90">
        <v>8930</v>
      </c>
      <c r="H90">
        <v>9183</v>
      </c>
      <c r="I90" s="1">
        <f t="shared" si="2"/>
        <v>0.70833333333333337</v>
      </c>
      <c r="J90" s="1">
        <f t="shared" si="3"/>
        <v>0.97244909071109664</v>
      </c>
    </row>
    <row r="91" spans="1:10">
      <c r="A91" t="s">
        <v>32</v>
      </c>
      <c r="B91">
        <v>19</v>
      </c>
      <c r="C91" t="s">
        <v>338</v>
      </c>
      <c r="D91">
        <v>13</v>
      </c>
      <c r="E91">
        <v>48</v>
      </c>
      <c r="F91">
        <v>34.000100000000003</v>
      </c>
      <c r="G91">
        <v>8933</v>
      </c>
      <c r="H91">
        <v>9183</v>
      </c>
      <c r="I91" s="1">
        <f t="shared" si="2"/>
        <v>0.70833541666666677</v>
      </c>
      <c r="J91" s="1">
        <f t="shared" si="3"/>
        <v>0.9727757813350757</v>
      </c>
    </row>
    <row r="92" spans="1:10">
      <c r="A92" t="s">
        <v>32</v>
      </c>
      <c r="B92">
        <v>19</v>
      </c>
      <c r="C92" t="s">
        <v>333</v>
      </c>
      <c r="D92">
        <v>14</v>
      </c>
      <c r="E92">
        <v>48</v>
      </c>
      <c r="F92">
        <v>35</v>
      </c>
      <c r="G92">
        <v>8933</v>
      </c>
      <c r="H92">
        <v>9183</v>
      </c>
      <c r="I92" s="1">
        <f t="shared" si="2"/>
        <v>0.72916666666666663</v>
      </c>
      <c r="J92" s="1">
        <f t="shared" si="3"/>
        <v>0.9727757813350757</v>
      </c>
    </row>
    <row r="93" spans="1:10">
      <c r="A93" t="s">
        <v>32</v>
      </c>
      <c r="B93">
        <v>19</v>
      </c>
      <c r="C93" t="s">
        <v>307</v>
      </c>
      <c r="D93">
        <v>15</v>
      </c>
      <c r="E93">
        <v>48</v>
      </c>
      <c r="F93">
        <v>35.000100000000003</v>
      </c>
      <c r="G93">
        <v>8933</v>
      </c>
      <c r="H93">
        <v>9183</v>
      </c>
      <c r="I93" s="1">
        <f t="shared" si="2"/>
        <v>0.72916875000000003</v>
      </c>
      <c r="J93" s="1">
        <f t="shared" si="3"/>
        <v>0.9727757813350757</v>
      </c>
    </row>
    <row r="94" spans="1:10">
      <c r="A94" t="s">
        <v>32</v>
      </c>
      <c r="B94">
        <v>19</v>
      </c>
      <c r="C94" t="s">
        <v>340</v>
      </c>
      <c r="D94">
        <v>16</v>
      </c>
      <c r="E94">
        <v>48</v>
      </c>
      <c r="F94">
        <v>36</v>
      </c>
      <c r="G94">
        <v>8933</v>
      </c>
      <c r="H94">
        <v>9183</v>
      </c>
      <c r="I94" s="1">
        <f t="shared" si="2"/>
        <v>0.75</v>
      </c>
      <c r="J94" s="1">
        <f t="shared" si="3"/>
        <v>0.9727757813350757</v>
      </c>
    </row>
    <row r="95" spans="1:10">
      <c r="A95" t="s">
        <v>32</v>
      </c>
      <c r="B95">
        <v>19</v>
      </c>
      <c r="C95" t="s">
        <v>343</v>
      </c>
      <c r="D95">
        <v>17</v>
      </c>
      <c r="E95">
        <v>48</v>
      </c>
      <c r="F95">
        <v>37</v>
      </c>
      <c r="G95">
        <v>8950</v>
      </c>
      <c r="H95">
        <v>9183</v>
      </c>
      <c r="I95" s="1">
        <f t="shared" si="2"/>
        <v>0.77083333333333337</v>
      </c>
      <c r="J95" s="1">
        <f t="shared" si="3"/>
        <v>0.97462702820429059</v>
      </c>
    </row>
    <row r="96" spans="1:10">
      <c r="A96" t="s">
        <v>32</v>
      </c>
      <c r="B96">
        <v>19</v>
      </c>
      <c r="C96" t="s">
        <v>332</v>
      </c>
      <c r="D96">
        <v>18</v>
      </c>
      <c r="E96">
        <v>48</v>
      </c>
      <c r="F96">
        <v>37.000100000000003</v>
      </c>
      <c r="G96">
        <v>9180</v>
      </c>
      <c r="H96">
        <v>9183</v>
      </c>
      <c r="I96" s="1">
        <f t="shared" si="2"/>
        <v>0.77083541666666677</v>
      </c>
      <c r="J96" s="1">
        <f t="shared" si="3"/>
        <v>0.99967330937602095</v>
      </c>
    </row>
    <row r="97" spans="1:10">
      <c r="A97" t="s">
        <v>32</v>
      </c>
      <c r="B97">
        <v>19</v>
      </c>
      <c r="C97" t="s">
        <v>324</v>
      </c>
      <c r="D97">
        <v>19</v>
      </c>
      <c r="E97">
        <v>48</v>
      </c>
      <c r="F97">
        <v>37.0002</v>
      </c>
      <c r="G97">
        <v>9180</v>
      </c>
      <c r="H97">
        <v>9183</v>
      </c>
      <c r="I97" s="1">
        <f t="shared" si="2"/>
        <v>0.77083749999999995</v>
      </c>
      <c r="J97" s="1">
        <f t="shared" si="3"/>
        <v>0.99967330937602095</v>
      </c>
    </row>
    <row r="98" spans="1:10">
      <c r="A98" t="s">
        <v>32</v>
      </c>
      <c r="B98">
        <v>19</v>
      </c>
      <c r="C98" t="s">
        <v>328</v>
      </c>
      <c r="D98">
        <v>20</v>
      </c>
      <c r="E98">
        <v>48</v>
      </c>
      <c r="F98">
        <v>38</v>
      </c>
      <c r="G98">
        <v>9180</v>
      </c>
      <c r="H98">
        <v>9183</v>
      </c>
      <c r="I98" s="1">
        <f t="shared" si="2"/>
        <v>0.79166666666666663</v>
      </c>
      <c r="J98" s="1">
        <f t="shared" si="3"/>
        <v>0.99967330937602095</v>
      </c>
    </row>
    <row r="99" spans="1:10">
      <c r="A99" t="s">
        <v>32</v>
      </c>
      <c r="B99">
        <v>19</v>
      </c>
      <c r="C99" t="s">
        <v>329</v>
      </c>
      <c r="D99">
        <v>21</v>
      </c>
      <c r="E99">
        <v>48</v>
      </c>
      <c r="F99">
        <v>38.000100000000003</v>
      </c>
      <c r="G99">
        <v>9183</v>
      </c>
      <c r="H99">
        <v>9183</v>
      </c>
      <c r="I99" s="1">
        <f t="shared" si="2"/>
        <v>0.79166875000000003</v>
      </c>
      <c r="J99" s="1">
        <f t="shared" si="3"/>
        <v>1</v>
      </c>
    </row>
    <row r="100" spans="1:10">
      <c r="A100" t="s">
        <v>32</v>
      </c>
      <c r="B100">
        <v>19</v>
      </c>
      <c r="C100" t="s">
        <v>335</v>
      </c>
      <c r="D100">
        <v>22</v>
      </c>
      <c r="E100">
        <v>48</v>
      </c>
      <c r="F100">
        <v>39</v>
      </c>
      <c r="G100">
        <v>9183</v>
      </c>
      <c r="H100">
        <v>9183</v>
      </c>
      <c r="I100" s="1">
        <f t="shared" si="2"/>
        <v>0.8125</v>
      </c>
      <c r="J100" s="1">
        <f t="shared" si="3"/>
        <v>1</v>
      </c>
    </row>
    <row r="101" spans="1:10">
      <c r="A101" t="s">
        <v>32</v>
      </c>
      <c r="B101">
        <v>19</v>
      </c>
      <c r="C101" t="s">
        <v>334</v>
      </c>
      <c r="D101">
        <v>23</v>
      </c>
      <c r="E101">
        <v>48</v>
      </c>
      <c r="F101">
        <v>39.000100000000003</v>
      </c>
      <c r="G101">
        <v>9183</v>
      </c>
      <c r="H101">
        <v>9183</v>
      </c>
      <c r="I101" s="1">
        <f t="shared" si="2"/>
        <v>0.8125020833333334</v>
      </c>
      <c r="J101" s="1">
        <f t="shared" si="3"/>
        <v>1</v>
      </c>
    </row>
    <row r="102" spans="1:10">
      <c r="A102" t="s">
        <v>32</v>
      </c>
      <c r="B102">
        <v>19</v>
      </c>
      <c r="C102" t="s">
        <v>339</v>
      </c>
      <c r="D102">
        <v>24</v>
      </c>
      <c r="E102">
        <v>48</v>
      </c>
      <c r="F102">
        <v>40</v>
      </c>
      <c r="G102">
        <v>9183</v>
      </c>
      <c r="H102">
        <v>9183</v>
      </c>
      <c r="I102" s="1">
        <f t="shared" si="2"/>
        <v>0.83333333333333337</v>
      </c>
      <c r="J102" s="1">
        <f t="shared" si="3"/>
        <v>1</v>
      </c>
    </row>
    <row r="103" spans="1:10">
      <c r="A103" t="s">
        <v>32</v>
      </c>
      <c r="B103">
        <v>19</v>
      </c>
      <c r="C103" t="s">
        <v>337</v>
      </c>
      <c r="D103">
        <v>25</v>
      </c>
      <c r="E103">
        <v>48</v>
      </c>
      <c r="F103">
        <v>40.000100000000003</v>
      </c>
      <c r="G103">
        <v>9183</v>
      </c>
      <c r="H103">
        <v>9183</v>
      </c>
      <c r="I103" s="1">
        <f t="shared" si="2"/>
        <v>0.83333541666666677</v>
      </c>
      <c r="J103" s="1">
        <f t="shared" si="3"/>
        <v>1</v>
      </c>
    </row>
    <row r="104" spans="1:10">
      <c r="A104" t="s">
        <v>32</v>
      </c>
      <c r="B104">
        <v>20</v>
      </c>
      <c r="C104" t="s">
        <v>349</v>
      </c>
      <c r="D104">
        <v>1</v>
      </c>
      <c r="E104">
        <v>20</v>
      </c>
      <c r="F104">
        <v>25</v>
      </c>
      <c r="G104">
        <v>3392</v>
      </c>
      <c r="H104">
        <v>6785</v>
      </c>
      <c r="I104" s="1">
        <f t="shared" si="2"/>
        <v>1.25</v>
      </c>
      <c r="J104" s="1">
        <f t="shared" si="3"/>
        <v>0.49992630803242449</v>
      </c>
    </row>
    <row r="105" spans="1:10">
      <c r="A105" t="s">
        <v>32</v>
      </c>
      <c r="B105">
        <v>20</v>
      </c>
      <c r="C105" t="s">
        <v>347</v>
      </c>
      <c r="D105">
        <v>2</v>
      </c>
      <c r="E105">
        <v>20</v>
      </c>
      <c r="F105">
        <v>25.0001</v>
      </c>
      <c r="G105">
        <v>3782</v>
      </c>
      <c r="H105">
        <v>6785</v>
      </c>
      <c r="I105" s="1">
        <f t="shared" si="2"/>
        <v>1.250005</v>
      </c>
      <c r="J105" s="1">
        <f t="shared" si="3"/>
        <v>0.5574060427413412</v>
      </c>
    </row>
    <row r="106" spans="1:10">
      <c r="A106" t="s">
        <v>32</v>
      </c>
      <c r="B106">
        <v>20</v>
      </c>
      <c r="C106" t="s">
        <v>359</v>
      </c>
      <c r="D106">
        <v>3</v>
      </c>
      <c r="E106">
        <v>20</v>
      </c>
      <c r="F106">
        <v>25.000198000000001</v>
      </c>
      <c r="G106">
        <v>3789</v>
      </c>
      <c r="H106">
        <v>6785</v>
      </c>
      <c r="I106" s="1">
        <f t="shared" si="2"/>
        <v>1.2500099</v>
      </c>
      <c r="J106" s="1">
        <f t="shared" si="3"/>
        <v>0.55843773028739863</v>
      </c>
    </row>
    <row r="107" spans="1:10">
      <c r="A107" t="s">
        <v>32</v>
      </c>
      <c r="B107">
        <v>20</v>
      </c>
      <c r="C107" t="s">
        <v>345</v>
      </c>
      <c r="D107">
        <v>4</v>
      </c>
      <c r="E107">
        <v>20</v>
      </c>
      <c r="F107">
        <v>26</v>
      </c>
      <c r="G107">
        <v>3789</v>
      </c>
      <c r="H107">
        <v>6785</v>
      </c>
      <c r="I107" s="1">
        <f t="shared" si="2"/>
        <v>1.3</v>
      </c>
      <c r="J107" s="1">
        <f t="shared" si="3"/>
        <v>0.55843773028739863</v>
      </c>
    </row>
    <row r="108" spans="1:10">
      <c r="A108" t="s">
        <v>32</v>
      </c>
      <c r="B108">
        <v>20</v>
      </c>
      <c r="C108" t="s">
        <v>352</v>
      </c>
      <c r="D108">
        <v>5</v>
      </c>
      <c r="E108">
        <v>20</v>
      </c>
      <c r="F108">
        <v>26.0001</v>
      </c>
      <c r="G108">
        <v>4198</v>
      </c>
      <c r="H108">
        <v>6785</v>
      </c>
      <c r="I108" s="1">
        <f t="shared" si="2"/>
        <v>1.3000050000000001</v>
      </c>
      <c r="J108" s="1">
        <f t="shared" si="3"/>
        <v>0.61871775976418575</v>
      </c>
    </row>
    <row r="109" spans="1:10">
      <c r="A109" t="s">
        <v>32</v>
      </c>
      <c r="B109">
        <v>20</v>
      </c>
      <c r="C109" t="s">
        <v>353</v>
      </c>
      <c r="D109">
        <v>6</v>
      </c>
      <c r="E109">
        <v>20</v>
      </c>
      <c r="F109">
        <v>26.000198000000001</v>
      </c>
      <c r="G109">
        <v>4198</v>
      </c>
      <c r="H109">
        <v>6785</v>
      </c>
      <c r="I109" s="1">
        <f t="shared" si="2"/>
        <v>1.3000099000000001</v>
      </c>
      <c r="J109" s="1">
        <f t="shared" si="3"/>
        <v>0.61871775976418575</v>
      </c>
    </row>
    <row r="110" spans="1:10">
      <c r="A110" t="s">
        <v>32</v>
      </c>
      <c r="B110">
        <v>20</v>
      </c>
      <c r="C110" t="s">
        <v>344</v>
      </c>
      <c r="D110">
        <v>7</v>
      </c>
      <c r="E110">
        <v>20</v>
      </c>
      <c r="F110">
        <v>26.000298000000001</v>
      </c>
      <c r="G110">
        <v>4198</v>
      </c>
      <c r="H110">
        <v>6785</v>
      </c>
      <c r="I110" s="1">
        <f t="shared" si="2"/>
        <v>1.3000149000000001</v>
      </c>
      <c r="J110" s="1">
        <f t="shared" si="3"/>
        <v>0.61871775976418575</v>
      </c>
    </row>
    <row r="111" spans="1:10">
      <c r="A111" t="s">
        <v>32</v>
      </c>
      <c r="B111">
        <v>20</v>
      </c>
      <c r="C111" t="s">
        <v>363</v>
      </c>
      <c r="D111">
        <v>8</v>
      </c>
      <c r="E111">
        <v>20</v>
      </c>
      <c r="F111">
        <v>27</v>
      </c>
      <c r="G111">
        <v>4207</v>
      </c>
      <c r="H111">
        <v>6785</v>
      </c>
      <c r="I111" s="1">
        <f t="shared" si="2"/>
        <v>1.35</v>
      </c>
      <c r="J111" s="1">
        <f t="shared" si="3"/>
        <v>0.62004421518054531</v>
      </c>
    </row>
    <row r="112" spans="1:10">
      <c r="A112" t="s">
        <v>32</v>
      </c>
      <c r="B112">
        <v>20</v>
      </c>
      <c r="C112" t="s">
        <v>357</v>
      </c>
      <c r="D112">
        <v>9</v>
      </c>
      <c r="E112">
        <v>20</v>
      </c>
      <c r="F112">
        <v>27.0001</v>
      </c>
      <c r="G112">
        <v>4207</v>
      </c>
      <c r="H112">
        <v>6785</v>
      </c>
      <c r="I112" s="1">
        <f t="shared" si="2"/>
        <v>1.3500049999999999</v>
      </c>
      <c r="J112" s="1">
        <f t="shared" si="3"/>
        <v>0.62004421518054531</v>
      </c>
    </row>
    <row r="113" spans="1:10">
      <c r="A113" t="s">
        <v>32</v>
      </c>
      <c r="B113">
        <v>20</v>
      </c>
      <c r="C113" t="s">
        <v>354</v>
      </c>
      <c r="D113">
        <v>10</v>
      </c>
      <c r="E113">
        <v>20</v>
      </c>
      <c r="F113">
        <v>27.000198000000001</v>
      </c>
      <c r="G113">
        <v>4626</v>
      </c>
      <c r="H113">
        <v>6785</v>
      </c>
      <c r="I113" s="1">
        <f t="shared" si="2"/>
        <v>1.3500099000000001</v>
      </c>
      <c r="J113" s="1">
        <f t="shared" si="3"/>
        <v>0.68179808400884301</v>
      </c>
    </row>
    <row r="114" spans="1:10">
      <c r="A114" t="s">
        <v>32</v>
      </c>
      <c r="B114">
        <v>20</v>
      </c>
      <c r="C114" t="s">
        <v>358</v>
      </c>
      <c r="D114">
        <v>11</v>
      </c>
      <c r="E114">
        <v>20</v>
      </c>
      <c r="F114">
        <v>28</v>
      </c>
      <c r="G114">
        <v>4633</v>
      </c>
      <c r="H114">
        <v>6785</v>
      </c>
      <c r="I114" s="1">
        <f t="shared" si="2"/>
        <v>1.4</v>
      </c>
      <c r="J114" s="1">
        <f t="shared" si="3"/>
        <v>0.68282977155490054</v>
      </c>
    </row>
    <row r="115" spans="1:10">
      <c r="A115" t="s">
        <v>32</v>
      </c>
      <c r="B115">
        <v>20</v>
      </c>
      <c r="C115" t="s">
        <v>348</v>
      </c>
      <c r="D115">
        <v>12</v>
      </c>
      <c r="E115">
        <v>20</v>
      </c>
      <c r="F115">
        <v>29</v>
      </c>
      <c r="G115">
        <v>5510</v>
      </c>
      <c r="H115">
        <v>6785</v>
      </c>
      <c r="I115" s="1">
        <f t="shared" si="2"/>
        <v>1.45</v>
      </c>
      <c r="J115" s="1">
        <f t="shared" si="3"/>
        <v>0.81208548268238767</v>
      </c>
    </row>
    <row r="116" spans="1:10">
      <c r="A116" t="s">
        <v>32</v>
      </c>
      <c r="B116">
        <v>20</v>
      </c>
      <c r="C116" t="s">
        <v>355</v>
      </c>
      <c r="D116">
        <v>13</v>
      </c>
      <c r="E116">
        <v>20</v>
      </c>
      <c r="F116">
        <v>30</v>
      </c>
      <c r="G116">
        <v>5510</v>
      </c>
      <c r="H116">
        <v>6785</v>
      </c>
      <c r="I116" s="1">
        <f t="shared" si="2"/>
        <v>1.5</v>
      </c>
      <c r="J116" s="1">
        <f t="shared" si="3"/>
        <v>0.81208548268238767</v>
      </c>
    </row>
    <row r="117" spans="1:10">
      <c r="A117" t="s">
        <v>32</v>
      </c>
      <c r="B117">
        <v>20</v>
      </c>
      <c r="C117" t="s">
        <v>346</v>
      </c>
      <c r="D117">
        <v>14</v>
      </c>
      <c r="E117">
        <v>20</v>
      </c>
      <c r="F117">
        <v>30.0001</v>
      </c>
      <c r="G117">
        <v>5510</v>
      </c>
      <c r="H117">
        <v>6785</v>
      </c>
      <c r="I117" s="1">
        <f t="shared" si="2"/>
        <v>1.500005</v>
      </c>
      <c r="J117" s="1">
        <f t="shared" si="3"/>
        <v>0.81208548268238767</v>
      </c>
    </row>
    <row r="118" spans="1:10">
      <c r="A118" t="s">
        <v>32</v>
      </c>
      <c r="B118">
        <v>20</v>
      </c>
      <c r="C118" t="s">
        <v>360</v>
      </c>
      <c r="D118">
        <v>15</v>
      </c>
      <c r="E118">
        <v>20</v>
      </c>
      <c r="F118">
        <v>30.000198000000001</v>
      </c>
      <c r="G118">
        <v>5510</v>
      </c>
      <c r="H118">
        <v>6785</v>
      </c>
      <c r="I118" s="1">
        <f t="shared" si="2"/>
        <v>1.5000099</v>
      </c>
      <c r="J118" s="1">
        <f t="shared" si="3"/>
        <v>0.81208548268238767</v>
      </c>
    </row>
    <row r="119" spans="1:10">
      <c r="A119" t="s">
        <v>32</v>
      </c>
      <c r="B119">
        <v>20</v>
      </c>
      <c r="C119" t="s">
        <v>350</v>
      </c>
      <c r="D119">
        <v>16</v>
      </c>
      <c r="E119">
        <v>20</v>
      </c>
      <c r="F119">
        <v>31</v>
      </c>
      <c r="G119">
        <v>5513</v>
      </c>
      <c r="H119">
        <v>6785</v>
      </c>
      <c r="I119" s="1">
        <f t="shared" si="2"/>
        <v>1.55</v>
      </c>
      <c r="J119" s="1">
        <f t="shared" si="3"/>
        <v>0.81252763448784082</v>
      </c>
    </row>
    <row r="120" spans="1:10">
      <c r="A120" t="s">
        <v>32</v>
      </c>
      <c r="B120">
        <v>20</v>
      </c>
      <c r="C120" t="s">
        <v>351</v>
      </c>
      <c r="D120">
        <v>17</v>
      </c>
      <c r="E120">
        <v>20</v>
      </c>
      <c r="F120">
        <v>31.0001</v>
      </c>
      <c r="G120">
        <v>5513</v>
      </c>
      <c r="H120">
        <v>6785</v>
      </c>
      <c r="I120" s="1">
        <f t="shared" si="2"/>
        <v>1.5500050000000001</v>
      </c>
      <c r="J120" s="1">
        <f t="shared" si="3"/>
        <v>0.81252763448784082</v>
      </c>
    </row>
    <row r="121" spans="1:10">
      <c r="A121" t="s">
        <v>32</v>
      </c>
      <c r="B121">
        <v>20</v>
      </c>
      <c r="C121" t="s">
        <v>361</v>
      </c>
      <c r="D121">
        <v>18</v>
      </c>
      <c r="E121">
        <v>20</v>
      </c>
      <c r="F121">
        <v>31.000198000000001</v>
      </c>
      <c r="G121">
        <v>5513</v>
      </c>
      <c r="H121">
        <v>6785</v>
      </c>
      <c r="I121" s="1">
        <f t="shared" si="2"/>
        <v>1.5500099000000001</v>
      </c>
      <c r="J121" s="1">
        <f t="shared" si="3"/>
        <v>0.81252763448784082</v>
      </c>
    </row>
    <row r="122" spans="1:10">
      <c r="A122" t="s">
        <v>32</v>
      </c>
      <c r="B122">
        <v>20</v>
      </c>
      <c r="C122" t="s">
        <v>364</v>
      </c>
      <c r="D122">
        <v>19</v>
      </c>
      <c r="E122">
        <v>20</v>
      </c>
      <c r="F122">
        <v>33</v>
      </c>
      <c r="G122">
        <v>5513</v>
      </c>
      <c r="H122">
        <v>6785</v>
      </c>
      <c r="I122" s="1">
        <f t="shared" si="2"/>
        <v>1.65</v>
      </c>
      <c r="J122" s="1">
        <f t="shared" si="3"/>
        <v>0.81252763448784082</v>
      </c>
    </row>
    <row r="123" spans="1:10">
      <c r="A123" t="s">
        <v>32</v>
      </c>
      <c r="B123">
        <v>20</v>
      </c>
      <c r="C123" t="s">
        <v>356</v>
      </c>
      <c r="D123">
        <v>20</v>
      </c>
      <c r="E123">
        <v>20</v>
      </c>
      <c r="F123">
        <v>33.000100000000003</v>
      </c>
      <c r="G123">
        <v>6785</v>
      </c>
      <c r="H123">
        <v>6785</v>
      </c>
      <c r="I123" s="1">
        <f t="shared" si="2"/>
        <v>1.6500050000000002</v>
      </c>
      <c r="J123" s="1">
        <f t="shared" si="3"/>
        <v>1</v>
      </c>
    </row>
    <row r="124" spans="1:10">
      <c r="A124" t="s">
        <v>32</v>
      </c>
      <c r="B124">
        <v>20</v>
      </c>
      <c r="C124" t="s">
        <v>362</v>
      </c>
      <c r="D124">
        <v>21</v>
      </c>
      <c r="E124">
        <v>20</v>
      </c>
      <c r="F124">
        <v>33.0002</v>
      </c>
      <c r="G124">
        <v>6785</v>
      </c>
      <c r="H124">
        <v>6785</v>
      </c>
      <c r="I124" s="1">
        <f t="shared" si="2"/>
        <v>1.65001</v>
      </c>
      <c r="J124" s="1">
        <f t="shared" si="3"/>
        <v>1</v>
      </c>
    </row>
    <row r="125" spans="1:10">
      <c r="A125" t="s">
        <v>56</v>
      </c>
      <c r="B125">
        <v>10</v>
      </c>
      <c r="C125" t="s">
        <v>366</v>
      </c>
      <c r="D125">
        <v>1</v>
      </c>
      <c r="E125">
        <v>54</v>
      </c>
      <c r="F125">
        <v>14</v>
      </c>
      <c r="G125">
        <v>460</v>
      </c>
      <c r="H125">
        <v>13706</v>
      </c>
      <c r="I125" s="1">
        <f t="shared" si="2"/>
        <v>0.25925925925925924</v>
      </c>
      <c r="J125" s="1">
        <f t="shared" si="3"/>
        <v>3.3561943674303228E-2</v>
      </c>
    </row>
    <row r="126" spans="1:10">
      <c r="A126" t="s">
        <v>56</v>
      </c>
      <c r="B126">
        <v>10</v>
      </c>
      <c r="C126" t="s">
        <v>367</v>
      </c>
      <c r="D126">
        <v>2</v>
      </c>
      <c r="E126">
        <v>54</v>
      </c>
      <c r="F126">
        <v>14.0001</v>
      </c>
      <c r="G126">
        <v>728</v>
      </c>
      <c r="H126">
        <v>13706</v>
      </c>
      <c r="I126" s="1">
        <f t="shared" si="2"/>
        <v>0.25926111111111111</v>
      </c>
      <c r="J126" s="1">
        <f t="shared" si="3"/>
        <v>5.3115423901940753E-2</v>
      </c>
    </row>
    <row r="127" spans="1:10">
      <c r="A127" t="s">
        <v>56</v>
      </c>
      <c r="B127">
        <v>10</v>
      </c>
      <c r="C127" t="s">
        <v>365</v>
      </c>
      <c r="D127">
        <v>3</v>
      </c>
      <c r="E127">
        <v>54</v>
      </c>
      <c r="F127">
        <v>15</v>
      </c>
      <c r="G127">
        <v>903</v>
      </c>
      <c r="H127">
        <v>13706</v>
      </c>
      <c r="I127" s="1">
        <f t="shared" si="2"/>
        <v>0.27777777777777779</v>
      </c>
      <c r="J127" s="1">
        <f t="shared" si="3"/>
        <v>6.5883554647599596E-2</v>
      </c>
    </row>
    <row r="128" spans="1:10">
      <c r="A128" t="s">
        <v>56</v>
      </c>
      <c r="B128">
        <v>10</v>
      </c>
      <c r="C128" t="s">
        <v>368</v>
      </c>
      <c r="D128">
        <v>4</v>
      </c>
      <c r="E128">
        <v>54</v>
      </c>
      <c r="F128">
        <v>15.0001</v>
      </c>
      <c r="G128">
        <v>1078</v>
      </c>
      <c r="H128">
        <v>13706</v>
      </c>
      <c r="I128" s="1">
        <f t="shared" si="2"/>
        <v>0.2777796296296296</v>
      </c>
      <c r="J128" s="1">
        <f t="shared" si="3"/>
        <v>7.8651685393258425E-2</v>
      </c>
    </row>
    <row r="129" spans="1:10">
      <c r="A129" t="s">
        <v>56</v>
      </c>
      <c r="B129">
        <v>10</v>
      </c>
      <c r="C129" t="s">
        <v>370</v>
      </c>
      <c r="D129">
        <v>5</v>
      </c>
      <c r="E129">
        <v>54</v>
      </c>
      <c r="F129">
        <v>17</v>
      </c>
      <c r="G129">
        <v>2138</v>
      </c>
      <c r="H129">
        <v>13706</v>
      </c>
      <c r="I129" s="1">
        <f t="shared" si="2"/>
        <v>0.31481481481481483</v>
      </c>
      <c r="J129" s="1">
        <f t="shared" si="3"/>
        <v>0.15599007733839196</v>
      </c>
    </row>
    <row r="130" spans="1:10">
      <c r="A130" t="s">
        <v>56</v>
      </c>
      <c r="B130">
        <v>10</v>
      </c>
      <c r="C130" t="s">
        <v>372</v>
      </c>
      <c r="D130">
        <v>6</v>
      </c>
      <c r="E130">
        <v>54</v>
      </c>
      <c r="F130">
        <v>17.0001</v>
      </c>
      <c r="G130">
        <v>2138</v>
      </c>
      <c r="H130">
        <v>13706</v>
      </c>
      <c r="I130" s="1">
        <f t="shared" si="2"/>
        <v>0.31481666666666669</v>
      </c>
      <c r="J130" s="1">
        <f t="shared" si="3"/>
        <v>0.15599007733839196</v>
      </c>
    </row>
    <row r="131" spans="1:10">
      <c r="A131" t="s">
        <v>56</v>
      </c>
      <c r="B131">
        <v>10</v>
      </c>
      <c r="C131" t="s">
        <v>382</v>
      </c>
      <c r="D131">
        <v>7</v>
      </c>
      <c r="E131">
        <v>54</v>
      </c>
      <c r="F131">
        <v>18</v>
      </c>
      <c r="G131">
        <v>2252</v>
      </c>
      <c r="H131">
        <v>13706</v>
      </c>
      <c r="I131" s="1">
        <f t="shared" ref="I131:I194" si="4">F131/E131</f>
        <v>0.33333333333333331</v>
      </c>
      <c r="J131" s="1">
        <f t="shared" ref="J131:J194" si="5">G131/H131</f>
        <v>0.16430760250984969</v>
      </c>
    </row>
    <row r="132" spans="1:10">
      <c r="A132" t="s">
        <v>56</v>
      </c>
      <c r="B132">
        <v>10</v>
      </c>
      <c r="C132" t="s">
        <v>369</v>
      </c>
      <c r="D132">
        <v>8</v>
      </c>
      <c r="E132">
        <v>54</v>
      </c>
      <c r="F132">
        <v>18.0001</v>
      </c>
      <c r="G132">
        <v>2328</v>
      </c>
      <c r="H132">
        <v>13706</v>
      </c>
      <c r="I132" s="1">
        <f t="shared" si="4"/>
        <v>0.33333518518518518</v>
      </c>
      <c r="J132" s="1">
        <f t="shared" si="5"/>
        <v>0.16985261929082154</v>
      </c>
    </row>
    <row r="133" spans="1:10">
      <c r="A133" t="s">
        <v>56</v>
      </c>
      <c r="B133">
        <v>10</v>
      </c>
      <c r="C133" t="s">
        <v>375</v>
      </c>
      <c r="D133">
        <v>9</v>
      </c>
      <c r="E133">
        <v>54</v>
      </c>
      <c r="F133">
        <v>18.000198000000001</v>
      </c>
      <c r="G133">
        <v>2366</v>
      </c>
      <c r="H133">
        <v>13706</v>
      </c>
      <c r="I133" s="1">
        <f t="shared" si="4"/>
        <v>0.33333699999999999</v>
      </c>
      <c r="J133" s="1">
        <f t="shared" si="5"/>
        <v>0.17262512768130744</v>
      </c>
    </row>
    <row r="134" spans="1:10">
      <c r="A134" t="s">
        <v>56</v>
      </c>
      <c r="B134">
        <v>10</v>
      </c>
      <c r="C134" t="s">
        <v>384</v>
      </c>
      <c r="D134">
        <v>10</v>
      </c>
      <c r="E134">
        <v>54</v>
      </c>
      <c r="F134">
        <v>18.000298000000001</v>
      </c>
      <c r="G134">
        <v>2480</v>
      </c>
      <c r="H134">
        <v>13706</v>
      </c>
      <c r="I134" s="1">
        <f t="shared" si="4"/>
        <v>0.33333885185185186</v>
      </c>
      <c r="J134" s="1">
        <f t="shared" si="5"/>
        <v>0.1809426528527652</v>
      </c>
    </row>
    <row r="135" spans="1:10">
      <c r="A135" t="s">
        <v>56</v>
      </c>
      <c r="B135">
        <v>10</v>
      </c>
      <c r="C135" t="s">
        <v>58</v>
      </c>
      <c r="D135">
        <v>11</v>
      </c>
      <c r="E135">
        <v>54</v>
      </c>
      <c r="F135">
        <v>18.000397</v>
      </c>
      <c r="G135">
        <v>2480</v>
      </c>
      <c r="H135">
        <v>13706</v>
      </c>
      <c r="I135" s="1">
        <f t="shared" si="4"/>
        <v>0.33334068518518517</v>
      </c>
      <c r="J135" s="1">
        <f t="shared" si="5"/>
        <v>0.1809426528527652</v>
      </c>
    </row>
    <row r="136" spans="1:10">
      <c r="A136" t="s">
        <v>56</v>
      </c>
      <c r="B136">
        <v>10</v>
      </c>
      <c r="C136" t="s">
        <v>371</v>
      </c>
      <c r="D136">
        <v>12</v>
      </c>
      <c r="E136">
        <v>54</v>
      </c>
      <c r="F136">
        <v>19</v>
      </c>
      <c r="G136">
        <v>2480</v>
      </c>
      <c r="H136">
        <v>13706</v>
      </c>
      <c r="I136" s="1">
        <f t="shared" si="4"/>
        <v>0.35185185185185186</v>
      </c>
      <c r="J136" s="1">
        <f t="shared" si="5"/>
        <v>0.1809426528527652</v>
      </c>
    </row>
    <row r="137" spans="1:10">
      <c r="A137" t="s">
        <v>56</v>
      </c>
      <c r="B137">
        <v>10</v>
      </c>
      <c r="C137" t="s">
        <v>376</v>
      </c>
      <c r="D137">
        <v>13</v>
      </c>
      <c r="E137">
        <v>54</v>
      </c>
      <c r="F137">
        <v>19.0001</v>
      </c>
      <c r="G137">
        <v>2554</v>
      </c>
      <c r="H137">
        <v>13706</v>
      </c>
      <c r="I137" s="1">
        <f t="shared" si="4"/>
        <v>0.35185370370370372</v>
      </c>
      <c r="J137" s="1">
        <f t="shared" si="5"/>
        <v>0.18634174813950094</v>
      </c>
    </row>
    <row r="138" spans="1:10">
      <c r="A138" t="s">
        <v>56</v>
      </c>
      <c r="B138">
        <v>10</v>
      </c>
      <c r="C138" t="s">
        <v>389</v>
      </c>
      <c r="D138">
        <v>14</v>
      </c>
      <c r="E138">
        <v>54</v>
      </c>
      <c r="F138">
        <v>19.000198000000001</v>
      </c>
      <c r="G138">
        <v>2706</v>
      </c>
      <c r="H138">
        <v>13706</v>
      </c>
      <c r="I138" s="1">
        <f t="shared" si="4"/>
        <v>0.35185551851851854</v>
      </c>
      <c r="J138" s="1">
        <f t="shared" si="5"/>
        <v>0.19743178170144463</v>
      </c>
    </row>
    <row r="139" spans="1:10">
      <c r="A139" t="s">
        <v>56</v>
      </c>
      <c r="B139">
        <v>10</v>
      </c>
      <c r="C139" t="s">
        <v>377</v>
      </c>
      <c r="D139">
        <v>15</v>
      </c>
      <c r="E139">
        <v>54</v>
      </c>
      <c r="F139">
        <v>19.000298000000001</v>
      </c>
      <c r="G139">
        <v>2858</v>
      </c>
      <c r="H139">
        <v>13706</v>
      </c>
      <c r="I139" s="1">
        <f t="shared" si="4"/>
        <v>0.3518573703703704</v>
      </c>
      <c r="J139" s="1">
        <f t="shared" si="5"/>
        <v>0.20852181526338831</v>
      </c>
    </row>
    <row r="140" spans="1:10">
      <c r="A140" t="s">
        <v>56</v>
      </c>
      <c r="B140">
        <v>10</v>
      </c>
      <c r="C140" t="s">
        <v>390</v>
      </c>
      <c r="D140">
        <v>16</v>
      </c>
      <c r="E140">
        <v>54</v>
      </c>
      <c r="F140">
        <v>20</v>
      </c>
      <c r="G140">
        <v>3329</v>
      </c>
      <c r="H140">
        <v>13706</v>
      </c>
      <c r="I140" s="1">
        <f t="shared" si="4"/>
        <v>0.37037037037037035</v>
      </c>
      <c r="J140" s="1">
        <f t="shared" si="5"/>
        <v>0.24288632715599007</v>
      </c>
    </row>
    <row r="141" spans="1:10">
      <c r="A141" t="s">
        <v>56</v>
      </c>
      <c r="B141">
        <v>10</v>
      </c>
      <c r="C141" t="s">
        <v>380</v>
      </c>
      <c r="D141">
        <v>17</v>
      </c>
      <c r="E141">
        <v>54</v>
      </c>
      <c r="F141">
        <v>20.0001</v>
      </c>
      <c r="G141">
        <v>3365</v>
      </c>
      <c r="H141">
        <v>13706</v>
      </c>
      <c r="I141" s="1">
        <f t="shared" si="4"/>
        <v>0.37037222222222221</v>
      </c>
      <c r="J141" s="1">
        <f t="shared" si="5"/>
        <v>0.24551291405223991</v>
      </c>
    </row>
    <row r="142" spans="1:10">
      <c r="A142" t="s">
        <v>56</v>
      </c>
      <c r="B142">
        <v>10</v>
      </c>
      <c r="C142" t="s">
        <v>381</v>
      </c>
      <c r="D142">
        <v>18</v>
      </c>
      <c r="E142">
        <v>54</v>
      </c>
      <c r="F142">
        <v>20.000198000000001</v>
      </c>
      <c r="G142">
        <v>3365</v>
      </c>
      <c r="H142">
        <v>13706</v>
      </c>
      <c r="I142" s="1">
        <f t="shared" si="4"/>
        <v>0.37037403703703703</v>
      </c>
      <c r="J142" s="1">
        <f t="shared" si="5"/>
        <v>0.24551291405223991</v>
      </c>
    </row>
    <row r="143" spans="1:10">
      <c r="A143" t="s">
        <v>56</v>
      </c>
      <c r="B143">
        <v>10</v>
      </c>
      <c r="C143" t="s">
        <v>373</v>
      </c>
      <c r="D143">
        <v>19</v>
      </c>
      <c r="E143">
        <v>54</v>
      </c>
      <c r="F143">
        <v>20.000298000000001</v>
      </c>
      <c r="G143">
        <v>3673</v>
      </c>
      <c r="H143">
        <v>13706</v>
      </c>
      <c r="I143" s="1">
        <f t="shared" si="4"/>
        <v>0.37037588888888889</v>
      </c>
      <c r="J143" s="1">
        <f t="shared" si="5"/>
        <v>0.26798482416459946</v>
      </c>
    </row>
    <row r="144" spans="1:10">
      <c r="A144" t="s">
        <v>56</v>
      </c>
      <c r="B144">
        <v>10</v>
      </c>
      <c r="C144" t="s">
        <v>374</v>
      </c>
      <c r="D144">
        <v>20</v>
      </c>
      <c r="E144">
        <v>54</v>
      </c>
      <c r="F144">
        <v>20.000397</v>
      </c>
      <c r="G144">
        <v>3777</v>
      </c>
      <c r="H144">
        <v>13706</v>
      </c>
      <c r="I144" s="1">
        <f t="shared" si="4"/>
        <v>0.37037772222222221</v>
      </c>
      <c r="J144" s="1">
        <f t="shared" si="5"/>
        <v>0.27557274186487668</v>
      </c>
    </row>
    <row r="145" spans="1:10">
      <c r="A145" t="s">
        <v>56</v>
      </c>
      <c r="B145">
        <v>10</v>
      </c>
      <c r="C145" t="s">
        <v>385</v>
      </c>
      <c r="D145">
        <v>21</v>
      </c>
      <c r="E145">
        <v>54</v>
      </c>
      <c r="F145">
        <v>20.000495999999998</v>
      </c>
      <c r="G145">
        <v>4164</v>
      </c>
      <c r="H145">
        <v>13706</v>
      </c>
      <c r="I145" s="1">
        <f t="shared" si="4"/>
        <v>0.37037955555555552</v>
      </c>
      <c r="J145" s="1">
        <f t="shared" si="5"/>
        <v>0.30380855099956222</v>
      </c>
    </row>
    <row r="146" spans="1:10">
      <c r="A146" t="s">
        <v>56</v>
      </c>
      <c r="B146">
        <v>10</v>
      </c>
      <c r="C146" t="s">
        <v>388</v>
      </c>
      <c r="D146">
        <v>22</v>
      </c>
      <c r="E146">
        <v>54</v>
      </c>
      <c r="F146">
        <v>20.000595000000001</v>
      </c>
      <c r="G146">
        <v>4164</v>
      </c>
      <c r="H146">
        <v>13706</v>
      </c>
      <c r="I146" s="1">
        <f t="shared" si="4"/>
        <v>0.37038138888888889</v>
      </c>
      <c r="J146" s="1">
        <f t="shared" si="5"/>
        <v>0.30380855099956222</v>
      </c>
    </row>
    <row r="147" spans="1:10">
      <c r="A147" t="s">
        <v>56</v>
      </c>
      <c r="B147">
        <v>10</v>
      </c>
      <c r="C147" t="s">
        <v>378</v>
      </c>
      <c r="D147">
        <v>23</v>
      </c>
      <c r="E147">
        <v>54</v>
      </c>
      <c r="F147">
        <v>21</v>
      </c>
      <c r="G147">
        <v>4576</v>
      </c>
      <c r="H147">
        <v>13706</v>
      </c>
      <c r="I147" s="1">
        <f t="shared" si="4"/>
        <v>0.3888888888888889</v>
      </c>
      <c r="J147" s="1">
        <f t="shared" si="5"/>
        <v>0.33386837881219905</v>
      </c>
    </row>
    <row r="148" spans="1:10">
      <c r="A148" t="s">
        <v>56</v>
      </c>
      <c r="B148">
        <v>10</v>
      </c>
      <c r="C148" t="s">
        <v>379</v>
      </c>
      <c r="D148">
        <v>24</v>
      </c>
      <c r="E148">
        <v>54</v>
      </c>
      <c r="F148">
        <v>21.0001</v>
      </c>
      <c r="G148">
        <v>4576</v>
      </c>
      <c r="H148">
        <v>13706</v>
      </c>
      <c r="I148" s="1">
        <f t="shared" si="4"/>
        <v>0.38889074074074076</v>
      </c>
      <c r="J148" s="1">
        <f t="shared" si="5"/>
        <v>0.33386837881219905</v>
      </c>
    </row>
    <row r="149" spans="1:10">
      <c r="A149" t="s">
        <v>56</v>
      </c>
      <c r="B149">
        <v>10</v>
      </c>
      <c r="C149" t="s">
        <v>383</v>
      </c>
      <c r="D149">
        <v>25</v>
      </c>
      <c r="E149">
        <v>54</v>
      </c>
      <c r="F149">
        <v>22</v>
      </c>
      <c r="G149">
        <v>4576</v>
      </c>
      <c r="H149">
        <v>13706</v>
      </c>
      <c r="I149" s="1">
        <f t="shared" si="4"/>
        <v>0.40740740740740738</v>
      </c>
      <c r="J149" s="1">
        <f t="shared" si="5"/>
        <v>0.33386837881219905</v>
      </c>
    </row>
    <row r="150" spans="1:10">
      <c r="A150" t="s">
        <v>56</v>
      </c>
      <c r="B150">
        <v>10</v>
      </c>
      <c r="C150" t="s">
        <v>386</v>
      </c>
      <c r="D150">
        <v>26</v>
      </c>
      <c r="E150">
        <v>54</v>
      </c>
      <c r="F150">
        <v>22.0001</v>
      </c>
      <c r="G150">
        <v>4929</v>
      </c>
      <c r="H150">
        <v>13706</v>
      </c>
      <c r="I150" s="1">
        <f t="shared" si="4"/>
        <v>0.40740925925925925</v>
      </c>
      <c r="J150" s="1">
        <f t="shared" si="5"/>
        <v>0.35962352254487084</v>
      </c>
    </row>
    <row r="151" spans="1:10">
      <c r="A151" t="s">
        <v>56</v>
      </c>
      <c r="B151">
        <v>10</v>
      </c>
      <c r="C151" t="s">
        <v>391</v>
      </c>
      <c r="D151">
        <v>27</v>
      </c>
      <c r="E151">
        <v>54</v>
      </c>
      <c r="F151">
        <v>22.000198000000001</v>
      </c>
      <c r="G151">
        <v>5282</v>
      </c>
      <c r="H151">
        <v>13706</v>
      </c>
      <c r="I151" s="1">
        <f t="shared" si="4"/>
        <v>0.40741107407407412</v>
      </c>
      <c r="J151" s="1">
        <f t="shared" si="5"/>
        <v>0.38537866627754269</v>
      </c>
    </row>
    <row r="152" spans="1:10">
      <c r="A152" t="s">
        <v>56</v>
      </c>
      <c r="B152">
        <v>10</v>
      </c>
      <c r="C152" t="s">
        <v>387</v>
      </c>
      <c r="D152">
        <v>28</v>
      </c>
      <c r="E152">
        <v>54</v>
      </c>
      <c r="F152">
        <v>23</v>
      </c>
      <c r="G152">
        <v>5316</v>
      </c>
      <c r="H152">
        <v>13706</v>
      </c>
      <c r="I152" s="1">
        <f t="shared" si="4"/>
        <v>0.42592592592592593</v>
      </c>
      <c r="J152" s="1">
        <f t="shared" si="5"/>
        <v>0.38785933167955639</v>
      </c>
    </row>
    <row r="153" spans="1:10">
      <c r="A153" t="s">
        <v>56</v>
      </c>
      <c r="B153">
        <v>10</v>
      </c>
      <c r="C153" t="s">
        <v>5</v>
      </c>
      <c r="D153">
        <v>29</v>
      </c>
      <c r="E153">
        <v>54</v>
      </c>
      <c r="F153">
        <v>39</v>
      </c>
      <c r="G153">
        <v>7409</v>
      </c>
      <c r="H153">
        <v>13706</v>
      </c>
      <c r="I153" s="1">
        <f t="shared" si="4"/>
        <v>0.72222222222222221</v>
      </c>
      <c r="J153" s="1">
        <f t="shared" si="5"/>
        <v>0.54056617539763607</v>
      </c>
    </row>
    <row r="154" spans="1:10">
      <c r="A154" t="s">
        <v>56</v>
      </c>
      <c r="B154">
        <v>10</v>
      </c>
      <c r="C154" t="s">
        <v>392</v>
      </c>
      <c r="D154">
        <v>30</v>
      </c>
      <c r="E154">
        <v>54</v>
      </c>
      <c r="F154">
        <v>44</v>
      </c>
      <c r="G154">
        <v>9503</v>
      </c>
      <c r="H154">
        <v>13706</v>
      </c>
      <c r="I154" s="1">
        <f t="shared" si="4"/>
        <v>0.81481481481481477</v>
      </c>
      <c r="J154" s="1">
        <f t="shared" si="5"/>
        <v>0.69334597986283375</v>
      </c>
    </row>
    <row r="155" spans="1:10">
      <c r="A155" t="s">
        <v>56</v>
      </c>
      <c r="B155">
        <v>10</v>
      </c>
      <c r="C155" t="s">
        <v>393</v>
      </c>
      <c r="D155">
        <v>31</v>
      </c>
      <c r="E155">
        <v>54</v>
      </c>
      <c r="F155">
        <v>46</v>
      </c>
      <c r="G155">
        <v>13690</v>
      </c>
      <c r="H155">
        <v>13706</v>
      </c>
      <c r="I155" s="1">
        <f t="shared" si="4"/>
        <v>0.85185185185185186</v>
      </c>
      <c r="J155" s="1">
        <f t="shared" si="5"/>
        <v>0.99883262804611117</v>
      </c>
    </row>
    <row r="156" spans="1:10">
      <c r="A156" t="s">
        <v>56</v>
      </c>
      <c r="B156">
        <v>10</v>
      </c>
      <c r="C156" t="s">
        <v>33</v>
      </c>
      <c r="D156">
        <v>32</v>
      </c>
      <c r="E156">
        <v>54</v>
      </c>
      <c r="F156">
        <v>79</v>
      </c>
      <c r="G156">
        <v>13706</v>
      </c>
      <c r="H156">
        <v>13706</v>
      </c>
      <c r="I156" s="1">
        <f t="shared" si="4"/>
        <v>1.462962962962963</v>
      </c>
      <c r="J156" s="1">
        <f t="shared" si="5"/>
        <v>1</v>
      </c>
    </row>
    <row r="157" spans="1:10">
      <c r="A157" t="s">
        <v>56</v>
      </c>
      <c r="B157">
        <v>11</v>
      </c>
      <c r="C157" t="s">
        <v>33</v>
      </c>
      <c r="D157">
        <v>1</v>
      </c>
      <c r="E157">
        <v>15</v>
      </c>
      <c r="F157">
        <v>8</v>
      </c>
      <c r="G157">
        <v>62</v>
      </c>
      <c r="H157">
        <v>4445</v>
      </c>
      <c r="I157" s="1">
        <f t="shared" si="4"/>
        <v>0.53333333333333333</v>
      </c>
      <c r="J157" s="1">
        <f t="shared" si="5"/>
        <v>1.3948256467941508E-2</v>
      </c>
    </row>
    <row r="158" spans="1:10">
      <c r="A158" t="s">
        <v>56</v>
      </c>
      <c r="B158">
        <v>11</v>
      </c>
      <c r="C158" t="s">
        <v>59</v>
      </c>
      <c r="D158">
        <v>2</v>
      </c>
      <c r="E158">
        <v>15</v>
      </c>
      <c r="F158">
        <v>16</v>
      </c>
      <c r="G158">
        <v>1317</v>
      </c>
      <c r="H158">
        <v>4445</v>
      </c>
      <c r="I158" s="1">
        <f t="shared" si="4"/>
        <v>1.0666666666666667</v>
      </c>
      <c r="J158" s="1">
        <f t="shared" si="5"/>
        <v>0.29628796400449942</v>
      </c>
    </row>
    <row r="159" spans="1:10">
      <c r="A159" t="s">
        <v>56</v>
      </c>
      <c r="B159">
        <v>11</v>
      </c>
      <c r="C159" t="s">
        <v>394</v>
      </c>
      <c r="D159">
        <v>3</v>
      </c>
      <c r="E159">
        <v>15</v>
      </c>
      <c r="F159">
        <v>16.0001</v>
      </c>
      <c r="G159">
        <v>1333</v>
      </c>
      <c r="H159">
        <v>4445</v>
      </c>
      <c r="I159" s="1">
        <f t="shared" si="4"/>
        <v>1.0666733333333334</v>
      </c>
      <c r="J159" s="1">
        <f t="shared" si="5"/>
        <v>0.29988751406074243</v>
      </c>
    </row>
    <row r="160" spans="1:10">
      <c r="A160" t="s">
        <v>56</v>
      </c>
      <c r="B160">
        <v>11</v>
      </c>
      <c r="C160" t="s">
        <v>60</v>
      </c>
      <c r="D160">
        <v>4</v>
      </c>
      <c r="E160">
        <v>15</v>
      </c>
      <c r="F160">
        <v>17</v>
      </c>
      <c r="G160">
        <v>2107</v>
      </c>
      <c r="H160">
        <v>4445</v>
      </c>
      <c r="I160" s="1">
        <f t="shared" si="4"/>
        <v>1.1333333333333333</v>
      </c>
      <c r="J160" s="1">
        <f t="shared" si="5"/>
        <v>0.47401574803149604</v>
      </c>
    </row>
    <row r="161" spans="1:10">
      <c r="A161" t="s">
        <v>56</v>
      </c>
      <c r="B161">
        <v>11</v>
      </c>
      <c r="C161" t="s">
        <v>63</v>
      </c>
      <c r="D161">
        <v>5</v>
      </c>
      <c r="E161">
        <v>15</v>
      </c>
      <c r="F161">
        <v>17.0001</v>
      </c>
      <c r="G161">
        <v>2881</v>
      </c>
      <c r="H161">
        <v>4445</v>
      </c>
      <c r="I161" s="1">
        <f t="shared" si="4"/>
        <v>1.13334</v>
      </c>
      <c r="J161" s="1">
        <f t="shared" si="5"/>
        <v>0.64814398200224976</v>
      </c>
    </row>
    <row r="162" spans="1:10">
      <c r="A162" t="s">
        <v>56</v>
      </c>
      <c r="B162">
        <v>11</v>
      </c>
      <c r="C162" t="s">
        <v>395</v>
      </c>
      <c r="D162">
        <v>6</v>
      </c>
      <c r="E162">
        <v>15</v>
      </c>
      <c r="F162">
        <v>19</v>
      </c>
      <c r="G162">
        <v>3655</v>
      </c>
      <c r="H162">
        <v>4445</v>
      </c>
      <c r="I162" s="1">
        <f t="shared" si="4"/>
        <v>1.2666666666666666</v>
      </c>
      <c r="J162" s="1">
        <f t="shared" si="5"/>
        <v>0.82227221597300337</v>
      </c>
    </row>
    <row r="163" spans="1:10">
      <c r="A163" t="s">
        <v>56</v>
      </c>
      <c r="B163">
        <v>11</v>
      </c>
      <c r="C163" t="s">
        <v>62</v>
      </c>
      <c r="D163">
        <v>7</v>
      </c>
      <c r="E163">
        <v>15</v>
      </c>
      <c r="F163">
        <v>19.0001</v>
      </c>
      <c r="G163">
        <v>3655</v>
      </c>
      <c r="H163">
        <v>4445</v>
      </c>
      <c r="I163" s="1">
        <f t="shared" si="4"/>
        <v>1.2666733333333333</v>
      </c>
      <c r="J163" s="1">
        <f t="shared" si="5"/>
        <v>0.82227221597300337</v>
      </c>
    </row>
    <row r="164" spans="1:10">
      <c r="A164" t="s">
        <v>56</v>
      </c>
      <c r="B164">
        <v>11</v>
      </c>
      <c r="C164" t="s">
        <v>396</v>
      </c>
      <c r="D164">
        <v>8</v>
      </c>
      <c r="E164">
        <v>15</v>
      </c>
      <c r="F164">
        <v>19.000198000000001</v>
      </c>
      <c r="G164">
        <v>3655</v>
      </c>
      <c r="H164">
        <v>4445</v>
      </c>
      <c r="I164" s="1">
        <f t="shared" si="4"/>
        <v>1.2666798666666668</v>
      </c>
      <c r="J164" s="1">
        <f t="shared" si="5"/>
        <v>0.82227221597300337</v>
      </c>
    </row>
    <row r="165" spans="1:10">
      <c r="A165" t="s">
        <v>56</v>
      </c>
      <c r="B165">
        <v>11</v>
      </c>
      <c r="C165" t="s">
        <v>398</v>
      </c>
      <c r="D165">
        <v>9</v>
      </c>
      <c r="E165">
        <v>15</v>
      </c>
      <c r="F165">
        <v>19.000298000000001</v>
      </c>
      <c r="G165">
        <v>3655</v>
      </c>
      <c r="H165">
        <v>4445</v>
      </c>
      <c r="I165" s="1">
        <f t="shared" si="4"/>
        <v>1.2666865333333335</v>
      </c>
      <c r="J165" s="1">
        <f t="shared" si="5"/>
        <v>0.82227221597300337</v>
      </c>
    </row>
    <row r="166" spans="1:10">
      <c r="A166" t="s">
        <v>56</v>
      </c>
      <c r="B166">
        <v>11</v>
      </c>
      <c r="C166" t="s">
        <v>61</v>
      </c>
      <c r="D166">
        <v>10</v>
      </c>
      <c r="E166">
        <v>15</v>
      </c>
      <c r="F166">
        <v>20</v>
      </c>
      <c r="G166">
        <v>4429</v>
      </c>
      <c r="H166">
        <v>4445</v>
      </c>
      <c r="I166" s="1">
        <f t="shared" si="4"/>
        <v>1.3333333333333333</v>
      </c>
      <c r="J166" s="1">
        <f t="shared" si="5"/>
        <v>0.99640044994375698</v>
      </c>
    </row>
    <row r="167" spans="1:10">
      <c r="A167" t="s">
        <v>56</v>
      </c>
      <c r="B167">
        <v>11</v>
      </c>
      <c r="C167" t="s">
        <v>397</v>
      </c>
      <c r="D167">
        <v>11</v>
      </c>
      <c r="E167">
        <v>15</v>
      </c>
      <c r="F167">
        <v>20.0001</v>
      </c>
      <c r="G167">
        <v>4429</v>
      </c>
      <c r="H167">
        <v>4445</v>
      </c>
      <c r="I167" s="1">
        <f t="shared" si="4"/>
        <v>1.33334</v>
      </c>
      <c r="J167" s="1">
        <f t="shared" si="5"/>
        <v>0.99640044994375698</v>
      </c>
    </row>
    <row r="168" spans="1:10">
      <c r="A168" t="s">
        <v>56</v>
      </c>
      <c r="B168">
        <v>11</v>
      </c>
      <c r="C168" t="s">
        <v>2</v>
      </c>
      <c r="D168">
        <v>12</v>
      </c>
      <c r="E168">
        <v>15</v>
      </c>
      <c r="F168">
        <v>30</v>
      </c>
      <c r="G168">
        <v>4445</v>
      </c>
      <c r="H168">
        <v>4445</v>
      </c>
      <c r="I168" s="1">
        <f t="shared" si="4"/>
        <v>2</v>
      </c>
      <c r="J168" s="1">
        <f t="shared" si="5"/>
        <v>1</v>
      </c>
    </row>
    <row r="169" spans="1:10">
      <c r="A169" t="s">
        <v>56</v>
      </c>
      <c r="B169">
        <v>12</v>
      </c>
      <c r="C169" t="s">
        <v>33</v>
      </c>
      <c r="D169">
        <v>1</v>
      </c>
      <c r="E169">
        <v>10</v>
      </c>
      <c r="F169">
        <v>6</v>
      </c>
      <c r="G169">
        <v>74</v>
      </c>
      <c r="H169">
        <v>2334</v>
      </c>
      <c r="I169" s="1">
        <f t="shared" si="4"/>
        <v>0.6</v>
      </c>
      <c r="J169" s="1">
        <f t="shared" si="5"/>
        <v>3.1705227077977724E-2</v>
      </c>
    </row>
    <row r="170" spans="1:10">
      <c r="A170" t="s">
        <v>56</v>
      </c>
      <c r="B170">
        <v>12</v>
      </c>
      <c r="C170" t="s">
        <v>407</v>
      </c>
      <c r="D170">
        <v>2</v>
      </c>
      <c r="E170">
        <v>10</v>
      </c>
      <c r="F170">
        <v>11</v>
      </c>
      <c r="G170">
        <v>607</v>
      </c>
      <c r="H170">
        <v>2334</v>
      </c>
      <c r="I170" s="1">
        <f t="shared" si="4"/>
        <v>1.1000000000000001</v>
      </c>
      <c r="J170" s="1">
        <f t="shared" si="5"/>
        <v>0.26006855184233074</v>
      </c>
    </row>
    <row r="171" spans="1:10">
      <c r="A171" t="s">
        <v>56</v>
      </c>
      <c r="B171">
        <v>12</v>
      </c>
      <c r="C171" t="s">
        <v>399</v>
      </c>
      <c r="D171">
        <v>3</v>
      </c>
      <c r="E171">
        <v>10</v>
      </c>
      <c r="F171">
        <v>12</v>
      </c>
      <c r="G171">
        <v>861</v>
      </c>
      <c r="H171">
        <v>2334</v>
      </c>
      <c r="I171" s="1">
        <f t="shared" si="4"/>
        <v>1.2</v>
      </c>
      <c r="J171" s="1">
        <f t="shared" si="5"/>
        <v>0.36889460154241643</v>
      </c>
    </row>
    <row r="172" spans="1:10">
      <c r="A172" t="s">
        <v>56</v>
      </c>
      <c r="B172">
        <v>12</v>
      </c>
      <c r="C172" t="s">
        <v>404</v>
      </c>
      <c r="D172">
        <v>4</v>
      </c>
      <c r="E172">
        <v>10</v>
      </c>
      <c r="F172">
        <v>12.0001</v>
      </c>
      <c r="G172">
        <v>1027</v>
      </c>
      <c r="H172">
        <v>2334</v>
      </c>
      <c r="I172" s="1">
        <f t="shared" si="4"/>
        <v>1.20001</v>
      </c>
      <c r="J172" s="1">
        <f t="shared" si="5"/>
        <v>0.44001713796058267</v>
      </c>
    </row>
    <row r="173" spans="1:10">
      <c r="A173" t="s">
        <v>56</v>
      </c>
      <c r="B173">
        <v>12</v>
      </c>
      <c r="C173" t="s">
        <v>400</v>
      </c>
      <c r="D173">
        <v>5</v>
      </c>
      <c r="E173">
        <v>10</v>
      </c>
      <c r="F173">
        <v>12.0002</v>
      </c>
      <c r="G173">
        <v>1027</v>
      </c>
      <c r="H173">
        <v>2334</v>
      </c>
      <c r="I173" s="1">
        <f t="shared" si="4"/>
        <v>1.2000199999999999</v>
      </c>
      <c r="J173" s="1">
        <f t="shared" si="5"/>
        <v>0.44001713796058267</v>
      </c>
    </row>
    <row r="174" spans="1:10">
      <c r="A174" t="s">
        <v>56</v>
      </c>
      <c r="B174">
        <v>12</v>
      </c>
      <c r="C174" t="s">
        <v>401</v>
      </c>
      <c r="D174">
        <v>6</v>
      </c>
      <c r="E174">
        <v>10</v>
      </c>
      <c r="F174">
        <v>12.000299999999999</v>
      </c>
      <c r="G174">
        <v>1027</v>
      </c>
      <c r="H174">
        <v>2334</v>
      </c>
      <c r="I174" s="1">
        <f t="shared" si="4"/>
        <v>1.2000299999999999</v>
      </c>
      <c r="J174" s="1">
        <f t="shared" si="5"/>
        <v>0.44001713796058267</v>
      </c>
    </row>
    <row r="175" spans="1:10">
      <c r="A175" t="s">
        <v>56</v>
      </c>
      <c r="B175">
        <v>12</v>
      </c>
      <c r="C175" t="s">
        <v>402</v>
      </c>
      <c r="D175">
        <v>7</v>
      </c>
      <c r="E175">
        <v>10</v>
      </c>
      <c r="F175">
        <v>13</v>
      </c>
      <c r="G175">
        <v>1027</v>
      </c>
      <c r="H175">
        <v>2334</v>
      </c>
      <c r="I175" s="1">
        <f t="shared" si="4"/>
        <v>1.3</v>
      </c>
      <c r="J175" s="1">
        <f t="shared" si="5"/>
        <v>0.44001713796058267</v>
      </c>
    </row>
    <row r="176" spans="1:10">
      <c r="A176" t="s">
        <v>56</v>
      </c>
      <c r="B176">
        <v>12</v>
      </c>
      <c r="C176" t="s">
        <v>403</v>
      </c>
      <c r="D176">
        <v>8</v>
      </c>
      <c r="E176">
        <v>10</v>
      </c>
      <c r="F176">
        <v>14</v>
      </c>
      <c r="G176">
        <v>1044</v>
      </c>
      <c r="H176">
        <v>2334</v>
      </c>
      <c r="I176" s="1">
        <f t="shared" si="4"/>
        <v>1.4</v>
      </c>
      <c r="J176" s="1">
        <f t="shared" si="5"/>
        <v>0.4473007712082262</v>
      </c>
    </row>
    <row r="177" spans="1:10">
      <c r="A177" t="s">
        <v>56</v>
      </c>
      <c r="B177">
        <v>12</v>
      </c>
      <c r="C177" t="s">
        <v>405</v>
      </c>
      <c r="D177">
        <v>9</v>
      </c>
      <c r="E177">
        <v>10</v>
      </c>
      <c r="F177">
        <v>14.0001</v>
      </c>
      <c r="G177">
        <v>1044</v>
      </c>
      <c r="H177">
        <v>2334</v>
      </c>
      <c r="I177" s="1">
        <f t="shared" si="4"/>
        <v>1.40001</v>
      </c>
      <c r="J177" s="1">
        <f t="shared" si="5"/>
        <v>0.4473007712082262</v>
      </c>
    </row>
    <row r="178" spans="1:10">
      <c r="A178" t="s">
        <v>56</v>
      </c>
      <c r="B178">
        <v>12</v>
      </c>
      <c r="C178" t="s">
        <v>406</v>
      </c>
      <c r="D178">
        <v>10</v>
      </c>
      <c r="E178">
        <v>10</v>
      </c>
      <c r="F178">
        <v>15</v>
      </c>
      <c r="G178">
        <v>1583</v>
      </c>
      <c r="H178">
        <v>2334</v>
      </c>
      <c r="I178" s="1">
        <f t="shared" si="4"/>
        <v>1.5</v>
      </c>
      <c r="J178" s="1">
        <f t="shared" si="5"/>
        <v>0.67823479005998288</v>
      </c>
    </row>
    <row r="179" spans="1:10">
      <c r="A179" t="s">
        <v>56</v>
      </c>
      <c r="B179">
        <v>12</v>
      </c>
      <c r="C179" t="s">
        <v>2</v>
      </c>
      <c r="D179">
        <v>11</v>
      </c>
      <c r="E179">
        <v>10</v>
      </c>
      <c r="F179">
        <v>19</v>
      </c>
      <c r="G179">
        <v>2334</v>
      </c>
      <c r="H179">
        <v>2334</v>
      </c>
      <c r="I179" s="1">
        <f t="shared" si="4"/>
        <v>1.9</v>
      </c>
      <c r="J179" s="1">
        <f t="shared" si="5"/>
        <v>1</v>
      </c>
    </row>
    <row r="180" spans="1:10">
      <c r="A180" t="s">
        <v>56</v>
      </c>
      <c r="B180">
        <v>12</v>
      </c>
      <c r="C180" t="s">
        <v>408</v>
      </c>
      <c r="D180">
        <v>12</v>
      </c>
      <c r="E180">
        <v>10</v>
      </c>
      <c r="F180">
        <v>20</v>
      </c>
      <c r="G180">
        <v>2334</v>
      </c>
      <c r="H180">
        <v>2334</v>
      </c>
      <c r="I180" s="1">
        <f t="shared" si="4"/>
        <v>2</v>
      </c>
      <c r="J180" s="1">
        <f t="shared" si="5"/>
        <v>1</v>
      </c>
    </row>
    <row r="181" spans="1:10">
      <c r="A181" t="s">
        <v>65</v>
      </c>
      <c r="B181">
        <v>1</v>
      </c>
      <c r="C181" t="s">
        <v>409</v>
      </c>
      <c r="D181">
        <v>1</v>
      </c>
      <c r="E181">
        <v>15</v>
      </c>
      <c r="F181">
        <v>10</v>
      </c>
      <c r="G181">
        <v>231</v>
      </c>
      <c r="H181">
        <v>3217</v>
      </c>
      <c r="I181" s="1">
        <f t="shared" si="4"/>
        <v>0.66666666666666663</v>
      </c>
      <c r="J181" s="1">
        <f t="shared" si="5"/>
        <v>7.1806030463164444E-2</v>
      </c>
    </row>
    <row r="182" spans="1:10">
      <c r="A182" t="s">
        <v>65</v>
      </c>
      <c r="B182">
        <v>1</v>
      </c>
      <c r="C182" t="s">
        <v>410</v>
      </c>
      <c r="D182">
        <v>2</v>
      </c>
      <c r="E182">
        <v>15</v>
      </c>
      <c r="F182">
        <v>13</v>
      </c>
      <c r="G182">
        <v>809</v>
      </c>
      <c r="H182">
        <v>3217</v>
      </c>
      <c r="I182" s="1">
        <f t="shared" si="4"/>
        <v>0.8666666666666667</v>
      </c>
      <c r="J182" s="1">
        <f t="shared" si="5"/>
        <v>0.25147653092943734</v>
      </c>
    </row>
    <row r="183" spans="1:10">
      <c r="A183" t="s">
        <v>65</v>
      </c>
      <c r="B183">
        <v>1</v>
      </c>
      <c r="C183" t="s">
        <v>411</v>
      </c>
      <c r="D183">
        <v>3</v>
      </c>
      <c r="E183">
        <v>15</v>
      </c>
      <c r="F183">
        <v>14</v>
      </c>
      <c r="G183">
        <v>812</v>
      </c>
      <c r="H183">
        <v>3217</v>
      </c>
      <c r="I183" s="1">
        <f t="shared" si="4"/>
        <v>0.93333333333333335</v>
      </c>
      <c r="J183" s="1">
        <f t="shared" si="5"/>
        <v>0.25240907677960833</v>
      </c>
    </row>
    <row r="184" spans="1:10">
      <c r="A184" t="s">
        <v>65</v>
      </c>
      <c r="B184">
        <v>1</v>
      </c>
      <c r="C184" t="s">
        <v>414</v>
      </c>
      <c r="D184">
        <v>4</v>
      </c>
      <c r="E184">
        <v>15</v>
      </c>
      <c r="F184">
        <v>21</v>
      </c>
      <c r="G184">
        <v>2781</v>
      </c>
      <c r="H184">
        <v>3217</v>
      </c>
      <c r="I184" s="1">
        <f t="shared" si="4"/>
        <v>1.4</v>
      </c>
      <c r="J184" s="1">
        <f t="shared" si="5"/>
        <v>0.86447000310848621</v>
      </c>
    </row>
    <row r="185" spans="1:10">
      <c r="A185" t="s">
        <v>65</v>
      </c>
      <c r="B185">
        <v>1</v>
      </c>
      <c r="C185" t="s">
        <v>415</v>
      </c>
      <c r="D185">
        <v>5</v>
      </c>
      <c r="E185">
        <v>15</v>
      </c>
      <c r="F185">
        <v>23</v>
      </c>
      <c r="G185">
        <v>2947</v>
      </c>
      <c r="H185">
        <v>3217</v>
      </c>
      <c r="I185" s="1">
        <f t="shared" si="4"/>
        <v>1.5333333333333334</v>
      </c>
      <c r="J185" s="1">
        <f t="shared" si="5"/>
        <v>0.91607087348461302</v>
      </c>
    </row>
    <row r="186" spans="1:10">
      <c r="A186" t="s">
        <v>65</v>
      </c>
      <c r="B186">
        <v>1</v>
      </c>
      <c r="C186" t="s">
        <v>412</v>
      </c>
      <c r="D186">
        <v>6</v>
      </c>
      <c r="E186">
        <v>15</v>
      </c>
      <c r="F186">
        <v>23.0001</v>
      </c>
      <c r="G186">
        <v>3042</v>
      </c>
      <c r="H186">
        <v>3217</v>
      </c>
      <c r="I186" s="1">
        <f t="shared" si="4"/>
        <v>1.5333399999999999</v>
      </c>
      <c r="J186" s="1">
        <f t="shared" si="5"/>
        <v>0.94560149207336031</v>
      </c>
    </row>
    <row r="187" spans="1:10">
      <c r="A187" t="s">
        <v>65</v>
      </c>
      <c r="B187">
        <v>1</v>
      </c>
      <c r="C187" t="s">
        <v>413</v>
      </c>
      <c r="D187">
        <v>7</v>
      </c>
      <c r="E187">
        <v>15</v>
      </c>
      <c r="F187">
        <v>24</v>
      </c>
      <c r="G187">
        <v>3217</v>
      </c>
      <c r="H187">
        <v>3217</v>
      </c>
      <c r="I187" s="1">
        <f t="shared" si="4"/>
        <v>1.6</v>
      </c>
      <c r="J187" s="1">
        <f t="shared" si="5"/>
        <v>1</v>
      </c>
    </row>
    <row r="188" spans="1:10">
      <c r="A188" t="s">
        <v>65</v>
      </c>
      <c r="B188">
        <v>3</v>
      </c>
      <c r="C188" t="s">
        <v>67</v>
      </c>
      <c r="D188">
        <v>1</v>
      </c>
      <c r="E188">
        <v>488</v>
      </c>
      <c r="F188">
        <v>714</v>
      </c>
      <c r="G188">
        <v>56182</v>
      </c>
      <c r="H188">
        <v>66782</v>
      </c>
      <c r="I188" s="1">
        <f t="shared" si="4"/>
        <v>1.4631147540983607</v>
      </c>
      <c r="J188" s="1">
        <f t="shared" si="5"/>
        <v>0.8412745949507352</v>
      </c>
    </row>
    <row r="189" spans="1:10">
      <c r="A189" t="s">
        <v>65</v>
      </c>
      <c r="B189">
        <v>3</v>
      </c>
      <c r="C189" t="s">
        <v>66</v>
      </c>
      <c r="D189">
        <v>2</v>
      </c>
      <c r="E189">
        <v>488</v>
      </c>
      <c r="F189">
        <v>715</v>
      </c>
      <c r="G189">
        <v>66282</v>
      </c>
      <c r="H189">
        <v>66782</v>
      </c>
      <c r="I189" s="1">
        <f t="shared" si="4"/>
        <v>1.4651639344262295</v>
      </c>
      <c r="J189" s="1">
        <f t="shared" si="5"/>
        <v>0.99251295259201577</v>
      </c>
    </row>
    <row r="190" spans="1:10">
      <c r="A190" t="s">
        <v>65</v>
      </c>
      <c r="B190">
        <v>3</v>
      </c>
      <c r="C190" t="s">
        <v>68</v>
      </c>
      <c r="D190">
        <v>3</v>
      </c>
      <c r="E190">
        <v>488</v>
      </c>
      <c r="F190">
        <v>727</v>
      </c>
      <c r="G190">
        <v>66782</v>
      </c>
      <c r="H190">
        <v>66782</v>
      </c>
      <c r="I190" s="1">
        <f t="shared" si="4"/>
        <v>1.4897540983606556</v>
      </c>
      <c r="J190" s="1">
        <f t="shared" si="5"/>
        <v>1</v>
      </c>
    </row>
    <row r="191" spans="1:10">
      <c r="A191" t="s">
        <v>65</v>
      </c>
      <c r="B191">
        <v>4</v>
      </c>
      <c r="C191" t="s">
        <v>416</v>
      </c>
      <c r="D191">
        <v>1</v>
      </c>
      <c r="E191">
        <v>23</v>
      </c>
      <c r="F191">
        <v>33</v>
      </c>
      <c r="G191">
        <v>3704</v>
      </c>
      <c r="H191">
        <v>5310</v>
      </c>
      <c r="I191" s="1">
        <f t="shared" si="4"/>
        <v>1.4347826086956521</v>
      </c>
      <c r="J191" s="1">
        <f t="shared" si="5"/>
        <v>0.69755178907721282</v>
      </c>
    </row>
    <row r="192" spans="1:10">
      <c r="A192" t="s">
        <v>65</v>
      </c>
      <c r="B192">
        <v>4</v>
      </c>
      <c r="C192" t="s">
        <v>417</v>
      </c>
      <c r="D192">
        <v>2</v>
      </c>
      <c r="E192">
        <v>23</v>
      </c>
      <c r="F192">
        <v>34</v>
      </c>
      <c r="G192">
        <v>4086</v>
      </c>
      <c r="H192">
        <v>5310</v>
      </c>
      <c r="I192" s="1">
        <f t="shared" si="4"/>
        <v>1.4782608695652173</v>
      </c>
      <c r="J192" s="1">
        <f t="shared" si="5"/>
        <v>0.76949152542372878</v>
      </c>
    </row>
    <row r="193" spans="1:10">
      <c r="A193" t="s">
        <v>65</v>
      </c>
      <c r="B193">
        <v>4</v>
      </c>
      <c r="C193" t="s">
        <v>418</v>
      </c>
      <c r="D193">
        <v>3</v>
      </c>
      <c r="E193">
        <v>23</v>
      </c>
      <c r="F193">
        <v>34.000100000000003</v>
      </c>
      <c r="G193">
        <v>4458</v>
      </c>
      <c r="H193">
        <v>5310</v>
      </c>
      <c r="I193" s="1">
        <f t="shared" si="4"/>
        <v>1.4782652173913045</v>
      </c>
      <c r="J193" s="1">
        <f t="shared" si="5"/>
        <v>0.83954802259887007</v>
      </c>
    </row>
    <row r="194" spans="1:10">
      <c r="A194" t="s">
        <v>65</v>
      </c>
      <c r="B194">
        <v>4</v>
      </c>
      <c r="C194" t="s">
        <v>419</v>
      </c>
      <c r="D194">
        <v>4</v>
      </c>
      <c r="E194">
        <v>23</v>
      </c>
      <c r="F194">
        <v>34.0002</v>
      </c>
      <c r="G194">
        <v>4830</v>
      </c>
      <c r="H194">
        <v>5310</v>
      </c>
      <c r="I194" s="1">
        <f t="shared" si="4"/>
        <v>1.4782695652173914</v>
      </c>
      <c r="J194" s="1">
        <f t="shared" si="5"/>
        <v>0.90960451977401124</v>
      </c>
    </row>
    <row r="195" spans="1:10">
      <c r="A195" t="s">
        <v>65</v>
      </c>
      <c r="B195">
        <v>4</v>
      </c>
      <c r="C195" t="s">
        <v>430</v>
      </c>
      <c r="D195">
        <v>5</v>
      </c>
      <c r="E195">
        <v>23</v>
      </c>
      <c r="F195">
        <v>34.000298000000001</v>
      </c>
      <c r="G195">
        <v>4848</v>
      </c>
      <c r="H195">
        <v>5310</v>
      </c>
      <c r="I195" s="1">
        <f t="shared" ref="I195:I258" si="6">F195/E195</f>
        <v>1.4782738260869566</v>
      </c>
      <c r="J195" s="1">
        <f t="shared" ref="J195:J258" si="7">G195/H195</f>
        <v>0.91299435028248588</v>
      </c>
    </row>
    <row r="196" spans="1:10">
      <c r="A196" t="s">
        <v>65</v>
      </c>
      <c r="B196">
        <v>4</v>
      </c>
      <c r="C196" t="s">
        <v>425</v>
      </c>
      <c r="D196">
        <v>6</v>
      </c>
      <c r="E196">
        <v>23</v>
      </c>
      <c r="F196">
        <v>35</v>
      </c>
      <c r="G196">
        <v>5217</v>
      </c>
      <c r="H196">
        <v>5310</v>
      </c>
      <c r="I196" s="1">
        <f t="shared" si="6"/>
        <v>1.5217391304347827</v>
      </c>
      <c r="J196" s="1">
        <f t="shared" si="7"/>
        <v>0.98248587570621471</v>
      </c>
    </row>
    <row r="197" spans="1:10">
      <c r="A197" t="s">
        <v>65</v>
      </c>
      <c r="B197">
        <v>4</v>
      </c>
      <c r="C197" t="s">
        <v>422</v>
      </c>
      <c r="D197">
        <v>7</v>
      </c>
      <c r="E197">
        <v>23</v>
      </c>
      <c r="F197">
        <v>35.000100000000003</v>
      </c>
      <c r="G197">
        <v>5235</v>
      </c>
      <c r="H197">
        <v>5310</v>
      </c>
      <c r="I197" s="1">
        <f t="shared" si="6"/>
        <v>1.5217434782608696</v>
      </c>
      <c r="J197" s="1">
        <f t="shared" si="7"/>
        <v>0.98587570621468923</v>
      </c>
    </row>
    <row r="198" spans="1:10">
      <c r="A198" t="s">
        <v>65</v>
      </c>
      <c r="B198">
        <v>4</v>
      </c>
      <c r="C198" t="s">
        <v>423</v>
      </c>
      <c r="D198">
        <v>8</v>
      </c>
      <c r="E198">
        <v>23</v>
      </c>
      <c r="F198">
        <v>35.0002</v>
      </c>
      <c r="G198">
        <v>5247</v>
      </c>
      <c r="H198">
        <v>5310</v>
      </c>
      <c r="I198" s="1">
        <f t="shared" si="6"/>
        <v>1.5217478260869566</v>
      </c>
      <c r="J198" s="1">
        <f t="shared" si="7"/>
        <v>0.98813559322033895</v>
      </c>
    </row>
    <row r="199" spans="1:10">
      <c r="A199" t="s">
        <v>65</v>
      </c>
      <c r="B199">
        <v>4</v>
      </c>
      <c r="C199" t="s">
        <v>420</v>
      </c>
      <c r="D199">
        <v>9</v>
      </c>
      <c r="E199">
        <v>23</v>
      </c>
      <c r="F199">
        <v>36</v>
      </c>
      <c r="G199">
        <v>5268</v>
      </c>
      <c r="H199">
        <v>5310</v>
      </c>
      <c r="I199" s="1">
        <f t="shared" si="6"/>
        <v>1.5652173913043479</v>
      </c>
      <c r="J199" s="1">
        <f t="shared" si="7"/>
        <v>0.99209039548022604</v>
      </c>
    </row>
    <row r="200" spans="1:10">
      <c r="A200" t="s">
        <v>65</v>
      </c>
      <c r="B200">
        <v>4</v>
      </c>
      <c r="C200" t="s">
        <v>428</v>
      </c>
      <c r="D200">
        <v>10</v>
      </c>
      <c r="E200">
        <v>23</v>
      </c>
      <c r="F200">
        <v>36.000100000000003</v>
      </c>
      <c r="G200">
        <v>5289</v>
      </c>
      <c r="H200">
        <v>5310</v>
      </c>
      <c r="I200" s="1">
        <f t="shared" si="6"/>
        <v>1.5652217391304348</v>
      </c>
      <c r="J200" s="1">
        <f t="shared" si="7"/>
        <v>0.99604519774011302</v>
      </c>
    </row>
    <row r="201" spans="1:10">
      <c r="A201" t="s">
        <v>65</v>
      </c>
      <c r="B201">
        <v>4</v>
      </c>
      <c r="C201" t="s">
        <v>424</v>
      </c>
      <c r="D201">
        <v>11</v>
      </c>
      <c r="E201">
        <v>23</v>
      </c>
      <c r="F201">
        <v>37</v>
      </c>
      <c r="G201">
        <v>5310</v>
      </c>
      <c r="H201">
        <v>5310</v>
      </c>
      <c r="I201" s="1">
        <f t="shared" si="6"/>
        <v>1.6086956521739131</v>
      </c>
      <c r="J201" s="1">
        <f t="shared" si="7"/>
        <v>1</v>
      </c>
    </row>
    <row r="202" spans="1:10">
      <c r="A202" t="s">
        <v>65</v>
      </c>
      <c r="B202">
        <v>4</v>
      </c>
      <c r="C202" t="s">
        <v>427</v>
      </c>
      <c r="D202">
        <v>12</v>
      </c>
      <c r="E202">
        <v>23</v>
      </c>
      <c r="F202">
        <v>37.000100000000003</v>
      </c>
      <c r="G202">
        <v>5310</v>
      </c>
      <c r="H202">
        <v>5310</v>
      </c>
      <c r="I202" s="1">
        <f t="shared" si="6"/>
        <v>1.6087000000000002</v>
      </c>
      <c r="J202" s="1">
        <f t="shared" si="7"/>
        <v>1</v>
      </c>
    </row>
    <row r="203" spans="1:10">
      <c r="A203" t="s">
        <v>65</v>
      </c>
      <c r="B203">
        <v>4</v>
      </c>
      <c r="C203" t="s">
        <v>426</v>
      </c>
      <c r="D203">
        <v>13</v>
      </c>
      <c r="E203">
        <v>23</v>
      </c>
      <c r="F203">
        <v>38</v>
      </c>
      <c r="G203">
        <v>5310</v>
      </c>
      <c r="H203">
        <v>5310</v>
      </c>
      <c r="I203" s="1">
        <f t="shared" si="6"/>
        <v>1.6521739130434783</v>
      </c>
      <c r="J203" s="1">
        <f t="shared" si="7"/>
        <v>1</v>
      </c>
    </row>
    <row r="204" spans="1:10">
      <c r="A204" t="s">
        <v>65</v>
      </c>
      <c r="B204">
        <v>4</v>
      </c>
      <c r="C204" t="s">
        <v>429</v>
      </c>
      <c r="D204">
        <v>14</v>
      </c>
      <c r="E204">
        <v>23</v>
      </c>
      <c r="F204">
        <v>38.000100000000003</v>
      </c>
      <c r="G204">
        <v>5310</v>
      </c>
      <c r="H204">
        <v>5310</v>
      </c>
      <c r="I204" s="1">
        <f t="shared" si="6"/>
        <v>1.6521782608695654</v>
      </c>
      <c r="J204" s="1">
        <f t="shared" si="7"/>
        <v>1</v>
      </c>
    </row>
    <row r="205" spans="1:10">
      <c r="A205" t="s">
        <v>65</v>
      </c>
      <c r="B205">
        <v>4</v>
      </c>
      <c r="C205" t="s">
        <v>431</v>
      </c>
      <c r="D205">
        <v>15</v>
      </c>
      <c r="E205">
        <v>23</v>
      </c>
      <c r="F205">
        <v>39</v>
      </c>
      <c r="G205">
        <v>5310</v>
      </c>
      <c r="H205">
        <v>5310</v>
      </c>
      <c r="I205" s="1">
        <f t="shared" si="6"/>
        <v>1.6956521739130435</v>
      </c>
      <c r="J205" s="1">
        <f t="shared" si="7"/>
        <v>1</v>
      </c>
    </row>
    <row r="206" spans="1:10">
      <c r="A206" t="s">
        <v>65</v>
      </c>
      <c r="B206">
        <v>4</v>
      </c>
      <c r="C206" t="s">
        <v>421</v>
      </c>
      <c r="D206">
        <v>16</v>
      </c>
      <c r="E206">
        <v>23</v>
      </c>
      <c r="F206">
        <v>42</v>
      </c>
      <c r="G206">
        <v>5310</v>
      </c>
      <c r="H206">
        <v>5310</v>
      </c>
      <c r="I206" s="1">
        <f t="shared" si="6"/>
        <v>1.826086956521739</v>
      </c>
      <c r="J206" s="1">
        <f t="shared" si="7"/>
        <v>1</v>
      </c>
    </row>
    <row r="207" spans="1:10">
      <c r="A207" t="s">
        <v>65</v>
      </c>
      <c r="B207">
        <v>6</v>
      </c>
      <c r="C207" t="s">
        <v>69</v>
      </c>
      <c r="D207">
        <v>1</v>
      </c>
      <c r="E207">
        <v>26</v>
      </c>
      <c r="F207">
        <v>34</v>
      </c>
      <c r="G207">
        <v>1815</v>
      </c>
      <c r="H207">
        <v>2939</v>
      </c>
      <c r="I207" s="1">
        <f t="shared" si="6"/>
        <v>1.3076923076923077</v>
      </c>
      <c r="J207" s="1">
        <f t="shared" si="7"/>
        <v>0.6175569921742089</v>
      </c>
    </row>
    <row r="208" spans="1:10">
      <c r="A208" t="s">
        <v>65</v>
      </c>
      <c r="B208">
        <v>6</v>
      </c>
      <c r="C208" t="s">
        <v>70</v>
      </c>
      <c r="D208">
        <v>2</v>
      </c>
      <c r="E208">
        <v>26</v>
      </c>
      <c r="F208">
        <v>34.000100000000003</v>
      </c>
      <c r="G208">
        <v>2939</v>
      </c>
      <c r="H208">
        <v>2939</v>
      </c>
      <c r="I208" s="1">
        <f t="shared" si="6"/>
        <v>1.307696153846154</v>
      </c>
      <c r="J208" s="1">
        <f t="shared" si="7"/>
        <v>1</v>
      </c>
    </row>
    <row r="209" spans="1:10">
      <c r="A209" t="s">
        <v>65</v>
      </c>
      <c r="B209">
        <v>7</v>
      </c>
      <c r="C209" t="s">
        <v>19</v>
      </c>
      <c r="D209">
        <v>1</v>
      </c>
      <c r="E209">
        <v>6</v>
      </c>
      <c r="F209">
        <v>6</v>
      </c>
      <c r="G209">
        <v>90</v>
      </c>
      <c r="H209">
        <v>1070</v>
      </c>
      <c r="I209" s="1">
        <f t="shared" si="6"/>
        <v>1</v>
      </c>
      <c r="J209" s="1">
        <f t="shared" si="7"/>
        <v>8.4112149532710276E-2</v>
      </c>
    </row>
    <row r="210" spans="1:10">
      <c r="A210" t="s">
        <v>65</v>
      </c>
      <c r="B210">
        <v>7</v>
      </c>
      <c r="C210" t="s">
        <v>1</v>
      </c>
      <c r="D210">
        <v>2</v>
      </c>
      <c r="E210">
        <v>6</v>
      </c>
      <c r="F210">
        <v>7</v>
      </c>
      <c r="G210">
        <v>102</v>
      </c>
      <c r="H210">
        <v>1070</v>
      </c>
      <c r="I210" s="1">
        <f t="shared" si="6"/>
        <v>1.1666666666666667</v>
      </c>
      <c r="J210" s="1">
        <f t="shared" si="7"/>
        <v>9.5327102803738323E-2</v>
      </c>
    </row>
    <row r="211" spans="1:10">
      <c r="A211" t="s">
        <v>65</v>
      </c>
      <c r="B211">
        <v>7</v>
      </c>
      <c r="C211" t="s">
        <v>20</v>
      </c>
      <c r="D211">
        <v>3</v>
      </c>
      <c r="E211">
        <v>6</v>
      </c>
      <c r="F211">
        <v>7.0000999999999998</v>
      </c>
      <c r="G211">
        <v>126</v>
      </c>
      <c r="H211">
        <v>1070</v>
      </c>
      <c r="I211" s="1">
        <f t="shared" si="6"/>
        <v>1.1666833333333333</v>
      </c>
      <c r="J211" s="1">
        <f t="shared" si="7"/>
        <v>0.11775700934579439</v>
      </c>
    </row>
    <row r="212" spans="1:10">
      <c r="A212" t="s">
        <v>65</v>
      </c>
      <c r="B212">
        <v>7</v>
      </c>
      <c r="C212" t="s">
        <v>22</v>
      </c>
      <c r="D212">
        <v>4</v>
      </c>
      <c r="E212">
        <v>6</v>
      </c>
      <c r="F212">
        <v>7.0002003000000004</v>
      </c>
      <c r="G212">
        <v>126</v>
      </c>
      <c r="H212">
        <v>1070</v>
      </c>
      <c r="I212" s="1">
        <f t="shared" si="6"/>
        <v>1.16670005</v>
      </c>
      <c r="J212" s="1">
        <f t="shared" si="7"/>
        <v>0.11775700934579439</v>
      </c>
    </row>
    <row r="213" spans="1:10">
      <c r="A213" t="s">
        <v>65</v>
      </c>
      <c r="B213">
        <v>7</v>
      </c>
      <c r="C213" t="s">
        <v>433</v>
      </c>
      <c r="D213">
        <v>5</v>
      </c>
      <c r="E213">
        <v>6</v>
      </c>
      <c r="F213">
        <v>13</v>
      </c>
      <c r="G213">
        <v>1070</v>
      </c>
      <c r="H213">
        <v>1070</v>
      </c>
      <c r="I213" s="1">
        <f t="shared" si="6"/>
        <v>2.1666666666666665</v>
      </c>
      <c r="J213" s="1">
        <f t="shared" si="7"/>
        <v>1</v>
      </c>
    </row>
    <row r="214" spans="1:10">
      <c r="A214" t="s">
        <v>65</v>
      </c>
      <c r="B214">
        <v>7</v>
      </c>
      <c r="C214" t="s">
        <v>432</v>
      </c>
      <c r="D214">
        <v>6</v>
      </c>
      <c r="E214">
        <v>6</v>
      </c>
      <c r="F214">
        <v>13.0001</v>
      </c>
      <c r="G214">
        <v>1070</v>
      </c>
      <c r="H214">
        <v>1070</v>
      </c>
      <c r="I214" s="1">
        <f t="shared" si="6"/>
        <v>2.1666833333333333</v>
      </c>
      <c r="J214" s="1">
        <f t="shared" si="7"/>
        <v>1</v>
      </c>
    </row>
    <row r="215" spans="1:10">
      <c r="A215" t="s">
        <v>71</v>
      </c>
      <c r="B215">
        <v>3</v>
      </c>
      <c r="C215" t="s">
        <v>33</v>
      </c>
      <c r="D215">
        <v>1</v>
      </c>
      <c r="E215">
        <v>12</v>
      </c>
      <c r="F215">
        <v>7</v>
      </c>
      <c r="G215">
        <v>104</v>
      </c>
      <c r="H215">
        <v>2355</v>
      </c>
      <c r="I215" s="1">
        <f t="shared" si="6"/>
        <v>0.58333333333333337</v>
      </c>
      <c r="J215" s="1">
        <f t="shared" si="7"/>
        <v>4.4161358811040337E-2</v>
      </c>
    </row>
    <row r="216" spans="1:10">
      <c r="A216" t="s">
        <v>71</v>
      </c>
      <c r="B216">
        <v>3</v>
      </c>
      <c r="C216" t="s">
        <v>73</v>
      </c>
      <c r="D216">
        <v>2</v>
      </c>
      <c r="E216">
        <v>12</v>
      </c>
      <c r="F216">
        <v>17</v>
      </c>
      <c r="G216">
        <v>1655</v>
      </c>
      <c r="H216">
        <v>2355</v>
      </c>
      <c r="I216" s="1">
        <f t="shared" si="6"/>
        <v>1.4166666666666667</v>
      </c>
      <c r="J216" s="1">
        <f t="shared" si="7"/>
        <v>0.70276008492568998</v>
      </c>
    </row>
    <row r="217" spans="1:10">
      <c r="A217" t="s">
        <v>71</v>
      </c>
      <c r="B217">
        <v>3</v>
      </c>
      <c r="C217" t="s">
        <v>72</v>
      </c>
      <c r="D217">
        <v>3</v>
      </c>
      <c r="E217">
        <v>12</v>
      </c>
      <c r="F217">
        <v>17.0001</v>
      </c>
      <c r="G217">
        <v>2355</v>
      </c>
      <c r="H217">
        <v>2355</v>
      </c>
      <c r="I217" s="1">
        <f t="shared" si="6"/>
        <v>1.4166749999999999</v>
      </c>
      <c r="J217" s="1">
        <f t="shared" si="7"/>
        <v>1</v>
      </c>
    </row>
    <row r="218" spans="1:10">
      <c r="A218" t="s">
        <v>71</v>
      </c>
      <c r="B218">
        <v>7</v>
      </c>
      <c r="C218" t="s">
        <v>2</v>
      </c>
      <c r="D218">
        <v>1</v>
      </c>
      <c r="E218">
        <v>13</v>
      </c>
      <c r="F218">
        <v>8</v>
      </c>
      <c r="G218">
        <v>243</v>
      </c>
      <c r="H218">
        <v>3264</v>
      </c>
      <c r="I218" s="1">
        <f t="shared" si="6"/>
        <v>0.61538461538461542</v>
      </c>
      <c r="J218" s="1">
        <f t="shared" si="7"/>
        <v>7.4448529411764705E-2</v>
      </c>
    </row>
    <row r="219" spans="1:10">
      <c r="A219" t="s">
        <v>71</v>
      </c>
      <c r="B219">
        <v>7</v>
      </c>
      <c r="C219" t="s">
        <v>25</v>
      </c>
      <c r="D219">
        <v>2</v>
      </c>
      <c r="E219">
        <v>13</v>
      </c>
      <c r="F219">
        <v>9</v>
      </c>
      <c r="G219">
        <v>385</v>
      </c>
      <c r="H219">
        <v>3264</v>
      </c>
      <c r="I219" s="1">
        <f t="shared" si="6"/>
        <v>0.69230769230769229</v>
      </c>
      <c r="J219" s="1">
        <f t="shared" si="7"/>
        <v>0.11795343137254902</v>
      </c>
    </row>
    <row r="220" spans="1:10">
      <c r="A220" t="s">
        <v>71</v>
      </c>
      <c r="B220">
        <v>7</v>
      </c>
      <c r="C220" t="s">
        <v>3</v>
      </c>
      <c r="D220">
        <v>3</v>
      </c>
      <c r="E220">
        <v>13</v>
      </c>
      <c r="F220">
        <v>9.0000999999999998</v>
      </c>
      <c r="G220">
        <v>389</v>
      </c>
      <c r="H220">
        <v>3264</v>
      </c>
      <c r="I220" s="1">
        <f t="shared" si="6"/>
        <v>0.69231538461538455</v>
      </c>
      <c r="J220" s="1">
        <f t="shared" si="7"/>
        <v>0.11917892156862746</v>
      </c>
    </row>
    <row r="221" spans="1:10">
      <c r="A221" t="s">
        <v>71</v>
      </c>
      <c r="B221">
        <v>7</v>
      </c>
      <c r="C221" t="s">
        <v>434</v>
      </c>
      <c r="D221">
        <v>4</v>
      </c>
      <c r="E221">
        <v>13</v>
      </c>
      <c r="F221">
        <v>10</v>
      </c>
      <c r="G221">
        <v>401</v>
      </c>
      <c r="H221">
        <v>3264</v>
      </c>
      <c r="I221" s="1">
        <f t="shared" si="6"/>
        <v>0.76923076923076927</v>
      </c>
      <c r="J221" s="1">
        <f t="shared" si="7"/>
        <v>0.12285539215686274</v>
      </c>
    </row>
    <row r="222" spans="1:10">
      <c r="A222" t="s">
        <v>71</v>
      </c>
      <c r="B222">
        <v>7</v>
      </c>
      <c r="C222" t="s">
        <v>26</v>
      </c>
      <c r="D222">
        <v>5</v>
      </c>
      <c r="E222">
        <v>13</v>
      </c>
      <c r="F222">
        <v>10.0001</v>
      </c>
      <c r="G222">
        <v>910</v>
      </c>
      <c r="H222">
        <v>3264</v>
      </c>
      <c r="I222" s="1">
        <f t="shared" si="6"/>
        <v>0.76923846153846154</v>
      </c>
      <c r="J222" s="1">
        <f t="shared" si="7"/>
        <v>0.27879901960784315</v>
      </c>
    </row>
    <row r="223" spans="1:10">
      <c r="A223" t="s">
        <v>71</v>
      </c>
      <c r="B223">
        <v>7</v>
      </c>
      <c r="C223" t="s">
        <v>435</v>
      </c>
      <c r="D223">
        <v>6</v>
      </c>
      <c r="E223">
        <v>13</v>
      </c>
      <c r="F223">
        <v>11</v>
      </c>
      <c r="G223">
        <v>967</v>
      </c>
      <c r="H223">
        <v>3264</v>
      </c>
      <c r="I223" s="1">
        <f t="shared" si="6"/>
        <v>0.84615384615384615</v>
      </c>
      <c r="J223" s="1">
        <f t="shared" si="7"/>
        <v>0.29626225490196079</v>
      </c>
    </row>
    <row r="224" spans="1:10">
      <c r="A224" t="s">
        <v>71</v>
      </c>
      <c r="B224">
        <v>7</v>
      </c>
      <c r="C224" t="s">
        <v>437</v>
      </c>
      <c r="D224">
        <v>7</v>
      </c>
      <c r="E224">
        <v>13</v>
      </c>
      <c r="F224">
        <v>14</v>
      </c>
      <c r="G224">
        <v>1942</v>
      </c>
      <c r="H224">
        <v>3264</v>
      </c>
      <c r="I224" s="1">
        <f t="shared" si="6"/>
        <v>1.0769230769230769</v>
      </c>
      <c r="J224" s="1">
        <f t="shared" si="7"/>
        <v>0.59497549019607843</v>
      </c>
    </row>
    <row r="225" spans="1:10">
      <c r="A225" t="s">
        <v>71</v>
      </c>
      <c r="B225">
        <v>7</v>
      </c>
      <c r="C225" t="s">
        <v>436</v>
      </c>
      <c r="D225">
        <v>8</v>
      </c>
      <c r="E225">
        <v>13</v>
      </c>
      <c r="F225">
        <v>16</v>
      </c>
      <c r="G225">
        <v>2038</v>
      </c>
      <c r="H225">
        <v>3264</v>
      </c>
      <c r="I225" s="1">
        <f t="shared" si="6"/>
        <v>1.2307692307692308</v>
      </c>
      <c r="J225" s="1">
        <f t="shared" si="7"/>
        <v>0.62438725490196079</v>
      </c>
    </row>
    <row r="226" spans="1:10">
      <c r="A226" t="s">
        <v>71</v>
      </c>
      <c r="B226">
        <v>7</v>
      </c>
      <c r="C226" t="s">
        <v>439</v>
      </c>
      <c r="D226">
        <v>9</v>
      </c>
      <c r="E226">
        <v>13</v>
      </c>
      <c r="F226">
        <v>19</v>
      </c>
      <c r="G226">
        <v>3186</v>
      </c>
      <c r="H226">
        <v>3264</v>
      </c>
      <c r="I226" s="1">
        <f t="shared" si="6"/>
        <v>1.4615384615384615</v>
      </c>
      <c r="J226" s="1">
        <f t="shared" si="7"/>
        <v>0.97610294117647056</v>
      </c>
    </row>
    <row r="227" spans="1:10">
      <c r="A227" t="s">
        <v>71</v>
      </c>
      <c r="B227">
        <v>7</v>
      </c>
      <c r="C227" t="s">
        <v>438</v>
      </c>
      <c r="D227">
        <v>10</v>
      </c>
      <c r="E227">
        <v>13</v>
      </c>
      <c r="F227">
        <v>20</v>
      </c>
      <c r="G227">
        <v>3264</v>
      </c>
      <c r="H227">
        <v>3264</v>
      </c>
      <c r="I227" s="1">
        <f t="shared" si="6"/>
        <v>1.5384615384615385</v>
      </c>
      <c r="J227" s="1">
        <f t="shared" si="7"/>
        <v>1</v>
      </c>
    </row>
    <row r="228" spans="1:10">
      <c r="A228" t="s">
        <v>71</v>
      </c>
      <c r="B228">
        <v>8</v>
      </c>
      <c r="C228" t="s">
        <v>33</v>
      </c>
      <c r="D228">
        <v>1</v>
      </c>
      <c r="E228">
        <v>12</v>
      </c>
      <c r="F228">
        <v>8</v>
      </c>
      <c r="G228">
        <v>141</v>
      </c>
      <c r="H228">
        <v>3505</v>
      </c>
      <c r="I228" s="1">
        <f t="shared" si="6"/>
        <v>0.66666666666666663</v>
      </c>
      <c r="J228" s="1">
        <f t="shared" si="7"/>
        <v>4.0228245363766048E-2</v>
      </c>
    </row>
    <row r="229" spans="1:10">
      <c r="A229" t="s">
        <v>71</v>
      </c>
      <c r="B229">
        <v>8</v>
      </c>
      <c r="C229" t="s">
        <v>34</v>
      </c>
      <c r="D229">
        <v>2</v>
      </c>
      <c r="E229">
        <v>12</v>
      </c>
      <c r="F229">
        <v>9</v>
      </c>
      <c r="G229">
        <v>498</v>
      </c>
      <c r="H229">
        <v>3505</v>
      </c>
      <c r="I229" s="1">
        <f t="shared" si="6"/>
        <v>0.75</v>
      </c>
      <c r="J229" s="1">
        <f t="shared" si="7"/>
        <v>0.14208273894436518</v>
      </c>
    </row>
    <row r="230" spans="1:10">
      <c r="A230" t="s">
        <v>71</v>
      </c>
      <c r="B230">
        <v>8</v>
      </c>
      <c r="C230" t="s">
        <v>35</v>
      </c>
      <c r="D230">
        <v>3</v>
      </c>
      <c r="E230">
        <v>12</v>
      </c>
      <c r="F230">
        <v>10</v>
      </c>
      <c r="G230">
        <v>616</v>
      </c>
      <c r="H230">
        <v>3505</v>
      </c>
      <c r="I230" s="1">
        <f t="shared" si="6"/>
        <v>0.83333333333333337</v>
      </c>
      <c r="J230" s="1">
        <f t="shared" si="7"/>
        <v>0.17574893009985734</v>
      </c>
    </row>
    <row r="231" spans="1:10">
      <c r="A231" t="s">
        <v>71</v>
      </c>
      <c r="B231">
        <v>8</v>
      </c>
      <c r="C231" t="s">
        <v>75</v>
      </c>
      <c r="D231">
        <v>4</v>
      </c>
      <c r="E231">
        <v>12</v>
      </c>
      <c r="F231">
        <v>12</v>
      </c>
      <c r="G231">
        <v>1315</v>
      </c>
      <c r="H231">
        <v>3505</v>
      </c>
      <c r="I231" s="1">
        <f t="shared" si="6"/>
        <v>1</v>
      </c>
      <c r="J231" s="1">
        <f>G231/H231</f>
        <v>0.37517831669044222</v>
      </c>
    </row>
    <row r="232" spans="1:10">
      <c r="A232" t="s">
        <v>71</v>
      </c>
      <c r="B232">
        <v>8</v>
      </c>
      <c r="C232" t="s">
        <v>76</v>
      </c>
      <c r="D232">
        <v>5</v>
      </c>
      <c r="E232">
        <v>12</v>
      </c>
      <c r="F232">
        <v>14</v>
      </c>
      <c r="G232">
        <v>1315</v>
      </c>
      <c r="H232">
        <v>3505</v>
      </c>
      <c r="I232" s="1">
        <f t="shared" si="6"/>
        <v>1.1666666666666667</v>
      </c>
      <c r="J232" s="1">
        <f t="shared" si="7"/>
        <v>0.37517831669044222</v>
      </c>
    </row>
    <row r="233" spans="1:10">
      <c r="A233" t="s">
        <v>71</v>
      </c>
      <c r="B233">
        <v>8</v>
      </c>
      <c r="C233" t="s">
        <v>440</v>
      </c>
      <c r="D233">
        <v>6</v>
      </c>
      <c r="E233">
        <v>12</v>
      </c>
      <c r="F233">
        <v>20</v>
      </c>
      <c r="G233">
        <v>3117</v>
      </c>
      <c r="H233">
        <v>3505</v>
      </c>
      <c r="I233" s="1">
        <f t="shared" si="6"/>
        <v>1.6666666666666667</v>
      </c>
      <c r="J233" s="1">
        <f t="shared" si="7"/>
        <v>0.88930099857346645</v>
      </c>
    </row>
    <row r="234" spans="1:10">
      <c r="A234" t="s">
        <v>71</v>
      </c>
      <c r="B234">
        <v>8</v>
      </c>
      <c r="C234" t="s">
        <v>441</v>
      </c>
      <c r="D234">
        <v>7</v>
      </c>
      <c r="E234">
        <v>12</v>
      </c>
      <c r="F234">
        <v>20.0001</v>
      </c>
      <c r="G234">
        <v>3273</v>
      </c>
      <c r="H234">
        <v>3505</v>
      </c>
      <c r="I234" s="1">
        <f t="shared" si="6"/>
        <v>1.6666749999999999</v>
      </c>
      <c r="J234" s="1">
        <f t="shared" si="7"/>
        <v>0.93380884450784596</v>
      </c>
    </row>
    <row r="235" spans="1:10">
      <c r="A235" t="s">
        <v>71</v>
      </c>
      <c r="B235">
        <v>8</v>
      </c>
      <c r="C235" t="s">
        <v>79</v>
      </c>
      <c r="D235">
        <v>8</v>
      </c>
      <c r="E235">
        <v>12</v>
      </c>
      <c r="F235">
        <v>21</v>
      </c>
      <c r="G235">
        <v>3317</v>
      </c>
      <c r="H235">
        <v>3505</v>
      </c>
      <c r="I235" s="1">
        <f t="shared" si="6"/>
        <v>1.75</v>
      </c>
      <c r="J235" s="1">
        <f t="shared" si="7"/>
        <v>0.94636233951497861</v>
      </c>
    </row>
    <row r="236" spans="1:10">
      <c r="A236" t="s">
        <v>71</v>
      </c>
      <c r="B236">
        <v>8</v>
      </c>
      <c r="C236" t="s">
        <v>78</v>
      </c>
      <c r="D236">
        <v>9</v>
      </c>
      <c r="E236">
        <v>12</v>
      </c>
      <c r="F236">
        <v>22</v>
      </c>
      <c r="G236">
        <v>3362</v>
      </c>
      <c r="H236">
        <v>3505</v>
      </c>
      <c r="I236" s="1">
        <f t="shared" si="6"/>
        <v>1.8333333333333333</v>
      </c>
      <c r="J236" s="1">
        <f t="shared" si="7"/>
        <v>0.95920114122681888</v>
      </c>
    </row>
    <row r="237" spans="1:10">
      <c r="A237" t="s">
        <v>71</v>
      </c>
      <c r="B237">
        <v>8</v>
      </c>
      <c r="C237" t="s">
        <v>80</v>
      </c>
      <c r="D237">
        <v>10</v>
      </c>
      <c r="E237">
        <v>12</v>
      </c>
      <c r="F237">
        <v>23</v>
      </c>
      <c r="G237">
        <v>3410</v>
      </c>
      <c r="H237">
        <v>3505</v>
      </c>
      <c r="I237" s="1">
        <f t="shared" si="6"/>
        <v>1.9166666666666667</v>
      </c>
      <c r="J237" s="1">
        <f t="shared" si="7"/>
        <v>0.97289586305278175</v>
      </c>
    </row>
    <row r="238" spans="1:10">
      <c r="A238" t="s">
        <v>71</v>
      </c>
      <c r="B238">
        <v>8</v>
      </c>
      <c r="C238" t="s">
        <v>81</v>
      </c>
      <c r="D238">
        <v>11</v>
      </c>
      <c r="E238">
        <v>12</v>
      </c>
      <c r="F238">
        <v>23.0001</v>
      </c>
      <c r="G238">
        <v>3460</v>
      </c>
      <c r="H238">
        <v>3505</v>
      </c>
      <c r="I238" s="1">
        <f t="shared" si="6"/>
        <v>1.9166749999999999</v>
      </c>
      <c r="J238" s="1">
        <f t="shared" si="7"/>
        <v>0.98716119828815974</v>
      </c>
    </row>
    <row r="239" spans="1:10">
      <c r="A239" t="s">
        <v>71</v>
      </c>
      <c r="B239">
        <v>8</v>
      </c>
      <c r="C239" t="s">
        <v>77</v>
      </c>
      <c r="D239">
        <v>12</v>
      </c>
      <c r="E239">
        <v>12</v>
      </c>
      <c r="F239">
        <v>42</v>
      </c>
      <c r="G239">
        <v>3505</v>
      </c>
      <c r="H239">
        <v>3505</v>
      </c>
      <c r="I239" s="1">
        <f t="shared" si="6"/>
        <v>3.5</v>
      </c>
      <c r="J239" s="1">
        <f t="shared" si="7"/>
        <v>1</v>
      </c>
    </row>
    <row r="240" spans="1:10">
      <c r="A240" t="s">
        <v>71</v>
      </c>
      <c r="B240">
        <v>9</v>
      </c>
      <c r="C240" t="s">
        <v>33</v>
      </c>
      <c r="D240">
        <v>1</v>
      </c>
      <c r="E240">
        <v>9</v>
      </c>
      <c r="F240">
        <v>6</v>
      </c>
      <c r="G240">
        <v>91</v>
      </c>
      <c r="H240">
        <v>1675</v>
      </c>
      <c r="I240" s="1">
        <f t="shared" si="6"/>
        <v>0.66666666666666663</v>
      </c>
      <c r="J240" s="1">
        <f t="shared" si="7"/>
        <v>5.4328358208955221E-2</v>
      </c>
    </row>
    <row r="241" spans="1:10">
      <c r="A241" t="s">
        <v>71</v>
      </c>
      <c r="B241">
        <v>9</v>
      </c>
      <c r="C241" t="s">
        <v>2</v>
      </c>
      <c r="D241">
        <v>2</v>
      </c>
      <c r="E241">
        <v>9</v>
      </c>
      <c r="F241">
        <v>8</v>
      </c>
      <c r="G241">
        <v>275</v>
      </c>
      <c r="H241">
        <v>1675</v>
      </c>
      <c r="I241" s="1">
        <f t="shared" si="6"/>
        <v>0.88888888888888884</v>
      </c>
      <c r="J241" s="1">
        <f t="shared" si="7"/>
        <v>0.16417910447761194</v>
      </c>
    </row>
    <row r="242" spans="1:10">
      <c r="A242" t="s">
        <v>71</v>
      </c>
      <c r="B242">
        <v>9</v>
      </c>
      <c r="C242" t="s">
        <v>442</v>
      </c>
      <c r="D242">
        <v>3</v>
      </c>
      <c r="E242">
        <v>9</v>
      </c>
      <c r="F242">
        <v>10</v>
      </c>
      <c r="G242">
        <v>887</v>
      </c>
      <c r="H242">
        <v>1675</v>
      </c>
      <c r="I242" s="1">
        <f t="shared" si="6"/>
        <v>1.1111111111111112</v>
      </c>
      <c r="J242" s="1">
        <f t="shared" si="7"/>
        <v>0.52955223880597013</v>
      </c>
    </row>
    <row r="243" spans="1:10">
      <c r="A243" t="s">
        <v>71</v>
      </c>
      <c r="B243">
        <v>9</v>
      </c>
      <c r="C243" t="s">
        <v>76</v>
      </c>
      <c r="D243">
        <v>4</v>
      </c>
      <c r="E243">
        <v>9</v>
      </c>
      <c r="F243">
        <v>18</v>
      </c>
      <c r="G243">
        <v>1675</v>
      </c>
      <c r="H243">
        <v>1675</v>
      </c>
      <c r="I243" s="1">
        <f t="shared" si="6"/>
        <v>2</v>
      </c>
      <c r="J243" s="1">
        <f t="shared" si="7"/>
        <v>1</v>
      </c>
    </row>
    <row r="244" spans="1:10">
      <c r="A244" t="s">
        <v>71</v>
      </c>
      <c r="B244">
        <v>10</v>
      </c>
      <c r="C244" t="s">
        <v>34</v>
      </c>
      <c r="D244">
        <v>1</v>
      </c>
      <c r="E244">
        <v>2</v>
      </c>
      <c r="F244">
        <v>3</v>
      </c>
      <c r="G244">
        <v>37</v>
      </c>
      <c r="H244">
        <v>141</v>
      </c>
      <c r="I244" s="1">
        <f t="shared" si="6"/>
        <v>1.5</v>
      </c>
      <c r="J244" s="1">
        <f t="shared" si="7"/>
        <v>0.26241134751773049</v>
      </c>
    </row>
    <row r="245" spans="1:10">
      <c r="A245" t="s">
        <v>71</v>
      </c>
      <c r="B245">
        <v>10</v>
      </c>
      <c r="C245" t="s">
        <v>84</v>
      </c>
      <c r="D245">
        <v>2</v>
      </c>
      <c r="E245">
        <v>2</v>
      </c>
      <c r="F245">
        <v>4</v>
      </c>
      <c r="G245">
        <v>69</v>
      </c>
      <c r="H245">
        <v>141</v>
      </c>
      <c r="I245" s="1">
        <f t="shared" si="6"/>
        <v>2</v>
      </c>
      <c r="J245" s="1">
        <f t="shared" si="7"/>
        <v>0.48936170212765956</v>
      </c>
    </row>
    <row r="246" spans="1:10">
      <c r="A246" t="s">
        <v>71</v>
      </c>
      <c r="B246">
        <v>10</v>
      </c>
      <c r="C246" t="s">
        <v>87</v>
      </c>
      <c r="D246">
        <v>3</v>
      </c>
      <c r="E246">
        <v>2</v>
      </c>
      <c r="F246">
        <v>4.0000999999999998</v>
      </c>
      <c r="G246">
        <v>82</v>
      </c>
      <c r="H246">
        <v>141</v>
      </c>
      <c r="I246" s="1">
        <f t="shared" si="6"/>
        <v>2.0000499999999999</v>
      </c>
      <c r="J246" s="1">
        <f t="shared" si="7"/>
        <v>0.58156028368794321</v>
      </c>
    </row>
    <row r="247" spans="1:10">
      <c r="A247" t="s">
        <v>71</v>
      </c>
      <c r="B247">
        <v>10</v>
      </c>
      <c r="C247" t="s">
        <v>88</v>
      </c>
      <c r="D247">
        <v>4</v>
      </c>
      <c r="E247">
        <v>2</v>
      </c>
      <c r="F247">
        <v>4.0002003000000004</v>
      </c>
      <c r="G247">
        <v>82</v>
      </c>
      <c r="H247">
        <v>141</v>
      </c>
      <c r="I247" s="1">
        <f t="shared" si="6"/>
        <v>2.0001001500000002</v>
      </c>
      <c r="J247" s="1">
        <f t="shared" si="7"/>
        <v>0.58156028368794321</v>
      </c>
    </row>
    <row r="248" spans="1:10">
      <c r="A248" t="s">
        <v>71</v>
      </c>
      <c r="B248">
        <v>10</v>
      </c>
      <c r="C248" t="s">
        <v>97</v>
      </c>
      <c r="D248">
        <v>5</v>
      </c>
      <c r="E248">
        <v>2</v>
      </c>
      <c r="F248">
        <v>4.0003004000000004</v>
      </c>
      <c r="G248">
        <v>96</v>
      </c>
      <c r="H248">
        <v>141</v>
      </c>
      <c r="I248" s="1">
        <f t="shared" si="6"/>
        <v>2.0001502000000002</v>
      </c>
      <c r="J248" s="1">
        <f t="shared" si="7"/>
        <v>0.68085106382978722</v>
      </c>
    </row>
    <row r="249" spans="1:10">
      <c r="A249" t="s">
        <v>71</v>
      </c>
      <c r="B249">
        <v>10</v>
      </c>
      <c r="C249" t="s">
        <v>82</v>
      </c>
      <c r="D249">
        <v>6</v>
      </c>
      <c r="E249">
        <v>2</v>
      </c>
      <c r="F249">
        <v>4.0004004999999996</v>
      </c>
      <c r="G249">
        <v>102</v>
      </c>
      <c r="H249">
        <v>141</v>
      </c>
      <c r="I249" s="1">
        <f t="shared" si="6"/>
        <v>2.0002002499999998</v>
      </c>
      <c r="J249" s="1">
        <f t="shared" si="7"/>
        <v>0.72340425531914898</v>
      </c>
    </row>
    <row r="250" spans="1:10">
      <c r="A250" t="s">
        <v>71</v>
      </c>
      <c r="B250">
        <v>10</v>
      </c>
      <c r="C250" t="s">
        <v>33</v>
      </c>
      <c r="D250">
        <v>7</v>
      </c>
      <c r="E250">
        <v>2</v>
      </c>
      <c r="F250">
        <v>4.0005006999999999</v>
      </c>
      <c r="G250">
        <v>107</v>
      </c>
      <c r="H250">
        <v>141</v>
      </c>
      <c r="I250" s="1">
        <f t="shared" si="6"/>
        <v>2.00025035</v>
      </c>
      <c r="J250" s="1">
        <f t="shared" si="7"/>
        <v>0.75886524822695034</v>
      </c>
    </row>
    <row r="251" spans="1:10">
      <c r="A251" t="s">
        <v>71</v>
      </c>
      <c r="B251">
        <v>10</v>
      </c>
      <c r="C251" t="s">
        <v>98</v>
      </c>
      <c r="D251">
        <v>8</v>
      </c>
      <c r="E251">
        <v>2</v>
      </c>
      <c r="F251">
        <v>4.0006009999999996</v>
      </c>
      <c r="G251">
        <v>109</v>
      </c>
      <c r="H251">
        <v>141</v>
      </c>
      <c r="I251" s="1">
        <f t="shared" si="6"/>
        <v>2.0003004999999998</v>
      </c>
      <c r="J251" s="1">
        <f t="shared" si="7"/>
        <v>0.77304964539007093</v>
      </c>
    </row>
    <row r="252" spans="1:10">
      <c r="A252" t="s">
        <v>71</v>
      </c>
      <c r="B252">
        <v>10</v>
      </c>
      <c r="C252" t="s">
        <v>103</v>
      </c>
      <c r="D252">
        <v>9</v>
      </c>
      <c r="E252">
        <v>2</v>
      </c>
      <c r="F252">
        <v>4.0007010000000003</v>
      </c>
      <c r="G252">
        <v>113</v>
      </c>
      <c r="H252">
        <v>141</v>
      </c>
      <c r="I252" s="1">
        <f t="shared" si="6"/>
        <v>2.0003505000000001</v>
      </c>
      <c r="J252" s="1">
        <f t="shared" si="7"/>
        <v>0.8014184397163121</v>
      </c>
    </row>
    <row r="253" spans="1:10">
      <c r="A253" t="s">
        <v>71</v>
      </c>
      <c r="B253">
        <v>10</v>
      </c>
      <c r="C253" t="s">
        <v>107</v>
      </c>
      <c r="D253">
        <v>10</v>
      </c>
      <c r="E253">
        <v>2</v>
      </c>
      <c r="F253">
        <v>4.0008010000000001</v>
      </c>
      <c r="G253">
        <v>119</v>
      </c>
      <c r="H253">
        <v>141</v>
      </c>
      <c r="I253" s="1">
        <f t="shared" si="6"/>
        <v>2.0004005</v>
      </c>
      <c r="J253" s="1">
        <f t="shared" si="7"/>
        <v>0.84397163120567376</v>
      </c>
    </row>
    <row r="254" spans="1:10">
      <c r="A254" t="s">
        <v>71</v>
      </c>
      <c r="B254">
        <v>10</v>
      </c>
      <c r="C254" t="s">
        <v>109</v>
      </c>
      <c r="D254">
        <v>11</v>
      </c>
      <c r="E254">
        <v>2</v>
      </c>
      <c r="F254">
        <v>4.0009009999999998</v>
      </c>
      <c r="G254">
        <v>124</v>
      </c>
      <c r="H254">
        <v>141</v>
      </c>
      <c r="I254" s="1">
        <f t="shared" si="6"/>
        <v>2.0004504999999999</v>
      </c>
      <c r="J254" s="1">
        <f t="shared" si="7"/>
        <v>0.87943262411347523</v>
      </c>
    </row>
    <row r="255" spans="1:10">
      <c r="A255" t="s">
        <v>71</v>
      </c>
      <c r="B255">
        <v>10</v>
      </c>
      <c r="C255" t="s">
        <v>86</v>
      </c>
      <c r="D255">
        <v>12</v>
      </c>
      <c r="E255">
        <v>2</v>
      </c>
      <c r="F255">
        <v>5</v>
      </c>
      <c r="G255">
        <v>126</v>
      </c>
      <c r="H255">
        <v>141</v>
      </c>
      <c r="I255" s="1">
        <f t="shared" si="6"/>
        <v>2.5</v>
      </c>
      <c r="J255" s="1">
        <f t="shared" si="7"/>
        <v>0.8936170212765957</v>
      </c>
    </row>
    <row r="256" spans="1:10">
      <c r="A256" t="s">
        <v>71</v>
      </c>
      <c r="B256">
        <v>10</v>
      </c>
      <c r="C256" t="s">
        <v>83</v>
      </c>
      <c r="D256">
        <v>13</v>
      </c>
      <c r="E256">
        <v>2</v>
      </c>
      <c r="F256">
        <v>5.0000999999999998</v>
      </c>
      <c r="G256">
        <v>135</v>
      </c>
      <c r="H256">
        <v>141</v>
      </c>
      <c r="I256" s="1">
        <f t="shared" si="6"/>
        <v>2.5000499999999999</v>
      </c>
      <c r="J256" s="1">
        <f t="shared" si="7"/>
        <v>0.95744680851063835</v>
      </c>
    </row>
    <row r="257" spans="1:10">
      <c r="A257" t="s">
        <v>71</v>
      </c>
      <c r="B257">
        <v>10</v>
      </c>
      <c r="C257" t="s">
        <v>90</v>
      </c>
      <c r="D257">
        <v>14</v>
      </c>
      <c r="E257">
        <v>2</v>
      </c>
      <c r="F257">
        <v>5.0002003000000004</v>
      </c>
      <c r="G257">
        <v>139</v>
      </c>
      <c r="H257">
        <v>141</v>
      </c>
      <c r="I257" s="1">
        <f t="shared" si="6"/>
        <v>2.5001001500000002</v>
      </c>
      <c r="J257" s="1">
        <f t="shared" si="7"/>
        <v>0.98581560283687941</v>
      </c>
    </row>
    <row r="258" spans="1:10">
      <c r="A258" t="s">
        <v>71</v>
      </c>
      <c r="B258">
        <v>10</v>
      </c>
      <c r="C258" t="s">
        <v>91</v>
      </c>
      <c r="D258">
        <v>15</v>
      </c>
      <c r="E258">
        <v>2</v>
      </c>
      <c r="F258">
        <v>5.0003004000000004</v>
      </c>
      <c r="G258">
        <v>139</v>
      </c>
      <c r="H258">
        <v>141</v>
      </c>
      <c r="I258" s="1">
        <f t="shared" si="6"/>
        <v>2.5001502000000002</v>
      </c>
      <c r="J258" s="1">
        <f t="shared" si="7"/>
        <v>0.98581560283687941</v>
      </c>
    </row>
    <row r="259" spans="1:10">
      <c r="A259" t="s">
        <v>71</v>
      </c>
      <c r="B259">
        <v>10</v>
      </c>
      <c r="C259" t="s">
        <v>89</v>
      </c>
      <c r="D259">
        <v>16</v>
      </c>
      <c r="E259">
        <v>2</v>
      </c>
      <c r="F259">
        <v>5.0004004999999996</v>
      </c>
      <c r="G259">
        <v>139</v>
      </c>
      <c r="H259">
        <v>141</v>
      </c>
      <c r="I259" s="1">
        <f t="shared" ref="I259:I322" si="8">F259/E259</f>
        <v>2.5002002499999998</v>
      </c>
      <c r="J259" s="1">
        <f t="shared" ref="J259:J322" si="9">G259/H259</f>
        <v>0.98581560283687941</v>
      </c>
    </row>
    <row r="260" spans="1:10">
      <c r="A260" t="s">
        <v>71</v>
      </c>
      <c r="B260">
        <v>10</v>
      </c>
      <c r="C260" t="s">
        <v>93</v>
      </c>
      <c r="D260">
        <v>17</v>
      </c>
      <c r="E260">
        <v>2</v>
      </c>
      <c r="F260">
        <v>5.0005006999999999</v>
      </c>
      <c r="G260">
        <v>139</v>
      </c>
      <c r="H260">
        <v>141</v>
      </c>
      <c r="I260" s="1">
        <f t="shared" si="8"/>
        <v>2.50025035</v>
      </c>
      <c r="J260" s="1">
        <f t="shared" si="9"/>
        <v>0.98581560283687941</v>
      </c>
    </row>
    <row r="261" spans="1:10">
      <c r="A261" t="s">
        <v>71</v>
      </c>
      <c r="B261">
        <v>10</v>
      </c>
      <c r="C261" t="s">
        <v>95</v>
      </c>
      <c r="D261">
        <v>18</v>
      </c>
      <c r="E261">
        <v>2</v>
      </c>
      <c r="F261">
        <v>5.0006009999999996</v>
      </c>
      <c r="G261">
        <v>140</v>
      </c>
      <c r="H261">
        <v>141</v>
      </c>
      <c r="I261" s="1">
        <f t="shared" si="8"/>
        <v>2.5003004999999998</v>
      </c>
      <c r="J261" s="1">
        <f t="shared" si="9"/>
        <v>0.99290780141843971</v>
      </c>
    </row>
    <row r="262" spans="1:10">
      <c r="A262" t="s">
        <v>71</v>
      </c>
      <c r="B262">
        <v>10</v>
      </c>
      <c r="C262" t="s">
        <v>92</v>
      </c>
      <c r="D262">
        <v>19</v>
      </c>
      <c r="E262">
        <v>2</v>
      </c>
      <c r="F262">
        <v>5.0007010000000003</v>
      </c>
      <c r="G262">
        <v>140</v>
      </c>
      <c r="H262">
        <v>141</v>
      </c>
      <c r="I262" s="1">
        <f t="shared" si="8"/>
        <v>2.5003505000000001</v>
      </c>
      <c r="J262" s="1">
        <f t="shared" si="9"/>
        <v>0.99290780141843971</v>
      </c>
    </row>
    <row r="263" spans="1:10">
      <c r="A263" t="s">
        <v>71</v>
      </c>
      <c r="B263">
        <v>10</v>
      </c>
      <c r="C263" t="s">
        <v>94</v>
      </c>
      <c r="D263">
        <v>20</v>
      </c>
      <c r="E263">
        <v>2</v>
      </c>
      <c r="F263">
        <v>5.0008010000000001</v>
      </c>
      <c r="G263">
        <v>141</v>
      </c>
      <c r="H263">
        <v>141</v>
      </c>
      <c r="I263" s="1">
        <f t="shared" si="8"/>
        <v>2.5004005</v>
      </c>
      <c r="J263" s="1">
        <f t="shared" si="9"/>
        <v>1</v>
      </c>
    </row>
    <row r="264" spans="1:10">
      <c r="A264" t="s">
        <v>71</v>
      </c>
      <c r="B264">
        <v>10</v>
      </c>
      <c r="C264" t="s">
        <v>96</v>
      </c>
      <c r="D264">
        <v>21</v>
      </c>
      <c r="E264">
        <v>2</v>
      </c>
      <c r="F264">
        <v>5.0009009999999998</v>
      </c>
      <c r="G264">
        <v>141</v>
      </c>
      <c r="H264">
        <v>141</v>
      </c>
      <c r="I264" s="1">
        <f t="shared" si="8"/>
        <v>2.5004504999999999</v>
      </c>
      <c r="J264" s="1">
        <f t="shared" si="9"/>
        <v>1</v>
      </c>
    </row>
    <row r="265" spans="1:10">
      <c r="A265" t="s">
        <v>71</v>
      </c>
      <c r="B265">
        <v>10</v>
      </c>
      <c r="C265" t="s">
        <v>99</v>
      </c>
      <c r="D265">
        <v>22</v>
      </c>
      <c r="E265">
        <v>2</v>
      </c>
      <c r="F265">
        <v>5.0010013999999998</v>
      </c>
      <c r="G265">
        <v>141</v>
      </c>
      <c r="H265">
        <v>141</v>
      </c>
      <c r="I265" s="1">
        <f t="shared" si="8"/>
        <v>2.5005006999999999</v>
      </c>
      <c r="J265" s="1">
        <f t="shared" si="9"/>
        <v>1</v>
      </c>
    </row>
    <row r="266" spans="1:10">
      <c r="A266" t="s">
        <v>71</v>
      </c>
      <c r="B266">
        <v>10</v>
      </c>
      <c r="C266" t="s">
        <v>100</v>
      </c>
      <c r="D266">
        <v>23</v>
      </c>
      <c r="E266">
        <v>2</v>
      </c>
      <c r="F266">
        <v>5.0011014999999999</v>
      </c>
      <c r="G266">
        <v>141</v>
      </c>
      <c r="H266">
        <v>141</v>
      </c>
      <c r="I266" s="1">
        <f t="shared" si="8"/>
        <v>2.5005507499999999</v>
      </c>
      <c r="J266" s="1">
        <f t="shared" si="9"/>
        <v>1</v>
      </c>
    </row>
    <row r="267" spans="1:10">
      <c r="A267" t="s">
        <v>71</v>
      </c>
      <c r="B267">
        <v>10</v>
      </c>
      <c r="C267" t="s">
        <v>102</v>
      </c>
      <c r="D267">
        <v>24</v>
      </c>
      <c r="E267">
        <v>2</v>
      </c>
      <c r="F267">
        <v>5.0012015999999999</v>
      </c>
      <c r="G267">
        <v>141</v>
      </c>
      <c r="H267">
        <v>141</v>
      </c>
      <c r="I267" s="1">
        <f t="shared" si="8"/>
        <v>2.5006008</v>
      </c>
      <c r="J267" s="1">
        <f t="shared" si="9"/>
        <v>1</v>
      </c>
    </row>
    <row r="268" spans="1:10">
      <c r="A268" t="s">
        <v>71</v>
      </c>
      <c r="B268">
        <v>10</v>
      </c>
      <c r="C268" t="s">
        <v>104</v>
      </c>
      <c r="D268">
        <v>25</v>
      </c>
      <c r="E268">
        <v>2</v>
      </c>
      <c r="F268">
        <v>5.0013019999999999</v>
      </c>
      <c r="G268">
        <v>141</v>
      </c>
      <c r="H268">
        <v>141</v>
      </c>
      <c r="I268" s="1">
        <f t="shared" si="8"/>
        <v>2.500651</v>
      </c>
      <c r="J268" s="1">
        <f t="shared" si="9"/>
        <v>1</v>
      </c>
    </row>
    <row r="269" spans="1:10">
      <c r="A269" t="s">
        <v>71</v>
      </c>
      <c r="B269">
        <v>10</v>
      </c>
      <c r="C269" t="s">
        <v>106</v>
      </c>
      <c r="D269">
        <v>26</v>
      </c>
      <c r="E269">
        <v>2</v>
      </c>
      <c r="F269">
        <v>5.0014019999999997</v>
      </c>
      <c r="G269">
        <v>141</v>
      </c>
      <c r="H269">
        <v>141</v>
      </c>
      <c r="I269" s="1">
        <f t="shared" si="8"/>
        <v>2.5007009999999998</v>
      </c>
      <c r="J269" s="1">
        <f t="shared" si="9"/>
        <v>1</v>
      </c>
    </row>
    <row r="270" spans="1:10">
      <c r="A270" t="s">
        <v>71</v>
      </c>
      <c r="B270">
        <v>10</v>
      </c>
      <c r="C270" t="s">
        <v>101</v>
      </c>
      <c r="D270">
        <v>27</v>
      </c>
      <c r="E270">
        <v>2</v>
      </c>
      <c r="F270">
        <v>5.0015020000000003</v>
      </c>
      <c r="G270">
        <v>141</v>
      </c>
      <c r="H270">
        <v>141</v>
      </c>
      <c r="I270" s="1">
        <f t="shared" si="8"/>
        <v>2.5007510000000002</v>
      </c>
      <c r="J270" s="1">
        <f t="shared" si="9"/>
        <v>1</v>
      </c>
    </row>
    <row r="271" spans="1:10">
      <c r="A271" t="s">
        <v>71</v>
      </c>
      <c r="B271">
        <v>10</v>
      </c>
      <c r="C271" t="s">
        <v>105</v>
      </c>
      <c r="D271">
        <v>28</v>
      </c>
      <c r="E271">
        <v>2</v>
      </c>
      <c r="F271">
        <v>5.0016020000000001</v>
      </c>
      <c r="G271">
        <v>141</v>
      </c>
      <c r="H271">
        <v>141</v>
      </c>
      <c r="I271" s="1">
        <f t="shared" si="8"/>
        <v>2.5008010000000001</v>
      </c>
      <c r="J271" s="1">
        <f t="shared" si="9"/>
        <v>1</v>
      </c>
    </row>
    <row r="272" spans="1:10">
      <c r="A272" t="s">
        <v>71</v>
      </c>
      <c r="B272">
        <v>10</v>
      </c>
      <c r="C272" t="s">
        <v>108</v>
      </c>
      <c r="D272">
        <v>29</v>
      </c>
      <c r="E272">
        <v>2</v>
      </c>
      <c r="F272">
        <v>5.0017022999999998</v>
      </c>
      <c r="G272">
        <v>141</v>
      </c>
      <c r="H272">
        <v>141</v>
      </c>
      <c r="I272" s="1">
        <f t="shared" si="8"/>
        <v>2.5008511499999999</v>
      </c>
      <c r="J272" s="1">
        <f t="shared" si="9"/>
        <v>1</v>
      </c>
    </row>
    <row r="273" spans="1:10">
      <c r="A273" t="s">
        <v>71</v>
      </c>
      <c r="B273">
        <v>10</v>
      </c>
      <c r="C273" t="s">
        <v>110</v>
      </c>
      <c r="D273">
        <v>30</v>
      </c>
      <c r="E273">
        <v>2</v>
      </c>
      <c r="F273">
        <v>5.0018023999999999</v>
      </c>
      <c r="G273">
        <v>141</v>
      </c>
      <c r="H273">
        <v>141</v>
      </c>
      <c r="I273" s="1">
        <f t="shared" si="8"/>
        <v>2.5009011999999999</v>
      </c>
      <c r="J273" s="1">
        <f t="shared" si="9"/>
        <v>1</v>
      </c>
    </row>
    <row r="274" spans="1:10">
      <c r="A274" t="s">
        <v>71</v>
      </c>
      <c r="B274">
        <v>10</v>
      </c>
      <c r="C274" t="s">
        <v>111</v>
      </c>
      <c r="D274">
        <v>31</v>
      </c>
      <c r="E274">
        <v>2</v>
      </c>
      <c r="F274">
        <v>5.0019026000000002</v>
      </c>
      <c r="G274">
        <v>141</v>
      </c>
      <c r="H274">
        <v>141</v>
      </c>
      <c r="I274" s="1">
        <f t="shared" si="8"/>
        <v>2.5009513000000001</v>
      </c>
      <c r="J274" s="1">
        <f t="shared" si="9"/>
        <v>1</v>
      </c>
    </row>
    <row r="275" spans="1:10">
      <c r="A275" t="s">
        <v>71</v>
      </c>
      <c r="B275">
        <v>10</v>
      </c>
      <c r="C275" t="s">
        <v>85</v>
      </c>
      <c r="D275">
        <v>32</v>
      </c>
      <c r="E275">
        <v>2</v>
      </c>
      <c r="F275">
        <v>6</v>
      </c>
      <c r="G275">
        <v>141</v>
      </c>
      <c r="H275">
        <v>141</v>
      </c>
      <c r="I275" s="1">
        <f t="shared" si="8"/>
        <v>3</v>
      </c>
      <c r="J275" s="1">
        <f t="shared" si="9"/>
        <v>1</v>
      </c>
    </row>
    <row r="276" spans="1:10">
      <c r="A276" t="s">
        <v>112</v>
      </c>
      <c r="B276">
        <v>3</v>
      </c>
      <c r="C276" t="s">
        <v>57</v>
      </c>
      <c r="D276">
        <v>1</v>
      </c>
      <c r="E276">
        <v>57</v>
      </c>
      <c r="F276">
        <v>78</v>
      </c>
      <c r="G276">
        <v>8340</v>
      </c>
      <c r="H276">
        <v>8642</v>
      </c>
      <c r="I276" s="1">
        <f t="shared" si="8"/>
        <v>1.368421052631579</v>
      </c>
      <c r="J276" s="1">
        <f t="shared" si="9"/>
        <v>0.96505438555889844</v>
      </c>
    </row>
    <row r="277" spans="1:10">
      <c r="A277" t="s">
        <v>112</v>
      </c>
      <c r="B277">
        <v>3</v>
      </c>
      <c r="C277" t="s">
        <v>36</v>
      </c>
      <c r="D277">
        <v>2</v>
      </c>
      <c r="E277">
        <v>57</v>
      </c>
      <c r="F277">
        <v>80</v>
      </c>
      <c r="G277">
        <v>8642</v>
      </c>
      <c r="H277">
        <v>8642</v>
      </c>
      <c r="I277" s="1">
        <f t="shared" si="8"/>
        <v>1.4035087719298245</v>
      </c>
      <c r="J277" s="1">
        <f t="shared" si="9"/>
        <v>1</v>
      </c>
    </row>
    <row r="278" spans="1:10">
      <c r="A278" t="s">
        <v>303</v>
      </c>
      <c r="B278">
        <v>2</v>
      </c>
      <c r="C278" t="s">
        <v>36</v>
      </c>
      <c r="D278">
        <v>1</v>
      </c>
      <c r="E278">
        <v>264</v>
      </c>
      <c r="F278">
        <v>13</v>
      </c>
      <c r="G278">
        <v>385</v>
      </c>
      <c r="H278">
        <v>27732</v>
      </c>
      <c r="I278" s="1">
        <f t="shared" si="8"/>
        <v>4.924242424242424E-2</v>
      </c>
      <c r="J278" s="1">
        <f t="shared" si="9"/>
        <v>1.3882878984566565E-2</v>
      </c>
    </row>
    <row r="279" spans="1:10">
      <c r="A279" t="s">
        <v>303</v>
      </c>
      <c r="B279">
        <v>2</v>
      </c>
      <c r="C279" t="s">
        <v>443</v>
      </c>
      <c r="D279">
        <v>2</v>
      </c>
      <c r="E279">
        <v>264</v>
      </c>
      <c r="F279">
        <v>26</v>
      </c>
      <c r="G279">
        <v>1624</v>
      </c>
      <c r="H279">
        <v>27732</v>
      </c>
      <c r="I279" s="1">
        <f t="shared" si="8"/>
        <v>9.8484848484848481E-2</v>
      </c>
      <c r="J279" s="1">
        <f t="shared" si="9"/>
        <v>5.8560507716717149E-2</v>
      </c>
    </row>
    <row r="280" spans="1:10">
      <c r="A280" t="s">
        <v>303</v>
      </c>
      <c r="B280">
        <v>2</v>
      </c>
      <c r="C280" t="s">
        <v>444</v>
      </c>
      <c r="D280">
        <v>3</v>
      </c>
      <c r="E280">
        <v>264</v>
      </c>
      <c r="F280">
        <v>371</v>
      </c>
      <c r="G280">
        <v>27732</v>
      </c>
      <c r="H280">
        <v>27732</v>
      </c>
      <c r="I280" s="1">
        <f t="shared" si="8"/>
        <v>1.4053030303030303</v>
      </c>
      <c r="J280" s="1">
        <f t="shared" si="9"/>
        <v>1</v>
      </c>
    </row>
    <row r="281" spans="1:10">
      <c r="A281" t="s">
        <v>113</v>
      </c>
      <c r="B281">
        <v>2</v>
      </c>
      <c r="C281" t="s">
        <v>64</v>
      </c>
      <c r="D281">
        <v>1</v>
      </c>
      <c r="E281">
        <v>9</v>
      </c>
      <c r="F281">
        <v>10</v>
      </c>
      <c r="G281">
        <v>365</v>
      </c>
      <c r="H281">
        <v>2256</v>
      </c>
      <c r="I281" s="1">
        <f t="shared" si="8"/>
        <v>1.1111111111111112</v>
      </c>
      <c r="J281" s="1">
        <f t="shared" si="9"/>
        <v>0.16179078014184398</v>
      </c>
    </row>
    <row r="282" spans="1:10">
      <c r="A282" t="s">
        <v>113</v>
      </c>
      <c r="B282">
        <v>2</v>
      </c>
      <c r="C282" t="s">
        <v>116</v>
      </c>
      <c r="D282">
        <v>2</v>
      </c>
      <c r="E282">
        <v>9</v>
      </c>
      <c r="F282">
        <v>10.0001</v>
      </c>
      <c r="G282">
        <v>591</v>
      </c>
      <c r="H282">
        <v>2256</v>
      </c>
      <c r="I282" s="1">
        <f t="shared" si="8"/>
        <v>1.1111222222222221</v>
      </c>
      <c r="J282" s="1">
        <f t="shared" si="9"/>
        <v>0.26196808510638298</v>
      </c>
    </row>
    <row r="283" spans="1:10">
      <c r="A283" t="s">
        <v>113</v>
      </c>
      <c r="B283">
        <v>2</v>
      </c>
      <c r="C283" t="s">
        <v>115</v>
      </c>
      <c r="D283">
        <v>3</v>
      </c>
      <c r="E283">
        <v>9</v>
      </c>
      <c r="F283">
        <v>10.0002</v>
      </c>
      <c r="G283">
        <v>849</v>
      </c>
      <c r="H283">
        <v>2256</v>
      </c>
      <c r="I283" s="1">
        <f t="shared" si="8"/>
        <v>1.1111333333333333</v>
      </c>
      <c r="J283" s="1">
        <f t="shared" si="9"/>
        <v>0.37632978723404253</v>
      </c>
    </row>
    <row r="284" spans="1:10">
      <c r="A284" t="s">
        <v>113</v>
      </c>
      <c r="B284">
        <v>2</v>
      </c>
      <c r="C284" t="s">
        <v>118</v>
      </c>
      <c r="D284">
        <v>4</v>
      </c>
      <c r="E284">
        <v>9</v>
      </c>
      <c r="F284">
        <v>10.000299999999999</v>
      </c>
      <c r="G284">
        <v>1108</v>
      </c>
      <c r="H284">
        <v>2256</v>
      </c>
      <c r="I284" s="1">
        <f t="shared" si="8"/>
        <v>1.1111444444444443</v>
      </c>
      <c r="J284" s="1">
        <f t="shared" si="9"/>
        <v>0.49113475177304966</v>
      </c>
    </row>
    <row r="285" spans="1:10">
      <c r="A285" t="s">
        <v>113</v>
      </c>
      <c r="B285">
        <v>2</v>
      </c>
      <c r="C285" t="s">
        <v>114</v>
      </c>
      <c r="D285">
        <v>5</v>
      </c>
      <c r="E285">
        <v>9</v>
      </c>
      <c r="F285">
        <v>10.000401</v>
      </c>
      <c r="G285">
        <v>1195</v>
      </c>
      <c r="H285">
        <v>2256</v>
      </c>
      <c r="I285" s="1">
        <f t="shared" si="8"/>
        <v>1.1111556666666667</v>
      </c>
      <c r="J285" s="1">
        <f t="shared" si="9"/>
        <v>0.52969858156028371</v>
      </c>
    </row>
    <row r="286" spans="1:10">
      <c r="A286" t="s">
        <v>113</v>
      </c>
      <c r="B286">
        <v>2</v>
      </c>
      <c r="C286" t="s">
        <v>129</v>
      </c>
      <c r="D286">
        <v>6</v>
      </c>
      <c r="E286">
        <v>9</v>
      </c>
      <c r="F286">
        <v>11</v>
      </c>
      <c r="G286">
        <v>1257</v>
      </c>
      <c r="H286">
        <v>2256</v>
      </c>
      <c r="I286" s="1">
        <f t="shared" si="8"/>
        <v>1.2222222222222223</v>
      </c>
      <c r="J286" s="1">
        <f t="shared" si="9"/>
        <v>0.55718085106382975</v>
      </c>
    </row>
    <row r="287" spans="1:10">
      <c r="A287" t="s">
        <v>113</v>
      </c>
      <c r="B287">
        <v>2</v>
      </c>
      <c r="C287" t="s">
        <v>117</v>
      </c>
      <c r="D287">
        <v>7</v>
      </c>
      <c r="E287">
        <v>9</v>
      </c>
      <c r="F287">
        <v>11.0001</v>
      </c>
      <c r="G287">
        <v>1656</v>
      </c>
      <c r="H287">
        <v>2256</v>
      </c>
      <c r="I287" s="1">
        <f t="shared" si="8"/>
        <v>1.2222333333333333</v>
      </c>
      <c r="J287" s="1">
        <f t="shared" si="9"/>
        <v>0.73404255319148937</v>
      </c>
    </row>
    <row r="288" spans="1:10">
      <c r="A288" t="s">
        <v>113</v>
      </c>
      <c r="B288">
        <v>2</v>
      </c>
      <c r="C288" t="s">
        <v>119</v>
      </c>
      <c r="D288">
        <v>8</v>
      </c>
      <c r="E288">
        <v>9</v>
      </c>
      <c r="F288">
        <v>12</v>
      </c>
      <c r="G288">
        <v>2256</v>
      </c>
      <c r="H288">
        <v>2256</v>
      </c>
      <c r="I288" s="1">
        <f t="shared" si="8"/>
        <v>1.3333333333333333</v>
      </c>
      <c r="J288" s="1">
        <f t="shared" si="9"/>
        <v>1</v>
      </c>
    </row>
    <row r="289" spans="1:10">
      <c r="A289" t="s">
        <v>113</v>
      </c>
      <c r="B289">
        <v>3</v>
      </c>
      <c r="C289" t="s">
        <v>70</v>
      </c>
      <c r="D289">
        <v>1</v>
      </c>
      <c r="E289">
        <v>51</v>
      </c>
      <c r="F289">
        <v>11</v>
      </c>
      <c r="G289">
        <v>272</v>
      </c>
      <c r="H289">
        <v>5303</v>
      </c>
      <c r="I289" s="1">
        <f t="shared" si="8"/>
        <v>0.21568627450980393</v>
      </c>
      <c r="J289" s="1">
        <f t="shared" si="9"/>
        <v>5.1291721666980955E-2</v>
      </c>
    </row>
    <row r="290" spans="1:10">
      <c r="A290" t="s">
        <v>113</v>
      </c>
      <c r="B290">
        <v>3</v>
      </c>
      <c r="C290" t="s">
        <v>120</v>
      </c>
      <c r="D290">
        <v>2</v>
      </c>
      <c r="E290">
        <v>51</v>
      </c>
      <c r="F290">
        <v>13</v>
      </c>
      <c r="G290">
        <v>511</v>
      </c>
      <c r="H290">
        <v>5303</v>
      </c>
      <c r="I290" s="1">
        <f t="shared" si="8"/>
        <v>0.25490196078431371</v>
      </c>
      <c r="J290" s="1">
        <f t="shared" si="9"/>
        <v>9.6360550631717889E-2</v>
      </c>
    </row>
    <row r="291" spans="1:10">
      <c r="A291" t="s">
        <v>113</v>
      </c>
      <c r="B291">
        <v>3</v>
      </c>
      <c r="C291" t="s">
        <v>121</v>
      </c>
      <c r="D291">
        <v>3</v>
      </c>
      <c r="E291">
        <v>51</v>
      </c>
      <c r="F291">
        <v>16</v>
      </c>
      <c r="G291">
        <v>965</v>
      </c>
      <c r="H291">
        <v>5303</v>
      </c>
      <c r="I291" s="1">
        <f t="shared" si="8"/>
        <v>0.31372549019607843</v>
      </c>
      <c r="J291" s="1">
        <f t="shared" si="9"/>
        <v>0.18197246841410522</v>
      </c>
    </row>
    <row r="292" spans="1:10">
      <c r="A292" t="s">
        <v>113</v>
      </c>
      <c r="B292">
        <v>3</v>
      </c>
      <c r="C292" t="s">
        <v>122</v>
      </c>
      <c r="D292">
        <v>4</v>
      </c>
      <c r="E292">
        <v>51</v>
      </c>
      <c r="F292">
        <v>29</v>
      </c>
      <c r="G292">
        <v>2225</v>
      </c>
      <c r="H292">
        <v>5303</v>
      </c>
      <c r="I292" s="1">
        <f t="shared" si="8"/>
        <v>0.56862745098039214</v>
      </c>
      <c r="J292" s="1">
        <f t="shared" si="9"/>
        <v>0.41957382613614935</v>
      </c>
    </row>
    <row r="293" spans="1:10">
      <c r="A293" t="s">
        <v>113</v>
      </c>
      <c r="B293">
        <v>3</v>
      </c>
      <c r="C293" t="s">
        <v>124</v>
      </c>
      <c r="D293">
        <v>5</v>
      </c>
      <c r="E293">
        <v>51</v>
      </c>
      <c r="F293">
        <v>29.0001</v>
      </c>
      <c r="G293">
        <v>4155</v>
      </c>
      <c r="H293">
        <v>5303</v>
      </c>
      <c r="I293" s="1">
        <f t="shared" si="8"/>
        <v>0.56862941176470583</v>
      </c>
      <c r="J293" s="1">
        <f t="shared" si="9"/>
        <v>0.78351876296435985</v>
      </c>
    </row>
    <row r="294" spans="1:10">
      <c r="A294" t="s">
        <v>113</v>
      </c>
      <c r="B294">
        <v>3</v>
      </c>
      <c r="C294" t="s">
        <v>123</v>
      </c>
      <c r="D294">
        <v>6</v>
      </c>
      <c r="E294">
        <v>51</v>
      </c>
      <c r="F294">
        <v>31</v>
      </c>
      <c r="G294">
        <v>5303</v>
      </c>
      <c r="H294">
        <v>5303</v>
      </c>
      <c r="I294" s="1">
        <f t="shared" si="8"/>
        <v>0.60784313725490191</v>
      </c>
      <c r="J294" s="1">
        <f t="shared" si="9"/>
        <v>1</v>
      </c>
    </row>
    <row r="295" spans="1:10">
      <c r="A295" t="s">
        <v>113</v>
      </c>
      <c r="B295">
        <v>4</v>
      </c>
      <c r="C295" t="s">
        <v>70</v>
      </c>
      <c r="D295">
        <v>1</v>
      </c>
      <c r="E295">
        <v>53</v>
      </c>
      <c r="F295">
        <v>12</v>
      </c>
      <c r="G295">
        <v>272</v>
      </c>
      <c r="H295">
        <v>8599</v>
      </c>
      <c r="I295" s="1">
        <f t="shared" si="8"/>
        <v>0.22641509433962265</v>
      </c>
      <c r="J295" s="1">
        <f t="shared" si="9"/>
        <v>3.1631585068031168E-2</v>
      </c>
    </row>
    <row r="296" spans="1:10">
      <c r="A296" t="s">
        <v>113</v>
      </c>
      <c r="B296">
        <v>4</v>
      </c>
      <c r="C296" t="s">
        <v>125</v>
      </c>
      <c r="D296">
        <v>2</v>
      </c>
      <c r="E296">
        <v>53</v>
      </c>
      <c r="F296">
        <v>15</v>
      </c>
      <c r="G296">
        <v>544</v>
      </c>
      <c r="H296">
        <v>8599</v>
      </c>
      <c r="I296" s="1">
        <f t="shared" si="8"/>
        <v>0.28301886792452829</v>
      </c>
      <c r="J296" s="1">
        <f t="shared" si="9"/>
        <v>6.3263170136062336E-2</v>
      </c>
    </row>
    <row r="297" spans="1:10">
      <c r="A297" t="s">
        <v>113</v>
      </c>
      <c r="B297">
        <v>4</v>
      </c>
      <c r="C297" t="s">
        <v>121</v>
      </c>
      <c r="D297">
        <v>3</v>
      </c>
      <c r="E297">
        <v>53</v>
      </c>
      <c r="F297">
        <v>16</v>
      </c>
      <c r="G297">
        <v>1020</v>
      </c>
      <c r="H297">
        <v>8599</v>
      </c>
      <c r="I297" s="1">
        <f t="shared" si="8"/>
        <v>0.30188679245283018</v>
      </c>
      <c r="J297" s="1">
        <f t="shared" si="9"/>
        <v>0.11861844400511687</v>
      </c>
    </row>
    <row r="298" spans="1:10">
      <c r="A298" t="s">
        <v>113</v>
      </c>
      <c r="B298">
        <v>4</v>
      </c>
      <c r="C298" t="s">
        <v>126</v>
      </c>
      <c r="D298">
        <v>4</v>
      </c>
      <c r="E298">
        <v>53</v>
      </c>
      <c r="F298">
        <v>20</v>
      </c>
      <c r="G298">
        <v>1823</v>
      </c>
      <c r="H298">
        <v>8599</v>
      </c>
      <c r="I298" s="1">
        <f t="shared" si="8"/>
        <v>0.37735849056603776</v>
      </c>
      <c r="J298" s="1">
        <f t="shared" si="9"/>
        <v>0.21200139551110594</v>
      </c>
    </row>
    <row r="299" spans="1:10">
      <c r="A299" t="s">
        <v>113</v>
      </c>
      <c r="B299">
        <v>4</v>
      </c>
      <c r="C299" t="s">
        <v>127</v>
      </c>
      <c r="D299">
        <v>5</v>
      </c>
      <c r="E299">
        <v>53</v>
      </c>
      <c r="F299">
        <v>23</v>
      </c>
      <c r="G299">
        <v>2986</v>
      </c>
      <c r="H299">
        <v>8599</v>
      </c>
      <c r="I299" s="1">
        <f t="shared" si="8"/>
        <v>0.43396226415094341</v>
      </c>
      <c r="J299" s="1">
        <f t="shared" si="9"/>
        <v>0.34724968019537156</v>
      </c>
    </row>
    <row r="300" spans="1:10">
      <c r="A300" t="s">
        <v>113</v>
      </c>
      <c r="B300">
        <v>4</v>
      </c>
      <c r="C300" t="s">
        <v>128</v>
      </c>
      <c r="D300">
        <v>6</v>
      </c>
      <c r="E300">
        <v>53</v>
      </c>
      <c r="F300">
        <v>24</v>
      </c>
      <c r="G300">
        <v>4639</v>
      </c>
      <c r="H300">
        <v>8599</v>
      </c>
      <c r="I300" s="1">
        <f t="shared" si="8"/>
        <v>0.45283018867924529</v>
      </c>
      <c r="J300" s="1">
        <f t="shared" si="9"/>
        <v>0.53948133503895801</v>
      </c>
    </row>
    <row r="301" spans="1:10">
      <c r="A301" t="s">
        <v>113</v>
      </c>
      <c r="B301">
        <v>4</v>
      </c>
      <c r="C301" t="s">
        <v>122</v>
      </c>
      <c r="D301">
        <v>7</v>
      </c>
      <c r="E301">
        <v>53</v>
      </c>
      <c r="F301">
        <v>27</v>
      </c>
      <c r="G301">
        <v>5864</v>
      </c>
      <c r="H301">
        <v>8599</v>
      </c>
      <c r="I301" s="1">
        <f t="shared" si="8"/>
        <v>0.50943396226415094</v>
      </c>
      <c r="J301" s="1">
        <f t="shared" si="9"/>
        <v>0.68193976043726012</v>
      </c>
    </row>
    <row r="302" spans="1:10">
      <c r="A302" t="s">
        <v>113</v>
      </c>
      <c r="B302">
        <v>4</v>
      </c>
      <c r="C302" t="s">
        <v>123</v>
      </c>
      <c r="D302">
        <v>8</v>
      </c>
      <c r="E302">
        <v>53</v>
      </c>
      <c r="F302">
        <v>29</v>
      </c>
      <c r="G302">
        <v>6977</v>
      </c>
      <c r="H302">
        <v>8599</v>
      </c>
      <c r="I302" s="1">
        <f t="shared" si="8"/>
        <v>0.54716981132075471</v>
      </c>
      <c r="J302" s="1">
        <f t="shared" si="9"/>
        <v>0.81137341551343178</v>
      </c>
    </row>
    <row r="303" spans="1:10">
      <c r="A303" t="s">
        <v>113</v>
      </c>
      <c r="B303">
        <v>4</v>
      </c>
      <c r="C303" t="s">
        <v>124</v>
      </c>
      <c r="D303">
        <v>9</v>
      </c>
      <c r="E303">
        <v>53</v>
      </c>
      <c r="F303">
        <v>29.0001</v>
      </c>
      <c r="G303">
        <v>8599</v>
      </c>
      <c r="H303">
        <v>8599</v>
      </c>
      <c r="I303" s="1">
        <f t="shared" si="8"/>
        <v>0.54717169811320754</v>
      </c>
      <c r="J303" s="1">
        <f t="shared" si="9"/>
        <v>1</v>
      </c>
    </row>
    <row r="304" spans="1:10">
      <c r="A304" t="s">
        <v>113</v>
      </c>
      <c r="B304">
        <v>6</v>
      </c>
      <c r="C304" t="s">
        <v>69</v>
      </c>
      <c r="D304">
        <v>1</v>
      </c>
      <c r="E304">
        <v>3</v>
      </c>
      <c r="F304">
        <v>7</v>
      </c>
      <c r="G304">
        <v>317</v>
      </c>
      <c r="H304">
        <v>329</v>
      </c>
      <c r="I304" s="1">
        <f t="shared" si="8"/>
        <v>2.3333333333333335</v>
      </c>
      <c r="J304" s="1">
        <f t="shared" si="9"/>
        <v>0.96352583586626139</v>
      </c>
    </row>
    <row r="305" spans="1:10">
      <c r="A305" t="s">
        <v>113</v>
      </c>
      <c r="B305">
        <v>6</v>
      </c>
      <c r="C305" t="s">
        <v>70</v>
      </c>
      <c r="D305">
        <v>2</v>
      </c>
      <c r="E305">
        <v>3</v>
      </c>
      <c r="F305">
        <v>7.0000999999999998</v>
      </c>
      <c r="G305">
        <v>329</v>
      </c>
      <c r="H305">
        <v>329</v>
      </c>
      <c r="I305" s="1">
        <f t="shared" si="8"/>
        <v>2.3333666666666666</v>
      </c>
      <c r="J305" s="1">
        <f t="shared" si="9"/>
        <v>1</v>
      </c>
    </row>
    <row r="306" spans="1:10">
      <c r="A306" t="s">
        <v>113</v>
      </c>
      <c r="B306">
        <v>7</v>
      </c>
      <c r="C306" t="s">
        <v>114</v>
      </c>
      <c r="D306">
        <v>1</v>
      </c>
      <c r="E306">
        <v>11</v>
      </c>
      <c r="F306">
        <v>10</v>
      </c>
      <c r="G306">
        <v>302</v>
      </c>
      <c r="H306">
        <v>3083</v>
      </c>
      <c r="I306" s="1">
        <f t="shared" si="8"/>
        <v>0.90909090909090906</v>
      </c>
      <c r="J306" s="1">
        <f t="shared" si="9"/>
        <v>9.7956535841712614E-2</v>
      </c>
    </row>
    <row r="307" spans="1:10">
      <c r="A307" t="s">
        <v>113</v>
      </c>
      <c r="B307">
        <v>7</v>
      </c>
      <c r="C307" t="s">
        <v>129</v>
      </c>
      <c r="D307">
        <v>2</v>
      </c>
      <c r="E307">
        <v>11</v>
      </c>
      <c r="F307">
        <v>11</v>
      </c>
      <c r="G307">
        <v>382</v>
      </c>
      <c r="H307">
        <v>3083</v>
      </c>
      <c r="I307" s="1">
        <f t="shared" si="8"/>
        <v>1</v>
      </c>
      <c r="J307" s="1">
        <f t="shared" si="9"/>
        <v>0.12390528705806034</v>
      </c>
    </row>
    <row r="308" spans="1:10">
      <c r="A308" t="s">
        <v>113</v>
      </c>
      <c r="B308">
        <v>7</v>
      </c>
      <c r="C308" t="s">
        <v>115</v>
      </c>
      <c r="D308">
        <v>3</v>
      </c>
      <c r="E308">
        <v>11</v>
      </c>
      <c r="F308">
        <v>11.0001</v>
      </c>
      <c r="G308">
        <v>649</v>
      </c>
      <c r="H308">
        <v>3083</v>
      </c>
      <c r="I308" s="1">
        <f t="shared" si="8"/>
        <v>1.0000090909090908</v>
      </c>
      <c r="J308" s="1">
        <f t="shared" si="9"/>
        <v>0.21050924424262082</v>
      </c>
    </row>
    <row r="309" spans="1:10">
      <c r="A309" t="s">
        <v>113</v>
      </c>
      <c r="B309">
        <v>7</v>
      </c>
      <c r="C309" t="s">
        <v>131</v>
      </c>
      <c r="D309">
        <v>4</v>
      </c>
      <c r="E309">
        <v>11</v>
      </c>
      <c r="F309">
        <v>11.0002</v>
      </c>
      <c r="G309">
        <v>970</v>
      </c>
      <c r="H309">
        <v>3083</v>
      </c>
      <c r="I309" s="1">
        <f t="shared" si="8"/>
        <v>1.0000181818181817</v>
      </c>
      <c r="J309" s="1">
        <f t="shared" si="9"/>
        <v>0.314628608498216</v>
      </c>
    </row>
    <row r="310" spans="1:10">
      <c r="A310" t="s">
        <v>113</v>
      </c>
      <c r="B310">
        <v>7</v>
      </c>
      <c r="C310" t="s">
        <v>118</v>
      </c>
      <c r="D310">
        <v>5</v>
      </c>
      <c r="E310">
        <v>11</v>
      </c>
      <c r="F310">
        <v>11.000299999999999</v>
      </c>
      <c r="G310">
        <v>1419</v>
      </c>
      <c r="H310">
        <v>3083</v>
      </c>
      <c r="I310" s="1">
        <f t="shared" si="8"/>
        <v>1.0000272727272728</v>
      </c>
      <c r="J310" s="1">
        <f t="shared" si="9"/>
        <v>0.46026597469996755</v>
      </c>
    </row>
    <row r="311" spans="1:10">
      <c r="A311" t="s">
        <v>113</v>
      </c>
      <c r="B311">
        <v>7</v>
      </c>
      <c r="C311" t="s">
        <v>130</v>
      </c>
      <c r="D311">
        <v>6</v>
      </c>
      <c r="E311">
        <v>11</v>
      </c>
      <c r="F311">
        <v>11.000401</v>
      </c>
      <c r="G311">
        <v>1541</v>
      </c>
      <c r="H311">
        <v>3083</v>
      </c>
      <c r="I311" s="1">
        <f t="shared" si="8"/>
        <v>1.0000364545454545</v>
      </c>
      <c r="J311" s="1">
        <f t="shared" si="9"/>
        <v>0.49983782030489782</v>
      </c>
    </row>
    <row r="312" spans="1:10">
      <c r="A312" t="s">
        <v>113</v>
      </c>
      <c r="B312">
        <v>7</v>
      </c>
      <c r="C312" t="s">
        <v>132</v>
      </c>
      <c r="D312">
        <v>7</v>
      </c>
      <c r="E312">
        <v>11</v>
      </c>
      <c r="F312">
        <v>11.000501</v>
      </c>
      <c r="G312">
        <v>1804</v>
      </c>
      <c r="H312">
        <v>3083</v>
      </c>
      <c r="I312" s="1">
        <f t="shared" si="8"/>
        <v>1.0000455454545454</v>
      </c>
      <c r="J312" s="1">
        <f t="shared" si="9"/>
        <v>0.5851443399286409</v>
      </c>
    </row>
    <row r="313" spans="1:10">
      <c r="A313" t="s">
        <v>113</v>
      </c>
      <c r="B313">
        <v>7</v>
      </c>
      <c r="C313" t="s">
        <v>133</v>
      </c>
      <c r="D313">
        <v>8</v>
      </c>
      <c r="E313">
        <v>11</v>
      </c>
      <c r="F313">
        <v>11.000601</v>
      </c>
      <c r="G313">
        <v>2026</v>
      </c>
      <c r="H313">
        <v>3083</v>
      </c>
      <c r="I313" s="1">
        <f t="shared" si="8"/>
        <v>1.0000546363636362</v>
      </c>
      <c r="J313" s="1">
        <f t="shared" si="9"/>
        <v>0.65715212455400585</v>
      </c>
    </row>
    <row r="314" spans="1:10">
      <c r="A314" t="s">
        <v>113</v>
      </c>
      <c r="B314">
        <v>7</v>
      </c>
      <c r="C314" t="s">
        <v>117</v>
      </c>
      <c r="D314">
        <v>9</v>
      </c>
      <c r="E314">
        <v>11</v>
      </c>
      <c r="F314">
        <v>12</v>
      </c>
      <c r="G314">
        <v>2457</v>
      </c>
      <c r="H314">
        <v>3083</v>
      </c>
      <c r="I314" s="1">
        <f t="shared" si="8"/>
        <v>1.0909090909090908</v>
      </c>
      <c r="J314" s="1">
        <f t="shared" si="9"/>
        <v>0.7969510217320791</v>
      </c>
    </row>
    <row r="315" spans="1:10">
      <c r="A315" t="s">
        <v>113</v>
      </c>
      <c r="B315">
        <v>7</v>
      </c>
      <c r="C315" t="s">
        <v>119</v>
      </c>
      <c r="D315">
        <v>10</v>
      </c>
      <c r="E315">
        <v>11</v>
      </c>
      <c r="F315">
        <v>12.0001</v>
      </c>
      <c r="G315">
        <v>3083</v>
      </c>
      <c r="H315">
        <v>3083</v>
      </c>
      <c r="I315" s="1">
        <f t="shared" si="8"/>
        <v>1.0909181818181819</v>
      </c>
      <c r="J315" s="1">
        <f t="shared" si="9"/>
        <v>1</v>
      </c>
    </row>
    <row r="316" spans="1:10">
      <c r="A316" t="s">
        <v>113</v>
      </c>
      <c r="B316">
        <v>8</v>
      </c>
      <c r="C316" t="s">
        <v>70</v>
      </c>
      <c r="D316">
        <v>1</v>
      </c>
      <c r="E316">
        <v>51</v>
      </c>
      <c r="F316">
        <v>12</v>
      </c>
      <c r="G316">
        <v>272</v>
      </c>
      <c r="H316">
        <v>5606</v>
      </c>
      <c r="I316" s="1">
        <f t="shared" si="8"/>
        <v>0.23529411764705882</v>
      </c>
      <c r="J316" s="1">
        <f t="shared" si="9"/>
        <v>4.8519443453442737E-2</v>
      </c>
    </row>
    <row r="317" spans="1:10">
      <c r="A317" t="s">
        <v>113</v>
      </c>
      <c r="B317">
        <v>8</v>
      </c>
      <c r="C317" t="s">
        <v>134</v>
      </c>
      <c r="D317">
        <v>2</v>
      </c>
      <c r="E317">
        <v>51</v>
      </c>
      <c r="F317">
        <v>14</v>
      </c>
      <c r="G317">
        <v>484</v>
      </c>
      <c r="H317">
        <v>5606</v>
      </c>
      <c r="I317" s="1">
        <f t="shared" si="8"/>
        <v>0.27450980392156865</v>
      </c>
      <c r="J317" s="1">
        <f t="shared" si="9"/>
        <v>8.6336068498037821E-2</v>
      </c>
    </row>
    <row r="318" spans="1:10">
      <c r="A318" t="s">
        <v>113</v>
      </c>
      <c r="B318">
        <v>8</v>
      </c>
      <c r="C318" t="s">
        <v>135</v>
      </c>
      <c r="D318">
        <v>3</v>
      </c>
      <c r="E318">
        <v>51</v>
      </c>
      <c r="F318">
        <v>15</v>
      </c>
      <c r="G318">
        <v>1002</v>
      </c>
      <c r="H318">
        <v>5606</v>
      </c>
      <c r="I318" s="1">
        <f t="shared" si="8"/>
        <v>0.29411764705882354</v>
      </c>
      <c r="J318" s="1">
        <f t="shared" si="9"/>
        <v>0.17873706742775597</v>
      </c>
    </row>
    <row r="319" spans="1:10">
      <c r="A319" t="s">
        <v>113</v>
      </c>
      <c r="B319">
        <v>8</v>
      </c>
      <c r="C319" t="s">
        <v>137</v>
      </c>
      <c r="D319">
        <v>4</v>
      </c>
      <c r="E319">
        <v>51</v>
      </c>
      <c r="F319">
        <v>30</v>
      </c>
      <c r="G319">
        <v>2338</v>
      </c>
      <c r="H319">
        <v>5606</v>
      </c>
      <c r="I319" s="1">
        <f t="shared" si="8"/>
        <v>0.58823529411764708</v>
      </c>
      <c r="J319" s="1">
        <f t="shared" si="9"/>
        <v>0.41705315733143061</v>
      </c>
    </row>
    <row r="320" spans="1:10">
      <c r="A320" t="s">
        <v>113</v>
      </c>
      <c r="B320">
        <v>8</v>
      </c>
      <c r="C320" t="s">
        <v>136</v>
      </c>
      <c r="D320">
        <v>5</v>
      </c>
      <c r="E320">
        <v>51</v>
      </c>
      <c r="F320">
        <v>30.0001</v>
      </c>
      <c r="G320">
        <v>4126</v>
      </c>
      <c r="H320">
        <v>5606</v>
      </c>
      <c r="I320" s="1">
        <f t="shared" si="8"/>
        <v>0.58823725490196077</v>
      </c>
      <c r="J320" s="1">
        <f t="shared" si="9"/>
        <v>0.73599714591509102</v>
      </c>
    </row>
    <row r="321" spans="1:10">
      <c r="A321" t="s">
        <v>113</v>
      </c>
      <c r="B321">
        <v>8</v>
      </c>
      <c r="C321" t="s">
        <v>123</v>
      </c>
      <c r="D321">
        <v>6</v>
      </c>
      <c r="E321">
        <v>51</v>
      </c>
      <c r="F321">
        <v>34</v>
      </c>
      <c r="G321">
        <v>5606</v>
      </c>
      <c r="H321">
        <v>5606</v>
      </c>
      <c r="I321" s="1">
        <f t="shared" si="8"/>
        <v>0.66666666666666663</v>
      </c>
      <c r="J321" s="1">
        <f t="shared" si="9"/>
        <v>1</v>
      </c>
    </row>
    <row r="322" spans="1:10">
      <c r="A322" t="s">
        <v>113</v>
      </c>
      <c r="B322">
        <v>9</v>
      </c>
      <c r="C322" t="s">
        <v>138</v>
      </c>
      <c r="D322">
        <v>1</v>
      </c>
      <c r="E322">
        <v>63</v>
      </c>
      <c r="F322">
        <v>14</v>
      </c>
      <c r="G322">
        <v>528</v>
      </c>
      <c r="H322">
        <v>9248</v>
      </c>
      <c r="I322" s="1">
        <f t="shared" si="8"/>
        <v>0.22222222222222221</v>
      </c>
      <c r="J322" s="1">
        <f t="shared" si="9"/>
        <v>5.7093425605536333E-2</v>
      </c>
    </row>
    <row r="323" spans="1:10">
      <c r="A323" t="s">
        <v>113</v>
      </c>
      <c r="B323">
        <v>9</v>
      </c>
      <c r="C323" t="s">
        <v>70</v>
      </c>
      <c r="D323">
        <v>2</v>
      </c>
      <c r="E323">
        <v>63</v>
      </c>
      <c r="F323">
        <v>15</v>
      </c>
      <c r="G323">
        <v>544</v>
      </c>
      <c r="H323">
        <v>9248</v>
      </c>
      <c r="I323" s="1">
        <f t="shared" ref="I323:I386" si="10">F323/E323</f>
        <v>0.23809523809523808</v>
      </c>
      <c r="J323" s="1">
        <f t="shared" ref="J323:J386" si="11">G323/H323</f>
        <v>5.8823529411764705E-2</v>
      </c>
    </row>
    <row r="324" spans="1:10">
      <c r="A324" t="s">
        <v>113</v>
      </c>
      <c r="B324">
        <v>9</v>
      </c>
      <c r="C324" t="s">
        <v>135</v>
      </c>
      <c r="D324">
        <v>3</v>
      </c>
      <c r="E324">
        <v>63</v>
      </c>
      <c r="F324">
        <v>18</v>
      </c>
      <c r="G324">
        <v>1062</v>
      </c>
      <c r="H324">
        <v>9248</v>
      </c>
      <c r="I324" s="1">
        <f t="shared" si="10"/>
        <v>0.2857142857142857</v>
      </c>
      <c r="J324" s="1">
        <f t="shared" si="11"/>
        <v>0.1148356401384083</v>
      </c>
    </row>
    <row r="325" spans="1:10">
      <c r="A325" t="s">
        <v>113</v>
      </c>
      <c r="B325">
        <v>9</v>
      </c>
      <c r="C325" t="s">
        <v>141</v>
      </c>
      <c r="D325">
        <v>4</v>
      </c>
      <c r="E325">
        <v>63</v>
      </c>
      <c r="F325">
        <v>20</v>
      </c>
      <c r="G325">
        <v>2236</v>
      </c>
      <c r="H325">
        <v>9248</v>
      </c>
      <c r="I325" s="1">
        <f t="shared" si="10"/>
        <v>0.31746031746031744</v>
      </c>
      <c r="J325" s="1">
        <f t="shared" si="11"/>
        <v>0.24178200692041524</v>
      </c>
    </row>
    <row r="326" spans="1:10">
      <c r="A326" t="s">
        <v>113</v>
      </c>
      <c r="B326">
        <v>9</v>
      </c>
      <c r="C326" t="s">
        <v>139</v>
      </c>
      <c r="D326">
        <v>5</v>
      </c>
      <c r="E326">
        <v>63</v>
      </c>
      <c r="F326">
        <v>21</v>
      </c>
      <c r="G326">
        <v>3072</v>
      </c>
      <c r="H326">
        <v>9248</v>
      </c>
      <c r="I326" s="1">
        <f t="shared" si="10"/>
        <v>0.33333333333333331</v>
      </c>
      <c r="J326" s="1">
        <f t="shared" si="11"/>
        <v>0.33217993079584773</v>
      </c>
    </row>
    <row r="327" spans="1:10">
      <c r="A327" t="s">
        <v>113</v>
      </c>
      <c r="B327">
        <v>9</v>
      </c>
      <c r="C327" t="s">
        <v>140</v>
      </c>
      <c r="D327">
        <v>6</v>
      </c>
      <c r="E327">
        <v>63</v>
      </c>
      <c r="F327">
        <v>23</v>
      </c>
      <c r="G327">
        <v>4644</v>
      </c>
      <c r="H327">
        <v>9248</v>
      </c>
      <c r="I327" s="1">
        <f t="shared" si="10"/>
        <v>0.36507936507936506</v>
      </c>
      <c r="J327" s="1">
        <f t="shared" si="11"/>
        <v>0.50216262975778547</v>
      </c>
    </row>
    <row r="328" spans="1:10">
      <c r="A328" t="s">
        <v>113</v>
      </c>
      <c r="B328">
        <v>9</v>
      </c>
      <c r="C328" t="s">
        <v>137</v>
      </c>
      <c r="D328">
        <v>7</v>
      </c>
      <c r="E328">
        <v>63</v>
      </c>
      <c r="F328">
        <v>27</v>
      </c>
      <c r="G328">
        <v>5980</v>
      </c>
      <c r="H328">
        <v>9248</v>
      </c>
      <c r="I328" s="1">
        <f t="shared" si="10"/>
        <v>0.42857142857142855</v>
      </c>
      <c r="J328" s="1">
        <f t="shared" si="11"/>
        <v>0.64662629757785473</v>
      </c>
    </row>
    <row r="329" spans="1:10">
      <c r="A329" t="s">
        <v>113</v>
      </c>
      <c r="B329">
        <v>9</v>
      </c>
      <c r="C329" t="s">
        <v>123</v>
      </c>
      <c r="D329">
        <v>8</v>
      </c>
      <c r="E329">
        <v>63</v>
      </c>
      <c r="F329">
        <v>51</v>
      </c>
      <c r="G329">
        <v>7460</v>
      </c>
      <c r="H329">
        <v>9248</v>
      </c>
      <c r="I329" s="1">
        <f t="shared" si="10"/>
        <v>0.80952380952380953</v>
      </c>
      <c r="J329" s="1">
        <f t="shared" si="11"/>
        <v>0.80666089965397925</v>
      </c>
    </row>
    <row r="330" spans="1:10">
      <c r="A330" t="s">
        <v>113</v>
      </c>
      <c r="B330">
        <v>9</v>
      </c>
      <c r="C330" t="s">
        <v>136</v>
      </c>
      <c r="D330">
        <v>9</v>
      </c>
      <c r="E330">
        <v>63</v>
      </c>
      <c r="F330">
        <v>53</v>
      </c>
      <c r="G330">
        <v>9248</v>
      </c>
      <c r="H330">
        <v>9248</v>
      </c>
      <c r="I330" s="1">
        <f t="shared" si="10"/>
        <v>0.84126984126984128</v>
      </c>
      <c r="J330" s="1">
        <f t="shared" si="11"/>
        <v>1</v>
      </c>
    </row>
    <row r="331" spans="1:10">
      <c r="A331" t="s">
        <v>113</v>
      </c>
      <c r="B331">
        <v>11</v>
      </c>
      <c r="C331" t="s">
        <v>33</v>
      </c>
      <c r="D331">
        <v>1</v>
      </c>
      <c r="E331">
        <v>7</v>
      </c>
      <c r="F331">
        <v>9</v>
      </c>
      <c r="G331">
        <v>388</v>
      </c>
      <c r="H331">
        <v>1223</v>
      </c>
      <c r="I331" s="1">
        <f t="shared" si="10"/>
        <v>1.2857142857142858</v>
      </c>
      <c r="J331" s="1">
        <f t="shared" si="11"/>
        <v>0.31725265739983649</v>
      </c>
    </row>
    <row r="332" spans="1:10">
      <c r="A332" t="s">
        <v>113</v>
      </c>
      <c r="B332">
        <v>11</v>
      </c>
      <c r="C332" t="s">
        <v>19</v>
      </c>
      <c r="D332">
        <v>2</v>
      </c>
      <c r="E332">
        <v>7</v>
      </c>
      <c r="F332">
        <v>15</v>
      </c>
      <c r="G332">
        <v>1223</v>
      </c>
      <c r="H332">
        <v>1223</v>
      </c>
      <c r="I332" s="1">
        <f t="shared" si="10"/>
        <v>2.1428571428571428</v>
      </c>
      <c r="J332" s="1">
        <f t="shared" si="11"/>
        <v>1</v>
      </c>
    </row>
    <row r="333" spans="1:10">
      <c r="A333" t="s">
        <v>113</v>
      </c>
      <c r="B333">
        <v>13</v>
      </c>
      <c r="C333" t="s">
        <v>1</v>
      </c>
      <c r="D333">
        <v>1</v>
      </c>
      <c r="E333">
        <v>945</v>
      </c>
      <c r="F333">
        <v>18</v>
      </c>
      <c r="G333">
        <v>525</v>
      </c>
      <c r="H333">
        <v>266751</v>
      </c>
      <c r="I333" s="1">
        <f t="shared" si="10"/>
        <v>1.9047619047619049E-2</v>
      </c>
      <c r="J333" s="1">
        <f t="shared" si="11"/>
        <v>1.9681275796529347E-3</v>
      </c>
    </row>
    <row r="334" spans="1:10">
      <c r="A334" t="s">
        <v>113</v>
      </c>
      <c r="B334">
        <v>13</v>
      </c>
      <c r="C334" t="s">
        <v>142</v>
      </c>
      <c r="D334">
        <v>2</v>
      </c>
      <c r="E334">
        <v>945</v>
      </c>
      <c r="F334">
        <v>19</v>
      </c>
      <c r="G334">
        <v>555</v>
      </c>
      <c r="H334">
        <v>266751</v>
      </c>
      <c r="I334" s="1">
        <f t="shared" si="10"/>
        <v>2.0105820105820106E-2</v>
      </c>
      <c r="J334" s="1">
        <f t="shared" si="11"/>
        <v>2.0805920127759596E-3</v>
      </c>
    </row>
    <row r="335" spans="1:10">
      <c r="A335" t="s">
        <v>113</v>
      </c>
      <c r="B335">
        <v>13</v>
      </c>
      <c r="C335" t="s">
        <v>19</v>
      </c>
      <c r="D335">
        <v>3</v>
      </c>
      <c r="E335">
        <v>945</v>
      </c>
      <c r="F335">
        <v>20</v>
      </c>
      <c r="G335">
        <v>555</v>
      </c>
      <c r="H335">
        <v>266751</v>
      </c>
      <c r="I335" s="1">
        <f t="shared" si="10"/>
        <v>2.1164021164021163E-2</v>
      </c>
      <c r="J335" s="1">
        <f t="shared" si="11"/>
        <v>2.0805920127759596E-3</v>
      </c>
    </row>
    <row r="336" spans="1:10">
      <c r="A336" t="s">
        <v>113</v>
      </c>
      <c r="B336">
        <v>13</v>
      </c>
      <c r="C336" t="s">
        <v>22</v>
      </c>
      <c r="D336">
        <v>4</v>
      </c>
      <c r="E336">
        <v>945</v>
      </c>
      <c r="F336">
        <v>1563</v>
      </c>
      <c r="G336">
        <v>266751</v>
      </c>
      <c r="H336">
        <v>266751</v>
      </c>
      <c r="I336" s="1">
        <f t="shared" si="10"/>
        <v>1.6539682539682539</v>
      </c>
      <c r="J336" s="1">
        <f t="shared" si="11"/>
        <v>1</v>
      </c>
    </row>
    <row r="337" spans="1:10">
      <c r="A337" t="s">
        <v>113</v>
      </c>
      <c r="B337">
        <v>14</v>
      </c>
      <c r="C337" t="s">
        <v>1</v>
      </c>
      <c r="D337">
        <v>1</v>
      </c>
      <c r="E337">
        <v>766</v>
      </c>
      <c r="F337">
        <v>19</v>
      </c>
      <c r="G337">
        <v>525</v>
      </c>
      <c r="H337">
        <v>221654</v>
      </c>
      <c r="I337" s="1">
        <f t="shared" si="10"/>
        <v>2.4804177545691905E-2</v>
      </c>
      <c r="J337" s="1">
        <f t="shared" si="11"/>
        <v>2.3685563987115052E-3</v>
      </c>
    </row>
    <row r="338" spans="1:10">
      <c r="A338" t="s">
        <v>113</v>
      </c>
      <c r="B338">
        <v>14</v>
      </c>
      <c r="C338" t="s">
        <v>142</v>
      </c>
      <c r="D338">
        <v>2</v>
      </c>
      <c r="E338">
        <v>766</v>
      </c>
      <c r="F338">
        <v>19.0001</v>
      </c>
      <c r="G338">
        <v>555</v>
      </c>
      <c r="H338">
        <v>221654</v>
      </c>
      <c r="I338" s="1">
        <f t="shared" si="10"/>
        <v>2.4804308093994778E-2</v>
      </c>
      <c r="J338" s="1">
        <f t="shared" si="11"/>
        <v>2.5039024786378769E-3</v>
      </c>
    </row>
    <row r="339" spans="1:10">
      <c r="A339" t="s">
        <v>113</v>
      </c>
      <c r="B339">
        <v>14</v>
      </c>
      <c r="C339" t="s">
        <v>19</v>
      </c>
      <c r="D339">
        <v>3</v>
      </c>
      <c r="E339">
        <v>766</v>
      </c>
      <c r="F339">
        <v>21</v>
      </c>
      <c r="G339">
        <v>555</v>
      </c>
      <c r="H339">
        <v>221654</v>
      </c>
      <c r="I339" s="1">
        <f t="shared" si="10"/>
        <v>2.7415143603133161E-2</v>
      </c>
      <c r="J339" s="1">
        <f t="shared" si="11"/>
        <v>2.5039024786378769E-3</v>
      </c>
    </row>
    <row r="340" spans="1:10">
      <c r="A340" t="s">
        <v>113</v>
      </c>
      <c r="B340">
        <v>14</v>
      </c>
      <c r="C340" t="s">
        <v>445</v>
      </c>
      <c r="D340">
        <v>4</v>
      </c>
      <c r="E340">
        <v>766</v>
      </c>
      <c r="F340">
        <v>394</v>
      </c>
      <c r="G340">
        <v>53127</v>
      </c>
      <c r="H340">
        <v>221654</v>
      </c>
      <c r="I340" s="1">
        <f t="shared" si="10"/>
        <v>0.51436031331592691</v>
      </c>
      <c r="J340" s="1">
        <f t="shared" si="11"/>
        <v>0.23968437294161171</v>
      </c>
    </row>
    <row r="341" spans="1:10">
      <c r="A341" t="s">
        <v>113</v>
      </c>
      <c r="B341">
        <v>14</v>
      </c>
      <c r="C341" t="s">
        <v>446</v>
      </c>
      <c r="D341">
        <v>5</v>
      </c>
      <c r="E341">
        <v>766</v>
      </c>
      <c r="F341">
        <v>408</v>
      </c>
      <c r="G341">
        <v>53127</v>
      </c>
      <c r="H341">
        <v>221654</v>
      </c>
      <c r="I341" s="1">
        <f t="shared" si="10"/>
        <v>0.53263707571801566</v>
      </c>
      <c r="J341" s="1">
        <f t="shared" si="11"/>
        <v>0.23968437294161171</v>
      </c>
    </row>
    <row r="342" spans="1:10">
      <c r="A342" t="s">
        <v>113</v>
      </c>
      <c r="B342">
        <v>14</v>
      </c>
      <c r="C342" t="s">
        <v>447</v>
      </c>
      <c r="D342">
        <v>6</v>
      </c>
      <c r="E342">
        <v>766</v>
      </c>
      <c r="F342">
        <v>546</v>
      </c>
      <c r="G342">
        <v>83121</v>
      </c>
      <c r="H342">
        <v>221654</v>
      </c>
      <c r="I342" s="1">
        <f t="shared" si="10"/>
        <v>0.71279373368146215</v>
      </c>
      <c r="J342" s="1">
        <f t="shared" si="11"/>
        <v>0.37500338365199815</v>
      </c>
    </row>
    <row r="343" spans="1:10">
      <c r="A343" t="s">
        <v>113</v>
      </c>
      <c r="B343">
        <v>14</v>
      </c>
      <c r="C343" t="s">
        <v>448</v>
      </c>
      <c r="D343">
        <v>7</v>
      </c>
      <c r="E343">
        <v>766</v>
      </c>
      <c r="F343">
        <v>634</v>
      </c>
      <c r="G343">
        <v>83121</v>
      </c>
      <c r="H343">
        <v>221654</v>
      </c>
      <c r="I343" s="1">
        <f t="shared" si="10"/>
        <v>0.82767624020887731</v>
      </c>
      <c r="J343" s="1">
        <f t="shared" si="11"/>
        <v>0.37500338365199815</v>
      </c>
    </row>
    <row r="344" spans="1:10">
      <c r="A344" t="s">
        <v>113</v>
      </c>
      <c r="B344">
        <v>14</v>
      </c>
      <c r="C344" t="s">
        <v>144</v>
      </c>
      <c r="D344">
        <v>8</v>
      </c>
      <c r="E344">
        <v>766</v>
      </c>
      <c r="F344">
        <v>835</v>
      </c>
      <c r="G344">
        <v>221654</v>
      </c>
      <c r="H344">
        <v>221654</v>
      </c>
      <c r="I344" s="1">
        <f t="shared" si="10"/>
        <v>1.0900783289817233</v>
      </c>
      <c r="J344" s="1">
        <f t="shared" si="11"/>
        <v>1</v>
      </c>
    </row>
    <row r="345" spans="1:10">
      <c r="A345" t="s">
        <v>113</v>
      </c>
      <c r="B345">
        <v>14</v>
      </c>
      <c r="C345" t="s">
        <v>143</v>
      </c>
      <c r="D345">
        <v>9</v>
      </c>
      <c r="E345">
        <v>766</v>
      </c>
      <c r="F345">
        <v>843</v>
      </c>
      <c r="G345">
        <v>221654</v>
      </c>
      <c r="H345">
        <v>221654</v>
      </c>
      <c r="I345" s="1">
        <f t="shared" si="10"/>
        <v>1.1005221932114881</v>
      </c>
      <c r="J345" s="1">
        <f t="shared" si="11"/>
        <v>1</v>
      </c>
    </row>
    <row r="346" spans="1:10">
      <c r="A346" t="s">
        <v>113</v>
      </c>
      <c r="B346">
        <v>15</v>
      </c>
      <c r="C346" t="s">
        <v>142</v>
      </c>
      <c r="D346">
        <v>1</v>
      </c>
      <c r="E346">
        <v>629</v>
      </c>
      <c r="F346">
        <v>15</v>
      </c>
      <c r="G346">
        <v>555</v>
      </c>
      <c r="H346">
        <v>151468</v>
      </c>
      <c r="I346" s="1">
        <f t="shared" si="10"/>
        <v>2.3847376788553261E-2</v>
      </c>
      <c r="J346" s="1">
        <f t="shared" si="11"/>
        <v>3.6641402804552777E-3</v>
      </c>
    </row>
    <row r="347" spans="1:10">
      <c r="A347" t="s">
        <v>113</v>
      </c>
      <c r="B347">
        <v>15</v>
      </c>
      <c r="C347" t="s">
        <v>1</v>
      </c>
      <c r="D347">
        <v>2</v>
      </c>
      <c r="E347">
        <v>629</v>
      </c>
      <c r="F347">
        <v>16</v>
      </c>
      <c r="G347">
        <v>555</v>
      </c>
      <c r="H347">
        <v>151468</v>
      </c>
      <c r="I347" s="1">
        <f t="shared" si="10"/>
        <v>2.5437201907790145E-2</v>
      </c>
      <c r="J347" s="1">
        <f t="shared" si="11"/>
        <v>3.6641402804552777E-3</v>
      </c>
    </row>
    <row r="348" spans="1:10">
      <c r="A348" t="s">
        <v>113</v>
      </c>
      <c r="B348">
        <v>15</v>
      </c>
      <c r="C348" t="s">
        <v>19</v>
      </c>
      <c r="D348">
        <v>3</v>
      </c>
      <c r="E348">
        <v>629</v>
      </c>
      <c r="F348">
        <v>16.0001</v>
      </c>
      <c r="G348">
        <v>555</v>
      </c>
      <c r="H348">
        <v>151468</v>
      </c>
      <c r="I348" s="1">
        <f t="shared" si="10"/>
        <v>2.5437360890302067E-2</v>
      </c>
      <c r="J348" s="1">
        <f t="shared" si="11"/>
        <v>3.6641402804552777E-3</v>
      </c>
    </row>
    <row r="349" spans="1:10">
      <c r="A349" t="s">
        <v>113</v>
      </c>
      <c r="B349">
        <v>15</v>
      </c>
      <c r="C349" t="s">
        <v>22</v>
      </c>
      <c r="D349">
        <v>4</v>
      </c>
      <c r="E349">
        <v>629</v>
      </c>
      <c r="F349">
        <v>916</v>
      </c>
      <c r="G349">
        <v>151468</v>
      </c>
      <c r="H349">
        <v>151468</v>
      </c>
      <c r="I349" s="1">
        <f t="shared" si="10"/>
        <v>1.4562798092209857</v>
      </c>
      <c r="J349" s="1">
        <f t="shared" si="11"/>
        <v>1</v>
      </c>
    </row>
    <row r="350" spans="1:10">
      <c r="A350" t="s">
        <v>113</v>
      </c>
      <c r="B350">
        <v>16</v>
      </c>
      <c r="C350" t="s">
        <v>19</v>
      </c>
      <c r="D350">
        <v>1</v>
      </c>
      <c r="E350">
        <v>746</v>
      </c>
      <c r="F350">
        <v>17</v>
      </c>
      <c r="G350">
        <v>495</v>
      </c>
      <c r="H350">
        <v>229356</v>
      </c>
      <c r="I350" s="1">
        <f t="shared" si="10"/>
        <v>2.2788203753351208E-2</v>
      </c>
      <c r="J350" s="1">
        <f t="shared" si="11"/>
        <v>2.1582169204206561E-3</v>
      </c>
    </row>
    <row r="351" spans="1:10">
      <c r="A351" t="s">
        <v>113</v>
      </c>
      <c r="B351">
        <v>16</v>
      </c>
      <c r="C351" t="s">
        <v>1</v>
      </c>
      <c r="D351">
        <v>2</v>
      </c>
      <c r="E351">
        <v>746</v>
      </c>
      <c r="F351">
        <v>19</v>
      </c>
      <c r="G351">
        <v>525</v>
      </c>
      <c r="H351">
        <v>229356</v>
      </c>
      <c r="I351" s="1">
        <f t="shared" si="10"/>
        <v>2.5469168900804289E-2</v>
      </c>
      <c r="J351" s="1">
        <f t="shared" si="11"/>
        <v>2.2890179459006958E-3</v>
      </c>
    </row>
    <row r="352" spans="1:10">
      <c r="A352" t="s">
        <v>113</v>
      </c>
      <c r="B352">
        <v>16</v>
      </c>
      <c r="C352" t="s">
        <v>142</v>
      </c>
      <c r="D352">
        <v>3</v>
      </c>
      <c r="E352">
        <v>746</v>
      </c>
      <c r="F352">
        <v>20</v>
      </c>
      <c r="G352">
        <v>555</v>
      </c>
      <c r="H352">
        <v>229356</v>
      </c>
      <c r="I352" s="1">
        <f t="shared" si="10"/>
        <v>2.6809651474530832E-2</v>
      </c>
      <c r="J352" s="1">
        <f t="shared" si="11"/>
        <v>2.4198189713807356E-3</v>
      </c>
    </row>
    <row r="353" spans="1:10">
      <c r="A353" t="s">
        <v>113</v>
      </c>
      <c r="B353">
        <v>16</v>
      </c>
      <c r="C353" t="s">
        <v>22</v>
      </c>
      <c r="D353">
        <v>4</v>
      </c>
      <c r="E353">
        <v>746</v>
      </c>
      <c r="F353">
        <v>998</v>
      </c>
      <c r="G353">
        <v>229356</v>
      </c>
      <c r="H353">
        <v>229356</v>
      </c>
      <c r="I353" s="1">
        <f t="shared" si="10"/>
        <v>1.3378016085790885</v>
      </c>
      <c r="J353" s="1">
        <f t="shared" si="11"/>
        <v>1</v>
      </c>
    </row>
    <row r="354" spans="1:10">
      <c r="A354" t="s">
        <v>113</v>
      </c>
      <c r="B354">
        <v>20</v>
      </c>
      <c r="C354" t="s">
        <v>19</v>
      </c>
      <c r="D354">
        <v>1</v>
      </c>
      <c r="E354">
        <v>5</v>
      </c>
      <c r="F354">
        <v>8</v>
      </c>
      <c r="G354">
        <v>270</v>
      </c>
      <c r="H354">
        <v>438</v>
      </c>
      <c r="I354" s="1">
        <f t="shared" si="10"/>
        <v>1.6</v>
      </c>
      <c r="J354" s="1">
        <f t="shared" si="11"/>
        <v>0.61643835616438358</v>
      </c>
    </row>
    <row r="355" spans="1:10">
      <c r="A355" t="s">
        <v>113</v>
      </c>
      <c r="B355">
        <v>20</v>
      </c>
      <c r="C355" t="s">
        <v>33</v>
      </c>
      <c r="D355">
        <v>2</v>
      </c>
      <c r="E355">
        <v>5</v>
      </c>
      <c r="F355">
        <v>8.0000999999999998</v>
      </c>
      <c r="G355">
        <v>438</v>
      </c>
      <c r="H355">
        <v>438</v>
      </c>
      <c r="I355" s="1">
        <f t="shared" si="10"/>
        <v>1.60002</v>
      </c>
      <c r="J355" s="1">
        <f t="shared" si="11"/>
        <v>1</v>
      </c>
    </row>
    <row r="356" spans="1:10">
      <c r="A356" t="s">
        <v>113</v>
      </c>
      <c r="B356">
        <v>21</v>
      </c>
      <c r="C356" t="s">
        <v>19</v>
      </c>
      <c r="D356">
        <v>1</v>
      </c>
      <c r="E356">
        <v>14</v>
      </c>
      <c r="F356">
        <v>18</v>
      </c>
      <c r="G356">
        <v>841</v>
      </c>
      <c r="H356">
        <v>1558</v>
      </c>
      <c r="I356" s="1">
        <f t="shared" si="10"/>
        <v>1.2857142857142858</v>
      </c>
      <c r="J356" s="1">
        <f t="shared" si="11"/>
        <v>0.53979460847240046</v>
      </c>
    </row>
    <row r="357" spans="1:10">
      <c r="A357" t="s">
        <v>113</v>
      </c>
      <c r="B357">
        <v>21</v>
      </c>
      <c r="C357" t="s">
        <v>33</v>
      </c>
      <c r="D357">
        <v>2</v>
      </c>
      <c r="E357">
        <v>14</v>
      </c>
      <c r="F357">
        <v>19</v>
      </c>
      <c r="G357">
        <v>1558</v>
      </c>
      <c r="H357">
        <v>1558</v>
      </c>
      <c r="I357" s="1">
        <f t="shared" si="10"/>
        <v>1.3571428571428572</v>
      </c>
      <c r="J357" s="1">
        <f t="shared" si="11"/>
        <v>1</v>
      </c>
    </row>
    <row r="358" spans="1:10">
      <c r="A358" t="s">
        <v>145</v>
      </c>
      <c r="B358">
        <v>0</v>
      </c>
      <c r="C358" t="s">
        <v>33</v>
      </c>
      <c r="D358">
        <v>1</v>
      </c>
      <c r="E358">
        <v>4</v>
      </c>
      <c r="F358">
        <v>8</v>
      </c>
      <c r="G358">
        <v>233</v>
      </c>
      <c r="H358">
        <v>289</v>
      </c>
      <c r="I358" s="1">
        <f t="shared" si="10"/>
        <v>2</v>
      </c>
      <c r="J358" s="1">
        <f t="shared" si="11"/>
        <v>0.80622837370242217</v>
      </c>
    </row>
    <row r="359" spans="1:10">
      <c r="A359" t="s">
        <v>145</v>
      </c>
      <c r="B359">
        <v>0</v>
      </c>
      <c r="C359" t="s">
        <v>192</v>
      </c>
      <c r="D359">
        <v>2</v>
      </c>
      <c r="E359">
        <v>4</v>
      </c>
      <c r="F359">
        <v>8.0000999999999998</v>
      </c>
      <c r="G359">
        <v>273</v>
      </c>
      <c r="H359">
        <v>289</v>
      </c>
      <c r="I359" s="1">
        <f t="shared" si="10"/>
        <v>2.0000249999999999</v>
      </c>
      <c r="J359" s="1">
        <f t="shared" si="11"/>
        <v>0.94463667820069208</v>
      </c>
    </row>
    <row r="360" spans="1:10">
      <c r="A360" t="s">
        <v>145</v>
      </c>
      <c r="B360">
        <v>0</v>
      </c>
      <c r="C360" t="s">
        <v>147</v>
      </c>
      <c r="D360">
        <v>3</v>
      </c>
      <c r="E360">
        <v>4</v>
      </c>
      <c r="F360">
        <v>10</v>
      </c>
      <c r="G360">
        <v>289</v>
      </c>
      <c r="H360">
        <v>289</v>
      </c>
      <c r="I360" s="1">
        <f t="shared" si="10"/>
        <v>2.5</v>
      </c>
      <c r="J360" s="1">
        <f t="shared" si="11"/>
        <v>1</v>
      </c>
    </row>
    <row r="361" spans="1:10">
      <c r="A361" t="s">
        <v>145</v>
      </c>
      <c r="B361">
        <v>1</v>
      </c>
      <c r="C361" t="s">
        <v>146</v>
      </c>
      <c r="D361">
        <v>1</v>
      </c>
      <c r="E361">
        <v>11</v>
      </c>
      <c r="F361">
        <v>7</v>
      </c>
      <c r="G361">
        <v>101</v>
      </c>
      <c r="H361">
        <v>2437</v>
      </c>
      <c r="I361" s="1">
        <f t="shared" si="10"/>
        <v>0.63636363636363635</v>
      </c>
      <c r="J361" s="1">
        <f t="shared" si="11"/>
        <v>4.1444398851046366E-2</v>
      </c>
    </row>
    <row r="362" spans="1:10">
      <c r="A362" t="s">
        <v>145</v>
      </c>
      <c r="B362">
        <v>1</v>
      </c>
      <c r="C362" t="s">
        <v>33</v>
      </c>
      <c r="D362">
        <v>2</v>
      </c>
      <c r="E362">
        <v>11</v>
      </c>
      <c r="F362">
        <v>8</v>
      </c>
      <c r="G362">
        <v>312</v>
      </c>
      <c r="H362">
        <v>2437</v>
      </c>
      <c r="I362" s="1">
        <f t="shared" si="10"/>
        <v>0.72727272727272729</v>
      </c>
      <c r="J362" s="1">
        <f t="shared" si="11"/>
        <v>0.12802626179729176</v>
      </c>
    </row>
    <row r="363" spans="1:10">
      <c r="A363" t="s">
        <v>145</v>
      </c>
      <c r="B363">
        <v>1</v>
      </c>
      <c r="C363" t="s">
        <v>148</v>
      </c>
      <c r="D363">
        <v>3</v>
      </c>
      <c r="E363">
        <v>11</v>
      </c>
      <c r="F363">
        <v>16</v>
      </c>
      <c r="G363">
        <v>1953</v>
      </c>
      <c r="H363">
        <v>2437</v>
      </c>
      <c r="I363" s="1">
        <f t="shared" si="10"/>
        <v>1.4545454545454546</v>
      </c>
      <c r="J363" s="1">
        <f t="shared" si="11"/>
        <v>0.80139515798112437</v>
      </c>
    </row>
    <row r="364" spans="1:10">
      <c r="A364" t="s">
        <v>145</v>
      </c>
      <c r="B364">
        <v>1</v>
      </c>
      <c r="C364" t="s">
        <v>147</v>
      </c>
      <c r="D364">
        <v>4</v>
      </c>
      <c r="E364">
        <v>11</v>
      </c>
      <c r="F364">
        <v>19</v>
      </c>
      <c r="G364">
        <v>2437</v>
      </c>
      <c r="H364">
        <v>2437</v>
      </c>
      <c r="I364" s="1">
        <f t="shared" si="10"/>
        <v>1.7272727272727273</v>
      </c>
      <c r="J364" s="1">
        <f t="shared" si="11"/>
        <v>1</v>
      </c>
    </row>
    <row r="365" spans="1:10">
      <c r="A365" t="s">
        <v>149</v>
      </c>
      <c r="B365">
        <v>1</v>
      </c>
      <c r="C365" t="s">
        <v>150</v>
      </c>
      <c r="D365">
        <v>1</v>
      </c>
      <c r="E365">
        <v>10</v>
      </c>
      <c r="F365">
        <v>9</v>
      </c>
      <c r="G365">
        <v>185</v>
      </c>
      <c r="H365">
        <v>2726</v>
      </c>
      <c r="I365" s="1">
        <f t="shared" si="10"/>
        <v>0.9</v>
      </c>
      <c r="J365" s="1">
        <f t="shared" si="11"/>
        <v>6.7865003668378582E-2</v>
      </c>
    </row>
    <row r="366" spans="1:10">
      <c r="A366" t="s">
        <v>149</v>
      </c>
      <c r="B366">
        <v>1</v>
      </c>
      <c r="C366" t="s">
        <v>23</v>
      </c>
      <c r="D366">
        <v>2</v>
      </c>
      <c r="E366">
        <v>10</v>
      </c>
      <c r="F366">
        <v>9.0000999999999998</v>
      </c>
      <c r="G366">
        <v>318</v>
      </c>
      <c r="H366">
        <v>2726</v>
      </c>
      <c r="I366" s="1">
        <f t="shared" si="10"/>
        <v>0.90000999999999998</v>
      </c>
      <c r="J366" s="1">
        <f t="shared" si="11"/>
        <v>0.11665443873807776</v>
      </c>
    </row>
    <row r="367" spans="1:10">
      <c r="A367" t="s">
        <v>149</v>
      </c>
      <c r="B367">
        <v>1</v>
      </c>
      <c r="C367" t="s">
        <v>151</v>
      </c>
      <c r="D367">
        <v>3</v>
      </c>
      <c r="E367">
        <v>10</v>
      </c>
      <c r="F367">
        <v>11</v>
      </c>
      <c r="G367">
        <v>724</v>
      </c>
      <c r="H367">
        <v>2726</v>
      </c>
      <c r="I367" s="1">
        <f t="shared" si="10"/>
        <v>1.1000000000000001</v>
      </c>
      <c r="J367" s="1">
        <f t="shared" si="11"/>
        <v>0.26559060895084374</v>
      </c>
    </row>
    <row r="368" spans="1:10">
      <c r="A368" t="s">
        <v>149</v>
      </c>
      <c r="B368">
        <v>1</v>
      </c>
      <c r="C368" t="s">
        <v>22</v>
      </c>
      <c r="D368">
        <v>4</v>
      </c>
      <c r="E368">
        <v>10</v>
      </c>
      <c r="F368">
        <v>11.0001</v>
      </c>
      <c r="G368">
        <v>1107</v>
      </c>
      <c r="H368">
        <v>2726</v>
      </c>
      <c r="I368" s="1">
        <f t="shared" si="10"/>
        <v>1.1000099999999999</v>
      </c>
      <c r="J368" s="1">
        <f t="shared" si="11"/>
        <v>0.40608950843727071</v>
      </c>
    </row>
    <row r="369" spans="1:10">
      <c r="A369" t="s">
        <v>149</v>
      </c>
      <c r="B369">
        <v>1</v>
      </c>
      <c r="C369" t="s">
        <v>153</v>
      </c>
      <c r="D369">
        <v>5</v>
      </c>
      <c r="E369">
        <v>10</v>
      </c>
      <c r="F369">
        <v>11.0002</v>
      </c>
      <c r="G369">
        <v>1489</v>
      </c>
      <c r="H369">
        <v>2726</v>
      </c>
      <c r="I369" s="1">
        <f t="shared" si="10"/>
        <v>1.10002</v>
      </c>
      <c r="J369" s="1">
        <f t="shared" si="11"/>
        <v>0.54622157006603078</v>
      </c>
    </row>
    <row r="370" spans="1:10">
      <c r="A370" t="s">
        <v>149</v>
      </c>
      <c r="B370">
        <v>1</v>
      </c>
      <c r="C370" t="s">
        <v>154</v>
      </c>
      <c r="D370">
        <v>6</v>
      </c>
      <c r="E370">
        <v>10</v>
      </c>
      <c r="F370">
        <v>11.000299999999999</v>
      </c>
      <c r="G370">
        <v>1895</v>
      </c>
      <c r="H370">
        <v>2726</v>
      </c>
      <c r="I370" s="1">
        <f t="shared" si="10"/>
        <v>1.1000299999999998</v>
      </c>
      <c r="J370" s="1">
        <f t="shared" si="11"/>
        <v>0.69515774027879673</v>
      </c>
    </row>
    <row r="371" spans="1:10">
      <c r="A371" t="s">
        <v>149</v>
      </c>
      <c r="B371">
        <v>1</v>
      </c>
      <c r="C371" t="s">
        <v>152</v>
      </c>
      <c r="D371">
        <v>7</v>
      </c>
      <c r="E371">
        <v>10</v>
      </c>
      <c r="F371">
        <v>12</v>
      </c>
      <c r="G371">
        <v>2368</v>
      </c>
      <c r="H371">
        <v>2726</v>
      </c>
      <c r="I371" s="1">
        <f t="shared" si="10"/>
        <v>1.2</v>
      </c>
      <c r="J371" s="1">
        <f t="shared" si="11"/>
        <v>0.8686720469552458</v>
      </c>
    </row>
    <row r="372" spans="1:10">
      <c r="A372" t="s">
        <v>149</v>
      </c>
      <c r="B372">
        <v>1</v>
      </c>
      <c r="C372" t="s">
        <v>142</v>
      </c>
      <c r="D372">
        <v>8</v>
      </c>
      <c r="E372">
        <v>10</v>
      </c>
      <c r="F372">
        <v>12.0001</v>
      </c>
      <c r="G372">
        <v>2726</v>
      </c>
      <c r="H372">
        <v>2726</v>
      </c>
      <c r="I372" s="1">
        <f t="shared" si="10"/>
        <v>1.20001</v>
      </c>
      <c r="J372" s="1">
        <f t="shared" si="11"/>
        <v>1</v>
      </c>
    </row>
    <row r="373" spans="1:10">
      <c r="A373" t="s">
        <v>304</v>
      </c>
      <c r="B373">
        <v>5</v>
      </c>
      <c r="C373" t="s">
        <v>451</v>
      </c>
      <c r="D373">
        <v>1</v>
      </c>
      <c r="E373">
        <v>50</v>
      </c>
      <c r="F373">
        <v>16</v>
      </c>
      <c r="G373">
        <v>1098</v>
      </c>
      <c r="H373">
        <v>11834</v>
      </c>
      <c r="I373" s="1">
        <f t="shared" si="10"/>
        <v>0.32</v>
      </c>
      <c r="J373" s="1">
        <f t="shared" si="11"/>
        <v>9.2783505154639179E-2</v>
      </c>
    </row>
    <row r="374" spans="1:10">
      <c r="A374" t="s">
        <v>304</v>
      </c>
      <c r="B374">
        <v>5</v>
      </c>
      <c r="C374" t="s">
        <v>450</v>
      </c>
      <c r="D374">
        <v>2</v>
      </c>
      <c r="E374">
        <v>50</v>
      </c>
      <c r="F374">
        <v>16.0001</v>
      </c>
      <c r="G374">
        <v>1374</v>
      </c>
      <c r="H374">
        <v>11834</v>
      </c>
      <c r="I374" s="1">
        <f t="shared" si="10"/>
        <v>0.32000200000000001</v>
      </c>
      <c r="J374" s="1">
        <f t="shared" si="11"/>
        <v>0.11610613486564138</v>
      </c>
    </row>
    <row r="375" spans="1:10">
      <c r="A375" t="s">
        <v>304</v>
      </c>
      <c r="B375">
        <v>5</v>
      </c>
      <c r="C375" t="s">
        <v>454</v>
      </c>
      <c r="D375">
        <v>3</v>
      </c>
      <c r="E375">
        <v>50</v>
      </c>
      <c r="F375">
        <v>17</v>
      </c>
      <c r="G375">
        <v>2452</v>
      </c>
      <c r="H375">
        <v>11834</v>
      </c>
      <c r="I375" s="1">
        <f t="shared" si="10"/>
        <v>0.34</v>
      </c>
      <c r="J375" s="1">
        <f t="shared" si="11"/>
        <v>0.2071995943890485</v>
      </c>
    </row>
    <row r="376" spans="1:10">
      <c r="A376" t="s">
        <v>304</v>
      </c>
      <c r="B376">
        <v>5</v>
      </c>
      <c r="C376" t="s">
        <v>449</v>
      </c>
      <c r="D376">
        <v>4</v>
      </c>
      <c r="E376">
        <v>50</v>
      </c>
      <c r="F376">
        <v>17.0001</v>
      </c>
      <c r="G376">
        <v>2761</v>
      </c>
      <c r="H376">
        <v>11834</v>
      </c>
      <c r="I376" s="1">
        <f t="shared" si="10"/>
        <v>0.34000199999999997</v>
      </c>
      <c r="J376" s="1">
        <f t="shared" si="11"/>
        <v>0.23331079939158358</v>
      </c>
    </row>
    <row r="377" spans="1:10">
      <c r="A377" t="s">
        <v>304</v>
      </c>
      <c r="B377">
        <v>5</v>
      </c>
      <c r="C377" t="s">
        <v>456</v>
      </c>
      <c r="D377">
        <v>5</v>
      </c>
      <c r="E377">
        <v>50</v>
      </c>
      <c r="F377">
        <v>17.000198000000001</v>
      </c>
      <c r="G377">
        <v>2821</v>
      </c>
      <c r="H377">
        <v>11834</v>
      </c>
      <c r="I377" s="1">
        <f t="shared" si="10"/>
        <v>0.34000395999999999</v>
      </c>
      <c r="J377" s="1">
        <f t="shared" si="11"/>
        <v>0.2383809362852797</v>
      </c>
    </row>
    <row r="378" spans="1:10">
      <c r="A378" t="s">
        <v>304</v>
      </c>
      <c r="B378">
        <v>5</v>
      </c>
      <c r="C378" t="s">
        <v>452</v>
      </c>
      <c r="D378">
        <v>6</v>
      </c>
      <c r="E378">
        <v>50</v>
      </c>
      <c r="F378">
        <v>17.000298000000001</v>
      </c>
      <c r="G378">
        <v>3078</v>
      </c>
      <c r="H378">
        <v>11834</v>
      </c>
      <c r="I378" s="1">
        <f t="shared" si="10"/>
        <v>0.34000596</v>
      </c>
      <c r="J378" s="1">
        <f t="shared" si="11"/>
        <v>0.26009802264661147</v>
      </c>
    </row>
    <row r="379" spans="1:10">
      <c r="A379" t="s">
        <v>304</v>
      </c>
      <c r="B379">
        <v>5</v>
      </c>
      <c r="C379" t="s">
        <v>453</v>
      </c>
      <c r="D379">
        <v>7</v>
      </c>
      <c r="E379">
        <v>50</v>
      </c>
      <c r="F379">
        <v>17.000397</v>
      </c>
      <c r="G379">
        <v>3138</v>
      </c>
      <c r="H379">
        <v>11834</v>
      </c>
      <c r="I379" s="1">
        <f t="shared" si="10"/>
        <v>0.34000794000000001</v>
      </c>
      <c r="J379" s="1">
        <f t="shared" si="11"/>
        <v>0.26516815954030759</v>
      </c>
    </row>
    <row r="380" spans="1:10">
      <c r="A380" t="s">
        <v>304</v>
      </c>
      <c r="B380">
        <v>5</v>
      </c>
      <c r="C380" t="s">
        <v>458</v>
      </c>
      <c r="D380">
        <v>8</v>
      </c>
      <c r="E380">
        <v>50</v>
      </c>
      <c r="F380">
        <v>24</v>
      </c>
      <c r="G380">
        <v>3198</v>
      </c>
      <c r="H380">
        <v>11834</v>
      </c>
      <c r="I380" s="1">
        <f t="shared" si="10"/>
        <v>0.48</v>
      </c>
      <c r="J380" s="1">
        <f t="shared" si="11"/>
        <v>0.27023829643400371</v>
      </c>
    </row>
    <row r="381" spans="1:10">
      <c r="A381" t="s">
        <v>304</v>
      </c>
      <c r="B381">
        <v>5</v>
      </c>
      <c r="C381" t="s">
        <v>455</v>
      </c>
      <c r="D381">
        <v>9</v>
      </c>
      <c r="E381">
        <v>50</v>
      </c>
      <c r="F381">
        <v>24.0001</v>
      </c>
      <c r="G381">
        <v>3454</v>
      </c>
      <c r="H381">
        <v>11834</v>
      </c>
      <c r="I381" s="1">
        <f t="shared" si="10"/>
        <v>0.48000199999999998</v>
      </c>
      <c r="J381" s="1">
        <f t="shared" si="11"/>
        <v>0.29187088051377386</v>
      </c>
    </row>
    <row r="382" spans="1:10">
      <c r="A382" t="s">
        <v>304</v>
      </c>
      <c r="B382">
        <v>5</v>
      </c>
      <c r="C382" t="s">
        <v>457</v>
      </c>
      <c r="D382">
        <v>10</v>
      </c>
      <c r="E382">
        <v>50</v>
      </c>
      <c r="F382">
        <v>42</v>
      </c>
      <c r="G382">
        <v>3711</v>
      </c>
      <c r="H382">
        <v>11834</v>
      </c>
      <c r="I382" s="1">
        <f t="shared" si="10"/>
        <v>0.84</v>
      </c>
      <c r="J382" s="1">
        <f t="shared" si="11"/>
        <v>0.31358796687510565</v>
      </c>
    </row>
    <row r="383" spans="1:10">
      <c r="A383" t="s">
        <v>304</v>
      </c>
      <c r="B383">
        <v>5</v>
      </c>
      <c r="C383" t="s">
        <v>5</v>
      </c>
      <c r="D383">
        <v>11</v>
      </c>
      <c r="E383">
        <v>50</v>
      </c>
      <c r="F383">
        <v>47</v>
      </c>
      <c r="G383">
        <v>6972</v>
      </c>
      <c r="H383">
        <v>11834</v>
      </c>
      <c r="I383" s="1">
        <f t="shared" si="10"/>
        <v>0.94</v>
      </c>
      <c r="J383" s="1">
        <f t="shared" si="11"/>
        <v>0.58914990704749026</v>
      </c>
    </row>
    <row r="384" spans="1:10">
      <c r="A384" t="s">
        <v>304</v>
      </c>
      <c r="B384">
        <v>5</v>
      </c>
      <c r="C384" t="s">
        <v>459</v>
      </c>
      <c r="D384">
        <v>12</v>
      </c>
      <c r="E384">
        <v>50</v>
      </c>
      <c r="F384">
        <v>48</v>
      </c>
      <c r="G384">
        <v>9429</v>
      </c>
      <c r="H384">
        <v>11834</v>
      </c>
      <c r="I384" s="1">
        <f t="shared" si="10"/>
        <v>0.96</v>
      </c>
      <c r="J384" s="1">
        <f t="shared" si="11"/>
        <v>0.79677201284434684</v>
      </c>
    </row>
    <row r="385" spans="1:10">
      <c r="A385" t="s">
        <v>304</v>
      </c>
      <c r="B385">
        <v>5</v>
      </c>
      <c r="C385" t="s">
        <v>462</v>
      </c>
      <c r="D385">
        <v>13</v>
      </c>
      <c r="E385">
        <v>50</v>
      </c>
      <c r="F385">
        <v>49</v>
      </c>
      <c r="G385">
        <v>9429</v>
      </c>
      <c r="H385">
        <v>11834</v>
      </c>
      <c r="I385" s="1">
        <f t="shared" si="10"/>
        <v>0.98</v>
      </c>
      <c r="J385" s="1">
        <f t="shared" si="11"/>
        <v>0.79677201284434684</v>
      </c>
    </row>
    <row r="386" spans="1:10">
      <c r="A386" t="s">
        <v>304</v>
      </c>
      <c r="B386">
        <v>5</v>
      </c>
      <c r="C386" t="s">
        <v>192</v>
      </c>
      <c r="D386">
        <v>14</v>
      </c>
      <c r="E386">
        <v>50</v>
      </c>
      <c r="F386">
        <v>49.000100000000003</v>
      </c>
      <c r="G386">
        <v>9429</v>
      </c>
      <c r="H386">
        <v>11834</v>
      </c>
      <c r="I386" s="1">
        <f t="shared" si="10"/>
        <v>0.98000200000000004</v>
      </c>
      <c r="J386" s="1">
        <f t="shared" si="11"/>
        <v>0.79677201284434684</v>
      </c>
    </row>
    <row r="387" spans="1:10">
      <c r="A387" t="s">
        <v>304</v>
      </c>
      <c r="B387">
        <v>5</v>
      </c>
      <c r="C387" t="s">
        <v>22</v>
      </c>
      <c r="D387">
        <v>15</v>
      </c>
      <c r="E387">
        <v>50</v>
      </c>
      <c r="F387">
        <v>50</v>
      </c>
      <c r="G387">
        <v>9429</v>
      </c>
      <c r="H387">
        <v>11834</v>
      </c>
      <c r="I387" s="1">
        <f t="shared" ref="I387:I450" si="12">F387/E387</f>
        <v>1</v>
      </c>
      <c r="J387" s="1">
        <f t="shared" ref="J387:J450" si="13">G387/H387</f>
        <v>0.79677201284434684</v>
      </c>
    </row>
    <row r="388" spans="1:10">
      <c r="A388" t="s">
        <v>304</v>
      </c>
      <c r="B388">
        <v>5</v>
      </c>
      <c r="C388" t="s">
        <v>461</v>
      </c>
      <c r="D388">
        <v>16</v>
      </c>
      <c r="E388">
        <v>50</v>
      </c>
      <c r="F388">
        <v>51</v>
      </c>
      <c r="G388">
        <v>11834</v>
      </c>
      <c r="H388">
        <v>11834</v>
      </c>
      <c r="I388" s="1">
        <f t="shared" si="12"/>
        <v>1.02</v>
      </c>
      <c r="J388" s="1">
        <f t="shared" si="13"/>
        <v>1</v>
      </c>
    </row>
    <row r="389" spans="1:10">
      <c r="A389" t="s">
        <v>304</v>
      </c>
      <c r="B389">
        <v>5</v>
      </c>
      <c r="C389" t="s">
        <v>21</v>
      </c>
      <c r="D389">
        <v>17</v>
      </c>
      <c r="E389">
        <v>50</v>
      </c>
      <c r="F389">
        <v>53</v>
      </c>
      <c r="G389">
        <v>11834</v>
      </c>
      <c r="H389">
        <v>11834</v>
      </c>
      <c r="I389" s="1">
        <f t="shared" si="12"/>
        <v>1.06</v>
      </c>
      <c r="J389" s="1">
        <f t="shared" si="13"/>
        <v>1</v>
      </c>
    </row>
    <row r="390" spans="1:10">
      <c r="A390" t="s">
        <v>304</v>
      </c>
      <c r="B390">
        <v>5</v>
      </c>
      <c r="C390" t="s">
        <v>460</v>
      </c>
      <c r="D390">
        <v>18</v>
      </c>
      <c r="E390">
        <v>50</v>
      </c>
      <c r="F390">
        <v>62</v>
      </c>
      <c r="G390">
        <v>11834</v>
      </c>
      <c r="H390">
        <v>11834</v>
      </c>
      <c r="I390" s="1">
        <f t="shared" si="12"/>
        <v>1.24</v>
      </c>
      <c r="J390" s="1">
        <f t="shared" si="13"/>
        <v>1</v>
      </c>
    </row>
    <row r="391" spans="1:10">
      <c r="A391" t="s">
        <v>304</v>
      </c>
      <c r="B391">
        <v>6</v>
      </c>
      <c r="C391" t="s">
        <v>465</v>
      </c>
      <c r="D391">
        <v>1</v>
      </c>
      <c r="E391">
        <v>1497</v>
      </c>
      <c r="F391">
        <v>201</v>
      </c>
      <c r="G391">
        <v>70170</v>
      </c>
      <c r="H391">
        <v>542161</v>
      </c>
      <c r="I391" s="1">
        <f t="shared" si="12"/>
        <v>0.13426853707414829</v>
      </c>
      <c r="J391" s="1">
        <f t="shared" si="13"/>
        <v>0.12942649877066037</v>
      </c>
    </row>
    <row r="392" spans="1:10">
      <c r="A392" t="s">
        <v>304</v>
      </c>
      <c r="B392">
        <v>6</v>
      </c>
      <c r="C392" t="s">
        <v>464</v>
      </c>
      <c r="D392">
        <v>2</v>
      </c>
      <c r="E392">
        <v>1497</v>
      </c>
      <c r="F392">
        <v>212</v>
      </c>
      <c r="G392">
        <v>76157</v>
      </c>
      <c r="H392">
        <v>542161</v>
      </c>
      <c r="I392" s="1">
        <f t="shared" si="12"/>
        <v>0.14161656646626586</v>
      </c>
      <c r="J392" s="1">
        <f t="shared" si="13"/>
        <v>0.14046934397715807</v>
      </c>
    </row>
    <row r="393" spans="1:10">
      <c r="A393" t="s">
        <v>304</v>
      </c>
      <c r="B393">
        <v>6</v>
      </c>
      <c r="C393" t="s">
        <v>463</v>
      </c>
      <c r="D393">
        <v>3</v>
      </c>
      <c r="E393">
        <v>1497</v>
      </c>
      <c r="F393">
        <v>421</v>
      </c>
      <c r="G393">
        <v>76889</v>
      </c>
      <c r="H393">
        <v>542161</v>
      </c>
      <c r="I393" s="1">
        <f t="shared" si="12"/>
        <v>0.28122912491649965</v>
      </c>
      <c r="J393" s="1">
        <f t="shared" si="13"/>
        <v>0.14181949642264935</v>
      </c>
    </row>
    <row r="394" spans="1:10">
      <c r="A394" t="s">
        <v>304</v>
      </c>
      <c r="B394">
        <v>6</v>
      </c>
      <c r="C394" t="s">
        <v>467</v>
      </c>
      <c r="D394">
        <v>4</v>
      </c>
      <c r="E394">
        <v>1497</v>
      </c>
      <c r="F394">
        <v>428</v>
      </c>
      <c r="G394">
        <v>97539</v>
      </c>
      <c r="H394">
        <v>542161</v>
      </c>
      <c r="I394" s="1">
        <f t="shared" si="12"/>
        <v>0.28590514362057451</v>
      </c>
      <c r="J394" s="1">
        <f t="shared" si="13"/>
        <v>0.17990781336171358</v>
      </c>
    </row>
    <row r="395" spans="1:10">
      <c r="A395" t="s">
        <v>304</v>
      </c>
      <c r="B395">
        <v>6</v>
      </c>
      <c r="C395" t="s">
        <v>469</v>
      </c>
      <c r="D395">
        <v>5</v>
      </c>
      <c r="E395">
        <v>1497</v>
      </c>
      <c r="F395">
        <v>437</v>
      </c>
      <c r="G395">
        <v>145502</v>
      </c>
      <c r="H395">
        <v>542161</v>
      </c>
      <c r="I395" s="1">
        <f t="shared" si="12"/>
        <v>0.29191716766867065</v>
      </c>
      <c r="J395" s="1">
        <f t="shared" si="13"/>
        <v>0.26837415454080982</v>
      </c>
    </row>
    <row r="396" spans="1:10">
      <c r="A396" t="s">
        <v>304</v>
      </c>
      <c r="B396">
        <v>6</v>
      </c>
      <c r="C396" t="s">
        <v>473</v>
      </c>
      <c r="D396">
        <v>6</v>
      </c>
      <c r="E396">
        <v>1497</v>
      </c>
      <c r="F396">
        <v>437.00009999999997</v>
      </c>
      <c r="G396">
        <v>152444</v>
      </c>
      <c r="H396">
        <v>542161</v>
      </c>
      <c r="I396" s="1">
        <f t="shared" si="12"/>
        <v>0.29191723446893786</v>
      </c>
      <c r="J396" s="1">
        <f t="shared" si="13"/>
        <v>0.28117846912632966</v>
      </c>
    </row>
    <row r="397" spans="1:10">
      <c r="A397" t="s">
        <v>304</v>
      </c>
      <c r="B397">
        <v>6</v>
      </c>
      <c r="C397" t="s">
        <v>466</v>
      </c>
      <c r="D397">
        <v>7</v>
      </c>
      <c r="E397">
        <v>1497</v>
      </c>
      <c r="F397">
        <v>449</v>
      </c>
      <c r="G397">
        <v>178856</v>
      </c>
      <c r="H397">
        <v>542161</v>
      </c>
      <c r="I397" s="1">
        <f t="shared" si="12"/>
        <v>0.29993319973279892</v>
      </c>
      <c r="J397" s="1">
        <f t="shared" si="13"/>
        <v>0.32989462539725284</v>
      </c>
    </row>
    <row r="398" spans="1:10">
      <c r="A398" t="s">
        <v>304</v>
      </c>
      <c r="B398">
        <v>6</v>
      </c>
      <c r="C398" t="s">
        <v>468</v>
      </c>
      <c r="D398">
        <v>8</v>
      </c>
      <c r="E398">
        <v>1497</v>
      </c>
      <c r="F398">
        <v>470</v>
      </c>
      <c r="G398">
        <v>186048</v>
      </c>
      <c r="H398">
        <v>542161</v>
      </c>
      <c r="I398" s="1">
        <f t="shared" si="12"/>
        <v>0.31396125584502338</v>
      </c>
      <c r="J398" s="1">
        <f t="shared" si="13"/>
        <v>0.34316005762126012</v>
      </c>
    </row>
    <row r="399" spans="1:10">
      <c r="A399" t="s">
        <v>304</v>
      </c>
      <c r="B399">
        <v>6</v>
      </c>
      <c r="C399" t="s">
        <v>475</v>
      </c>
      <c r="D399">
        <v>9</v>
      </c>
      <c r="E399">
        <v>1497</v>
      </c>
      <c r="F399">
        <v>473</v>
      </c>
      <c r="G399">
        <v>186206</v>
      </c>
      <c r="H399">
        <v>542161</v>
      </c>
      <c r="I399" s="1">
        <f t="shared" si="12"/>
        <v>0.31596526386105545</v>
      </c>
      <c r="J399" s="1">
        <f t="shared" si="13"/>
        <v>0.34345148396878417</v>
      </c>
    </row>
    <row r="400" spans="1:10">
      <c r="A400" t="s">
        <v>304</v>
      </c>
      <c r="B400">
        <v>6</v>
      </c>
      <c r="C400" t="s">
        <v>476</v>
      </c>
      <c r="D400">
        <v>10</v>
      </c>
      <c r="E400">
        <v>1497</v>
      </c>
      <c r="F400">
        <v>512</v>
      </c>
      <c r="G400">
        <v>212718</v>
      </c>
      <c r="H400">
        <v>542161</v>
      </c>
      <c r="I400" s="1">
        <f t="shared" si="12"/>
        <v>0.34201736806947231</v>
      </c>
      <c r="J400" s="1">
        <f t="shared" si="13"/>
        <v>0.3923520872951024</v>
      </c>
    </row>
    <row r="401" spans="1:10">
      <c r="A401" t="s">
        <v>304</v>
      </c>
      <c r="B401">
        <v>6</v>
      </c>
      <c r="C401" t="s">
        <v>470</v>
      </c>
      <c r="D401">
        <v>11</v>
      </c>
      <c r="E401">
        <v>1497</v>
      </c>
      <c r="F401">
        <v>519</v>
      </c>
      <c r="G401">
        <v>226835</v>
      </c>
      <c r="H401">
        <v>542161</v>
      </c>
      <c r="I401" s="1">
        <f t="shared" si="12"/>
        <v>0.34669338677354711</v>
      </c>
      <c r="J401" s="1">
        <f t="shared" si="13"/>
        <v>0.41839047810521229</v>
      </c>
    </row>
    <row r="402" spans="1:10">
      <c r="A402" t="s">
        <v>304</v>
      </c>
      <c r="B402">
        <v>6</v>
      </c>
      <c r="C402" t="s">
        <v>472</v>
      </c>
      <c r="D402">
        <v>12</v>
      </c>
      <c r="E402">
        <v>1497</v>
      </c>
      <c r="F402">
        <v>525</v>
      </c>
      <c r="G402">
        <v>351428</v>
      </c>
      <c r="H402">
        <v>542161</v>
      </c>
      <c r="I402" s="1">
        <f t="shared" si="12"/>
        <v>0.35070140280561124</v>
      </c>
      <c r="J402" s="1">
        <f t="shared" si="13"/>
        <v>0.64819859783348488</v>
      </c>
    </row>
    <row r="403" spans="1:10">
      <c r="A403" t="s">
        <v>304</v>
      </c>
      <c r="B403">
        <v>6</v>
      </c>
      <c r="C403" t="s">
        <v>474</v>
      </c>
      <c r="D403">
        <v>13</v>
      </c>
      <c r="E403">
        <v>1497</v>
      </c>
      <c r="F403">
        <v>543</v>
      </c>
      <c r="G403">
        <v>471364</v>
      </c>
      <c r="H403">
        <v>542161</v>
      </c>
      <c r="I403" s="1">
        <f t="shared" si="12"/>
        <v>0.36272545090180358</v>
      </c>
      <c r="J403" s="1">
        <f t="shared" si="13"/>
        <v>0.86941701819201311</v>
      </c>
    </row>
    <row r="404" spans="1:10">
      <c r="A404" t="s">
        <v>304</v>
      </c>
      <c r="B404">
        <v>6</v>
      </c>
      <c r="C404" t="s">
        <v>477</v>
      </c>
      <c r="D404">
        <v>14</v>
      </c>
      <c r="E404">
        <v>1497</v>
      </c>
      <c r="F404">
        <v>661</v>
      </c>
      <c r="G404">
        <v>478306</v>
      </c>
      <c r="H404">
        <v>542161</v>
      </c>
      <c r="I404" s="1">
        <f t="shared" si="12"/>
        <v>0.44154976619906477</v>
      </c>
      <c r="J404" s="1">
        <f t="shared" si="13"/>
        <v>0.8822213327775329</v>
      </c>
    </row>
    <row r="405" spans="1:10">
      <c r="A405" t="s">
        <v>304</v>
      </c>
      <c r="B405">
        <v>6</v>
      </c>
      <c r="C405" t="s">
        <v>471</v>
      </c>
      <c r="D405">
        <v>15</v>
      </c>
      <c r="E405">
        <v>1497</v>
      </c>
      <c r="F405">
        <v>675</v>
      </c>
      <c r="G405">
        <v>542161</v>
      </c>
      <c r="H405">
        <v>542161</v>
      </c>
      <c r="I405" s="1">
        <f t="shared" si="12"/>
        <v>0.45090180360721444</v>
      </c>
      <c r="J405" s="1">
        <f t="shared" si="13"/>
        <v>1</v>
      </c>
    </row>
    <row r="406" spans="1:10">
      <c r="A406" t="s">
        <v>155</v>
      </c>
      <c r="B406">
        <v>9</v>
      </c>
      <c r="C406" t="s">
        <v>157</v>
      </c>
      <c r="D406">
        <v>1</v>
      </c>
      <c r="E406">
        <v>4</v>
      </c>
      <c r="F406">
        <v>5</v>
      </c>
      <c r="G406">
        <v>55</v>
      </c>
      <c r="H406">
        <v>295</v>
      </c>
      <c r="I406" s="1">
        <f t="shared" si="12"/>
        <v>1.25</v>
      </c>
      <c r="J406" s="1">
        <f t="shared" si="13"/>
        <v>0.1864406779661017</v>
      </c>
    </row>
    <row r="407" spans="1:10">
      <c r="A407" t="s">
        <v>155</v>
      </c>
      <c r="B407">
        <v>9</v>
      </c>
      <c r="C407" t="s">
        <v>156</v>
      </c>
      <c r="D407">
        <v>2</v>
      </c>
      <c r="E407">
        <v>4</v>
      </c>
      <c r="F407">
        <v>5.0000999999999998</v>
      </c>
      <c r="G407">
        <v>66</v>
      </c>
      <c r="H407">
        <v>295</v>
      </c>
      <c r="I407" s="1">
        <f t="shared" si="12"/>
        <v>1.2500249999999999</v>
      </c>
      <c r="J407" s="1">
        <f t="shared" si="13"/>
        <v>0.22372881355932203</v>
      </c>
    </row>
    <row r="408" spans="1:10">
      <c r="A408" t="s">
        <v>155</v>
      </c>
      <c r="B408">
        <v>9</v>
      </c>
      <c r="C408" t="s">
        <v>159</v>
      </c>
      <c r="D408">
        <v>3</v>
      </c>
      <c r="E408">
        <v>4</v>
      </c>
      <c r="F408">
        <v>5.0002003000000004</v>
      </c>
      <c r="G408">
        <v>66</v>
      </c>
      <c r="H408">
        <v>295</v>
      </c>
      <c r="I408" s="1">
        <f t="shared" si="12"/>
        <v>1.2500500750000001</v>
      </c>
      <c r="J408" s="1">
        <f t="shared" si="13"/>
        <v>0.22372881355932203</v>
      </c>
    </row>
    <row r="409" spans="1:10">
      <c r="A409" t="s">
        <v>155</v>
      </c>
      <c r="B409">
        <v>9</v>
      </c>
      <c r="C409" t="s">
        <v>162</v>
      </c>
      <c r="D409">
        <v>4</v>
      </c>
      <c r="E409">
        <v>4</v>
      </c>
      <c r="F409">
        <v>5.0003004000000004</v>
      </c>
      <c r="G409">
        <v>66</v>
      </c>
      <c r="H409">
        <v>295</v>
      </c>
      <c r="I409" s="1">
        <f t="shared" si="12"/>
        <v>1.2500751000000001</v>
      </c>
      <c r="J409" s="1">
        <f t="shared" si="13"/>
        <v>0.22372881355932203</v>
      </c>
    </row>
    <row r="410" spans="1:10">
      <c r="A410" t="s">
        <v>155</v>
      </c>
      <c r="B410">
        <v>9</v>
      </c>
      <c r="C410" t="s">
        <v>161</v>
      </c>
      <c r="D410">
        <v>5</v>
      </c>
      <c r="E410">
        <v>4</v>
      </c>
      <c r="F410">
        <v>5.0004004999999996</v>
      </c>
      <c r="G410">
        <v>80</v>
      </c>
      <c r="H410">
        <v>295</v>
      </c>
      <c r="I410" s="1">
        <f t="shared" si="12"/>
        <v>1.2501001249999999</v>
      </c>
      <c r="J410" s="1">
        <f t="shared" si="13"/>
        <v>0.2711864406779661</v>
      </c>
    </row>
    <row r="411" spans="1:10">
      <c r="A411" t="s">
        <v>155</v>
      </c>
      <c r="B411">
        <v>9</v>
      </c>
      <c r="C411" t="s">
        <v>164</v>
      </c>
      <c r="D411">
        <v>6</v>
      </c>
      <c r="E411">
        <v>4</v>
      </c>
      <c r="F411">
        <v>5.0005006999999999</v>
      </c>
      <c r="G411">
        <v>83</v>
      </c>
      <c r="H411">
        <v>295</v>
      </c>
      <c r="I411" s="1">
        <f t="shared" si="12"/>
        <v>1.250125175</v>
      </c>
      <c r="J411" s="1">
        <f t="shared" si="13"/>
        <v>0.28135593220338984</v>
      </c>
    </row>
    <row r="412" spans="1:10">
      <c r="A412" t="s">
        <v>155</v>
      </c>
      <c r="B412">
        <v>9</v>
      </c>
      <c r="C412" t="s">
        <v>168</v>
      </c>
      <c r="D412">
        <v>7</v>
      </c>
      <c r="E412">
        <v>4</v>
      </c>
      <c r="F412">
        <v>5.0006009999999996</v>
      </c>
      <c r="G412">
        <v>89</v>
      </c>
      <c r="H412">
        <v>295</v>
      </c>
      <c r="I412" s="1">
        <f t="shared" si="12"/>
        <v>1.2501502499999999</v>
      </c>
      <c r="J412" s="1">
        <f t="shared" si="13"/>
        <v>0.30169491525423731</v>
      </c>
    </row>
    <row r="413" spans="1:10">
      <c r="A413" t="s">
        <v>155</v>
      </c>
      <c r="B413">
        <v>9</v>
      </c>
      <c r="C413" t="s">
        <v>160</v>
      </c>
      <c r="D413">
        <v>8</v>
      </c>
      <c r="E413">
        <v>4</v>
      </c>
      <c r="F413">
        <v>5.0007010000000003</v>
      </c>
      <c r="G413">
        <v>89</v>
      </c>
      <c r="H413">
        <v>295</v>
      </c>
      <c r="I413" s="1">
        <f t="shared" si="12"/>
        <v>1.2501752500000001</v>
      </c>
      <c r="J413" s="1">
        <f t="shared" si="13"/>
        <v>0.30169491525423731</v>
      </c>
    </row>
    <row r="414" spans="1:10">
      <c r="A414" t="s">
        <v>155</v>
      </c>
      <c r="B414">
        <v>9</v>
      </c>
      <c r="C414" t="s">
        <v>21</v>
      </c>
      <c r="D414">
        <v>9</v>
      </c>
      <c r="E414">
        <v>4</v>
      </c>
      <c r="F414">
        <v>5.0008010000000001</v>
      </c>
      <c r="G414">
        <v>99</v>
      </c>
      <c r="H414">
        <v>295</v>
      </c>
      <c r="I414" s="1">
        <f t="shared" si="12"/>
        <v>1.25020025</v>
      </c>
      <c r="J414" s="1">
        <f t="shared" si="13"/>
        <v>0.33559322033898303</v>
      </c>
    </row>
    <row r="415" spans="1:10">
      <c r="A415" t="s">
        <v>155</v>
      </c>
      <c r="B415">
        <v>9</v>
      </c>
      <c r="C415" t="s">
        <v>165</v>
      </c>
      <c r="D415">
        <v>10</v>
      </c>
      <c r="E415">
        <v>4</v>
      </c>
      <c r="F415">
        <v>5.0009009999999998</v>
      </c>
      <c r="G415">
        <v>99</v>
      </c>
      <c r="H415">
        <v>295</v>
      </c>
      <c r="I415" s="1">
        <f t="shared" si="12"/>
        <v>1.25022525</v>
      </c>
      <c r="J415" s="1">
        <f t="shared" si="13"/>
        <v>0.33559322033898303</v>
      </c>
    </row>
    <row r="416" spans="1:10">
      <c r="A416" t="s">
        <v>155</v>
      </c>
      <c r="B416">
        <v>9</v>
      </c>
      <c r="C416" t="s">
        <v>171</v>
      </c>
      <c r="D416">
        <v>11</v>
      </c>
      <c r="E416">
        <v>4</v>
      </c>
      <c r="F416">
        <v>5.0010013999999998</v>
      </c>
      <c r="G416">
        <v>100</v>
      </c>
      <c r="H416">
        <v>295</v>
      </c>
      <c r="I416" s="1">
        <f t="shared" si="12"/>
        <v>1.25025035</v>
      </c>
      <c r="J416" s="1">
        <f t="shared" si="13"/>
        <v>0.33898305084745761</v>
      </c>
    </row>
    <row r="417" spans="1:10">
      <c r="A417" t="s">
        <v>155</v>
      </c>
      <c r="B417">
        <v>9</v>
      </c>
      <c r="C417" t="s">
        <v>167</v>
      </c>
      <c r="D417">
        <v>12</v>
      </c>
      <c r="E417">
        <v>4</v>
      </c>
      <c r="F417">
        <v>5.0011014999999999</v>
      </c>
      <c r="G417">
        <v>145</v>
      </c>
      <c r="H417">
        <v>295</v>
      </c>
      <c r="I417" s="1">
        <f t="shared" si="12"/>
        <v>1.250275375</v>
      </c>
      <c r="J417" s="1">
        <f t="shared" si="13"/>
        <v>0.49152542372881358</v>
      </c>
    </row>
    <row r="418" spans="1:10">
      <c r="A418" t="s">
        <v>155</v>
      </c>
      <c r="B418">
        <v>9</v>
      </c>
      <c r="C418" t="s">
        <v>169</v>
      </c>
      <c r="D418">
        <v>13</v>
      </c>
      <c r="E418">
        <v>4</v>
      </c>
      <c r="F418">
        <v>5.0012015999999999</v>
      </c>
      <c r="G418">
        <v>145</v>
      </c>
      <c r="H418">
        <v>295</v>
      </c>
      <c r="I418" s="1">
        <f t="shared" si="12"/>
        <v>1.2503004</v>
      </c>
      <c r="J418" s="1">
        <f t="shared" si="13"/>
        <v>0.49152542372881358</v>
      </c>
    </row>
    <row r="419" spans="1:10">
      <c r="A419" t="s">
        <v>155</v>
      </c>
      <c r="B419">
        <v>9</v>
      </c>
      <c r="C419" t="s">
        <v>158</v>
      </c>
      <c r="D419">
        <v>14</v>
      </c>
      <c r="E419">
        <v>4</v>
      </c>
      <c r="F419">
        <v>6</v>
      </c>
      <c r="G419">
        <v>193</v>
      </c>
      <c r="H419">
        <v>295</v>
      </c>
      <c r="I419" s="1">
        <f t="shared" si="12"/>
        <v>1.5</v>
      </c>
      <c r="J419" s="1">
        <f t="shared" si="13"/>
        <v>0.65423728813559323</v>
      </c>
    </row>
    <row r="420" spans="1:10">
      <c r="A420" t="s">
        <v>155</v>
      </c>
      <c r="B420">
        <v>9</v>
      </c>
      <c r="C420" t="s">
        <v>163</v>
      </c>
      <c r="D420">
        <v>15</v>
      </c>
      <c r="E420">
        <v>4</v>
      </c>
      <c r="F420">
        <v>7</v>
      </c>
      <c r="G420">
        <v>289</v>
      </c>
      <c r="H420">
        <v>295</v>
      </c>
      <c r="I420" s="1">
        <f t="shared" si="12"/>
        <v>1.75</v>
      </c>
      <c r="J420" s="1">
        <f t="shared" si="13"/>
        <v>0.97966101694915253</v>
      </c>
    </row>
    <row r="421" spans="1:10">
      <c r="A421" t="s">
        <v>155</v>
      </c>
      <c r="B421">
        <v>9</v>
      </c>
      <c r="C421" t="s">
        <v>166</v>
      </c>
      <c r="D421">
        <v>16</v>
      </c>
      <c r="E421">
        <v>4</v>
      </c>
      <c r="F421">
        <v>7.0000999999999998</v>
      </c>
      <c r="G421">
        <v>289</v>
      </c>
      <c r="H421">
        <v>295</v>
      </c>
      <c r="I421" s="1">
        <f t="shared" si="12"/>
        <v>1.7500249999999999</v>
      </c>
      <c r="J421" s="1">
        <f t="shared" si="13"/>
        <v>0.97966101694915253</v>
      </c>
    </row>
    <row r="422" spans="1:10">
      <c r="A422" t="s">
        <v>155</v>
      </c>
      <c r="B422">
        <v>9</v>
      </c>
      <c r="C422" t="s">
        <v>170</v>
      </c>
      <c r="D422">
        <v>17</v>
      </c>
      <c r="E422">
        <v>4</v>
      </c>
      <c r="F422">
        <v>7.0002003000000004</v>
      </c>
      <c r="G422">
        <v>294</v>
      </c>
      <c r="H422">
        <v>295</v>
      </c>
      <c r="I422" s="1">
        <f t="shared" si="12"/>
        <v>1.7500500750000001</v>
      </c>
      <c r="J422" s="1">
        <f t="shared" si="13"/>
        <v>0.99661016949152548</v>
      </c>
    </row>
    <row r="423" spans="1:10">
      <c r="A423" t="s">
        <v>155</v>
      </c>
      <c r="B423">
        <v>9</v>
      </c>
      <c r="C423" t="s">
        <v>172</v>
      </c>
      <c r="D423">
        <v>18</v>
      </c>
      <c r="E423">
        <v>4</v>
      </c>
      <c r="F423">
        <v>7.0003004000000004</v>
      </c>
      <c r="G423">
        <v>295</v>
      </c>
      <c r="H423">
        <v>295</v>
      </c>
      <c r="I423" s="1">
        <f t="shared" si="12"/>
        <v>1.7500751000000001</v>
      </c>
      <c r="J423" s="1">
        <f t="shared" si="13"/>
        <v>1</v>
      </c>
    </row>
    <row r="424" spans="1:10">
      <c r="A424" t="s">
        <v>155</v>
      </c>
      <c r="B424">
        <v>10</v>
      </c>
      <c r="C424" t="s">
        <v>0</v>
      </c>
      <c r="D424">
        <v>1</v>
      </c>
      <c r="E424">
        <v>4</v>
      </c>
      <c r="F424">
        <v>9</v>
      </c>
      <c r="G424">
        <v>248</v>
      </c>
      <c r="H424">
        <v>311</v>
      </c>
      <c r="I424" s="1">
        <f t="shared" si="12"/>
        <v>2.25</v>
      </c>
      <c r="J424" s="1">
        <f t="shared" si="13"/>
        <v>0.797427652733119</v>
      </c>
    </row>
    <row r="425" spans="1:10">
      <c r="A425" t="s">
        <v>155</v>
      </c>
      <c r="B425">
        <v>10</v>
      </c>
      <c r="C425" t="s">
        <v>1</v>
      </c>
      <c r="D425">
        <v>2</v>
      </c>
      <c r="E425">
        <v>4</v>
      </c>
      <c r="F425">
        <v>10</v>
      </c>
      <c r="G425">
        <v>290</v>
      </c>
      <c r="H425">
        <v>311</v>
      </c>
      <c r="I425" s="1">
        <f t="shared" si="12"/>
        <v>2.5</v>
      </c>
      <c r="J425" s="1">
        <f t="shared" si="13"/>
        <v>0.932475884244373</v>
      </c>
    </row>
    <row r="426" spans="1:10">
      <c r="A426" t="s">
        <v>155</v>
      </c>
      <c r="B426">
        <v>10</v>
      </c>
      <c r="C426" t="s">
        <v>3</v>
      </c>
      <c r="D426">
        <v>3</v>
      </c>
      <c r="E426">
        <v>4</v>
      </c>
      <c r="F426">
        <v>10.0001</v>
      </c>
      <c r="G426">
        <v>311</v>
      </c>
      <c r="H426">
        <v>311</v>
      </c>
      <c r="I426" s="1">
        <f t="shared" si="12"/>
        <v>2.5000249999999999</v>
      </c>
      <c r="J426" s="1">
        <f t="shared" si="13"/>
        <v>1</v>
      </c>
    </row>
    <row r="427" spans="1:10">
      <c r="A427" t="s">
        <v>155</v>
      </c>
      <c r="B427">
        <v>10</v>
      </c>
      <c r="C427" t="s">
        <v>2</v>
      </c>
      <c r="D427">
        <v>4</v>
      </c>
      <c r="E427">
        <v>4</v>
      </c>
      <c r="F427">
        <v>10.0002</v>
      </c>
      <c r="G427">
        <v>311</v>
      </c>
      <c r="H427">
        <v>311</v>
      </c>
      <c r="I427" s="1">
        <f t="shared" si="12"/>
        <v>2.5000499999999999</v>
      </c>
      <c r="J427" s="1">
        <f t="shared" si="13"/>
        <v>1</v>
      </c>
    </row>
    <row r="428" spans="1:10">
      <c r="A428" t="s">
        <v>155</v>
      </c>
      <c r="B428">
        <v>11</v>
      </c>
      <c r="C428" t="s">
        <v>173</v>
      </c>
      <c r="D428">
        <v>1</v>
      </c>
      <c r="E428">
        <v>10</v>
      </c>
      <c r="F428">
        <v>7</v>
      </c>
      <c r="G428">
        <v>69</v>
      </c>
      <c r="H428">
        <v>3114</v>
      </c>
      <c r="I428" s="1">
        <f t="shared" si="12"/>
        <v>0.7</v>
      </c>
      <c r="J428" s="1">
        <f t="shared" si="13"/>
        <v>2.2157996146435453E-2</v>
      </c>
    </row>
    <row r="429" spans="1:10">
      <c r="A429" t="s">
        <v>155</v>
      </c>
      <c r="B429">
        <v>11</v>
      </c>
      <c r="C429" t="s">
        <v>176</v>
      </c>
      <c r="D429">
        <v>2</v>
      </c>
      <c r="E429">
        <v>10</v>
      </c>
      <c r="F429">
        <v>11</v>
      </c>
      <c r="G429">
        <v>649</v>
      </c>
      <c r="H429">
        <v>3114</v>
      </c>
      <c r="I429" s="1">
        <f t="shared" si="12"/>
        <v>1.1000000000000001</v>
      </c>
      <c r="J429" s="1">
        <f t="shared" si="13"/>
        <v>0.20841361592806679</v>
      </c>
    </row>
    <row r="430" spans="1:10">
      <c r="A430" t="s">
        <v>155</v>
      </c>
      <c r="B430">
        <v>11</v>
      </c>
      <c r="C430" t="s">
        <v>177</v>
      </c>
      <c r="D430">
        <v>3</v>
      </c>
      <c r="E430">
        <v>10</v>
      </c>
      <c r="F430">
        <v>11.0001</v>
      </c>
      <c r="G430">
        <v>806</v>
      </c>
      <c r="H430">
        <v>3114</v>
      </c>
      <c r="I430" s="1">
        <f t="shared" si="12"/>
        <v>1.1000099999999999</v>
      </c>
      <c r="J430" s="1">
        <f t="shared" si="13"/>
        <v>0.25883108542068078</v>
      </c>
    </row>
    <row r="431" spans="1:10">
      <c r="A431" t="s">
        <v>155</v>
      </c>
      <c r="B431">
        <v>11</v>
      </c>
      <c r="C431" t="s">
        <v>174</v>
      </c>
      <c r="D431">
        <v>4</v>
      </c>
      <c r="E431">
        <v>10</v>
      </c>
      <c r="F431">
        <v>11.0002</v>
      </c>
      <c r="G431">
        <v>955</v>
      </c>
      <c r="H431">
        <v>3114</v>
      </c>
      <c r="I431" s="1">
        <f t="shared" si="12"/>
        <v>1.10002</v>
      </c>
      <c r="J431" s="1">
        <f t="shared" si="13"/>
        <v>0.30667951188182402</v>
      </c>
    </row>
    <row r="432" spans="1:10">
      <c r="A432" t="s">
        <v>155</v>
      </c>
      <c r="B432">
        <v>11</v>
      </c>
      <c r="C432" t="s">
        <v>184</v>
      </c>
      <c r="D432">
        <v>5</v>
      </c>
      <c r="E432">
        <v>10</v>
      </c>
      <c r="F432">
        <v>12</v>
      </c>
      <c r="G432">
        <v>1150</v>
      </c>
      <c r="H432">
        <v>3114</v>
      </c>
      <c r="I432" s="1">
        <f t="shared" si="12"/>
        <v>1.2</v>
      </c>
      <c r="J432" s="1">
        <f t="shared" si="13"/>
        <v>0.36929993577392423</v>
      </c>
    </row>
    <row r="433" spans="1:10">
      <c r="A433" t="s">
        <v>155</v>
      </c>
      <c r="B433">
        <v>11</v>
      </c>
      <c r="C433" t="s">
        <v>185</v>
      </c>
      <c r="D433">
        <v>6</v>
      </c>
      <c r="E433">
        <v>10</v>
      </c>
      <c r="F433">
        <v>12.0001</v>
      </c>
      <c r="G433">
        <v>1833</v>
      </c>
      <c r="H433">
        <v>3114</v>
      </c>
      <c r="I433" s="1">
        <f t="shared" si="12"/>
        <v>1.20001</v>
      </c>
      <c r="J433" s="1">
        <f t="shared" si="13"/>
        <v>0.58863198458574184</v>
      </c>
    </row>
    <row r="434" spans="1:10">
      <c r="A434" t="s">
        <v>155</v>
      </c>
      <c r="B434">
        <v>11</v>
      </c>
      <c r="C434" t="s">
        <v>183</v>
      </c>
      <c r="D434">
        <v>7</v>
      </c>
      <c r="E434">
        <v>10</v>
      </c>
      <c r="F434">
        <v>12.0002</v>
      </c>
      <c r="G434">
        <v>1863</v>
      </c>
      <c r="H434">
        <v>3114</v>
      </c>
      <c r="I434" s="1">
        <f t="shared" si="12"/>
        <v>1.2000199999999999</v>
      </c>
      <c r="J434" s="1">
        <f t="shared" si="13"/>
        <v>0.59826589595375723</v>
      </c>
    </row>
    <row r="435" spans="1:10">
      <c r="A435" t="s">
        <v>155</v>
      </c>
      <c r="B435">
        <v>11</v>
      </c>
      <c r="C435" t="s">
        <v>178</v>
      </c>
      <c r="D435">
        <v>8</v>
      </c>
      <c r="E435">
        <v>10</v>
      </c>
      <c r="F435">
        <v>13</v>
      </c>
      <c r="G435">
        <v>1888</v>
      </c>
      <c r="H435">
        <v>3114</v>
      </c>
      <c r="I435" s="1">
        <f t="shared" si="12"/>
        <v>1.3</v>
      </c>
      <c r="J435" s="1">
        <f t="shared" si="13"/>
        <v>0.60629415542710341</v>
      </c>
    </row>
    <row r="436" spans="1:10">
      <c r="A436" t="s">
        <v>155</v>
      </c>
      <c r="B436">
        <v>11</v>
      </c>
      <c r="C436" t="s">
        <v>181</v>
      </c>
      <c r="D436">
        <v>9</v>
      </c>
      <c r="E436">
        <v>10</v>
      </c>
      <c r="F436">
        <v>13.0001</v>
      </c>
      <c r="G436">
        <v>1936</v>
      </c>
      <c r="H436">
        <v>3114</v>
      </c>
      <c r="I436" s="1">
        <f t="shared" si="12"/>
        <v>1.3000099999999999</v>
      </c>
      <c r="J436" s="1">
        <f t="shared" si="13"/>
        <v>0.6217084136159281</v>
      </c>
    </row>
    <row r="437" spans="1:10">
      <c r="A437" t="s">
        <v>155</v>
      </c>
      <c r="B437">
        <v>11</v>
      </c>
      <c r="C437" t="s">
        <v>190</v>
      </c>
      <c r="D437">
        <v>10</v>
      </c>
      <c r="E437">
        <v>10</v>
      </c>
      <c r="F437">
        <v>13.0002</v>
      </c>
      <c r="G437">
        <v>2264</v>
      </c>
      <c r="H437">
        <v>3114</v>
      </c>
      <c r="I437" s="1">
        <f t="shared" si="12"/>
        <v>1.30002</v>
      </c>
      <c r="J437" s="1">
        <f t="shared" si="13"/>
        <v>0.72703917790622996</v>
      </c>
    </row>
    <row r="438" spans="1:10">
      <c r="A438" t="s">
        <v>155</v>
      </c>
      <c r="B438">
        <v>11</v>
      </c>
      <c r="C438" t="s">
        <v>180</v>
      </c>
      <c r="D438">
        <v>11</v>
      </c>
      <c r="E438">
        <v>10</v>
      </c>
      <c r="F438">
        <v>14</v>
      </c>
      <c r="G438">
        <v>2264</v>
      </c>
      <c r="H438">
        <v>3114</v>
      </c>
      <c r="I438" s="1">
        <f t="shared" si="12"/>
        <v>1.4</v>
      </c>
      <c r="J438" s="1">
        <f t="shared" si="13"/>
        <v>0.72703917790622996</v>
      </c>
    </row>
    <row r="439" spans="1:10">
      <c r="A439" t="s">
        <v>155</v>
      </c>
      <c r="B439">
        <v>11</v>
      </c>
      <c r="C439" t="s">
        <v>179</v>
      </c>
      <c r="D439">
        <v>12</v>
      </c>
      <c r="E439">
        <v>10</v>
      </c>
      <c r="F439">
        <v>14.0001</v>
      </c>
      <c r="G439">
        <v>2336</v>
      </c>
      <c r="H439">
        <v>3114</v>
      </c>
      <c r="I439" s="1">
        <f t="shared" si="12"/>
        <v>1.40001</v>
      </c>
      <c r="J439" s="1">
        <f t="shared" si="13"/>
        <v>0.75016056518946694</v>
      </c>
    </row>
    <row r="440" spans="1:10">
      <c r="A440" t="s">
        <v>155</v>
      </c>
      <c r="B440">
        <v>11</v>
      </c>
      <c r="C440" t="s">
        <v>182</v>
      </c>
      <c r="D440">
        <v>13</v>
      </c>
      <c r="E440">
        <v>10</v>
      </c>
      <c r="F440">
        <v>14.0002</v>
      </c>
      <c r="G440">
        <v>2384</v>
      </c>
      <c r="H440">
        <v>3114</v>
      </c>
      <c r="I440" s="1">
        <f t="shared" si="12"/>
        <v>1.40002</v>
      </c>
      <c r="J440" s="1">
        <f t="shared" si="13"/>
        <v>0.76557482337829164</v>
      </c>
    </row>
    <row r="441" spans="1:10">
      <c r="A441" t="s">
        <v>155</v>
      </c>
      <c r="B441">
        <v>11</v>
      </c>
      <c r="C441" t="s">
        <v>188</v>
      </c>
      <c r="D441">
        <v>14</v>
      </c>
      <c r="E441">
        <v>10</v>
      </c>
      <c r="F441">
        <v>14.000299999999999</v>
      </c>
      <c r="G441">
        <v>2384</v>
      </c>
      <c r="H441">
        <v>3114</v>
      </c>
      <c r="I441" s="1">
        <f t="shared" si="12"/>
        <v>1.4000299999999999</v>
      </c>
      <c r="J441" s="1">
        <f t="shared" si="13"/>
        <v>0.76557482337829164</v>
      </c>
    </row>
    <row r="442" spans="1:10">
      <c r="A442" t="s">
        <v>155</v>
      </c>
      <c r="B442">
        <v>11</v>
      </c>
      <c r="C442" t="s">
        <v>189</v>
      </c>
      <c r="D442">
        <v>15</v>
      </c>
      <c r="E442">
        <v>10</v>
      </c>
      <c r="F442">
        <v>14.000401</v>
      </c>
      <c r="G442">
        <v>3004</v>
      </c>
      <c r="H442">
        <v>3114</v>
      </c>
      <c r="I442" s="1">
        <f t="shared" si="12"/>
        <v>1.4000401</v>
      </c>
      <c r="J442" s="1">
        <f t="shared" si="13"/>
        <v>0.96467565831727686</v>
      </c>
    </row>
    <row r="443" spans="1:10">
      <c r="A443" t="s">
        <v>155</v>
      </c>
      <c r="B443">
        <v>11</v>
      </c>
      <c r="C443" t="s">
        <v>191</v>
      </c>
      <c r="D443">
        <v>16</v>
      </c>
      <c r="E443">
        <v>10</v>
      </c>
      <c r="F443">
        <v>14.000501</v>
      </c>
      <c r="G443">
        <v>3069</v>
      </c>
      <c r="H443">
        <v>3114</v>
      </c>
      <c r="I443" s="1">
        <f t="shared" si="12"/>
        <v>1.4000501000000001</v>
      </c>
      <c r="J443" s="1">
        <f t="shared" si="13"/>
        <v>0.98554913294797686</v>
      </c>
    </row>
    <row r="444" spans="1:10">
      <c r="A444" t="s">
        <v>155</v>
      </c>
      <c r="B444">
        <v>11</v>
      </c>
      <c r="C444" t="s">
        <v>186</v>
      </c>
      <c r="D444">
        <v>17</v>
      </c>
      <c r="E444">
        <v>10</v>
      </c>
      <c r="F444">
        <v>15</v>
      </c>
      <c r="G444">
        <v>3079</v>
      </c>
      <c r="H444">
        <v>3114</v>
      </c>
      <c r="I444" s="1">
        <f t="shared" si="12"/>
        <v>1.5</v>
      </c>
      <c r="J444" s="1">
        <f t="shared" si="13"/>
        <v>0.9887604367373154</v>
      </c>
    </row>
    <row r="445" spans="1:10">
      <c r="A445" t="s">
        <v>155</v>
      </c>
      <c r="B445">
        <v>11</v>
      </c>
      <c r="C445" t="s">
        <v>187</v>
      </c>
      <c r="D445">
        <v>18</v>
      </c>
      <c r="E445">
        <v>10</v>
      </c>
      <c r="F445">
        <v>16</v>
      </c>
      <c r="G445">
        <v>3104</v>
      </c>
      <c r="H445">
        <v>3114</v>
      </c>
      <c r="I445" s="1">
        <f t="shared" si="12"/>
        <v>1.6</v>
      </c>
      <c r="J445" s="1">
        <f t="shared" si="13"/>
        <v>0.99678869621066157</v>
      </c>
    </row>
    <row r="446" spans="1:10">
      <c r="A446" t="s">
        <v>155</v>
      </c>
      <c r="B446">
        <v>11</v>
      </c>
      <c r="C446" t="s">
        <v>175</v>
      </c>
      <c r="D446">
        <v>19</v>
      </c>
      <c r="E446">
        <v>10</v>
      </c>
      <c r="F446">
        <v>23</v>
      </c>
      <c r="G446">
        <v>3114</v>
      </c>
      <c r="H446">
        <v>3114</v>
      </c>
      <c r="I446" s="1">
        <f t="shared" si="12"/>
        <v>2.2999999999999998</v>
      </c>
      <c r="J446" s="1">
        <f t="shared" si="13"/>
        <v>1</v>
      </c>
    </row>
    <row r="447" spans="1:10">
      <c r="A447" t="s">
        <v>155</v>
      </c>
      <c r="B447">
        <v>12</v>
      </c>
      <c r="C447" t="s">
        <v>192</v>
      </c>
      <c r="D447">
        <v>1</v>
      </c>
      <c r="E447">
        <v>7</v>
      </c>
      <c r="F447">
        <v>6</v>
      </c>
      <c r="G447">
        <v>69</v>
      </c>
      <c r="H447">
        <v>1455</v>
      </c>
      <c r="I447" s="1">
        <f t="shared" si="12"/>
        <v>0.8571428571428571</v>
      </c>
      <c r="J447" s="1">
        <f t="shared" si="13"/>
        <v>4.7422680412371132E-2</v>
      </c>
    </row>
    <row r="448" spans="1:10">
      <c r="A448" t="s">
        <v>155</v>
      </c>
      <c r="B448">
        <v>12</v>
      </c>
      <c r="C448" t="s">
        <v>193</v>
      </c>
      <c r="D448">
        <v>2</v>
      </c>
      <c r="E448">
        <v>7</v>
      </c>
      <c r="F448">
        <v>9</v>
      </c>
      <c r="G448">
        <v>465</v>
      </c>
      <c r="H448">
        <v>1455</v>
      </c>
      <c r="I448" s="1">
        <f t="shared" si="12"/>
        <v>1.2857142857142858</v>
      </c>
      <c r="J448" s="1">
        <f t="shared" si="13"/>
        <v>0.31958762886597936</v>
      </c>
    </row>
    <row r="449" spans="1:10">
      <c r="A449" t="s">
        <v>155</v>
      </c>
      <c r="B449">
        <v>12</v>
      </c>
      <c r="C449" t="s">
        <v>169</v>
      </c>
      <c r="D449">
        <v>3</v>
      </c>
      <c r="E449">
        <v>7</v>
      </c>
      <c r="F449">
        <v>9.0000999999999998</v>
      </c>
      <c r="G449">
        <v>547</v>
      </c>
      <c r="H449">
        <v>1455</v>
      </c>
      <c r="I449" s="1">
        <f t="shared" si="12"/>
        <v>1.2857285714285713</v>
      </c>
      <c r="J449" s="1">
        <f t="shared" si="13"/>
        <v>0.37594501718213058</v>
      </c>
    </row>
    <row r="450" spans="1:10">
      <c r="A450" t="s">
        <v>155</v>
      </c>
      <c r="B450">
        <v>12</v>
      </c>
      <c r="C450" t="s">
        <v>194</v>
      </c>
      <c r="D450">
        <v>4</v>
      </c>
      <c r="E450">
        <v>7</v>
      </c>
      <c r="F450">
        <v>9.0001999999999995</v>
      </c>
      <c r="G450">
        <v>873</v>
      </c>
      <c r="H450">
        <v>1455</v>
      </c>
      <c r="I450" s="1">
        <f t="shared" si="12"/>
        <v>1.2857428571428571</v>
      </c>
      <c r="J450" s="1">
        <f t="shared" si="13"/>
        <v>0.6</v>
      </c>
    </row>
    <row r="451" spans="1:10">
      <c r="A451" t="s">
        <v>155</v>
      </c>
      <c r="B451">
        <v>12</v>
      </c>
      <c r="C451" t="s">
        <v>195</v>
      </c>
      <c r="D451">
        <v>5</v>
      </c>
      <c r="E451">
        <v>7</v>
      </c>
      <c r="F451">
        <v>10</v>
      </c>
      <c r="G451">
        <v>1063</v>
      </c>
      <c r="H451">
        <v>1455</v>
      </c>
      <c r="I451" s="1">
        <f t="shared" ref="I451:I472" si="14">F451/E451</f>
        <v>1.4285714285714286</v>
      </c>
      <c r="J451" s="1">
        <f t="shared" ref="J451:J472" si="15">G451/H451</f>
        <v>0.7305841924398625</v>
      </c>
    </row>
    <row r="452" spans="1:10">
      <c r="A452" t="s">
        <v>155</v>
      </c>
      <c r="B452">
        <v>12</v>
      </c>
      <c r="C452" t="s">
        <v>196</v>
      </c>
      <c r="D452">
        <v>6</v>
      </c>
      <c r="E452">
        <v>7</v>
      </c>
      <c r="F452">
        <v>10.0001</v>
      </c>
      <c r="G452">
        <v>1138</v>
      </c>
      <c r="H452">
        <v>1455</v>
      </c>
      <c r="I452" s="1">
        <f t="shared" si="14"/>
        <v>1.4285857142857143</v>
      </c>
      <c r="J452" s="1">
        <f t="shared" si="15"/>
        <v>0.78213058419243986</v>
      </c>
    </row>
    <row r="453" spans="1:10">
      <c r="A453" t="s">
        <v>155</v>
      </c>
      <c r="B453">
        <v>12</v>
      </c>
      <c r="C453" t="s">
        <v>198</v>
      </c>
      <c r="D453">
        <v>7</v>
      </c>
      <c r="E453">
        <v>7</v>
      </c>
      <c r="F453">
        <v>11</v>
      </c>
      <c r="G453">
        <v>1350</v>
      </c>
      <c r="H453">
        <v>1455</v>
      </c>
      <c r="I453" s="1">
        <f t="shared" si="14"/>
        <v>1.5714285714285714</v>
      </c>
      <c r="J453" s="1">
        <f t="shared" si="15"/>
        <v>0.92783505154639179</v>
      </c>
    </row>
    <row r="454" spans="1:10">
      <c r="A454" t="s">
        <v>155</v>
      </c>
      <c r="B454">
        <v>12</v>
      </c>
      <c r="C454" t="s">
        <v>17</v>
      </c>
      <c r="D454">
        <v>8</v>
      </c>
      <c r="E454">
        <v>7</v>
      </c>
      <c r="F454">
        <v>11.0001</v>
      </c>
      <c r="G454">
        <v>1425</v>
      </c>
      <c r="H454">
        <v>1455</v>
      </c>
      <c r="I454" s="1">
        <f t="shared" si="14"/>
        <v>1.5714428571428571</v>
      </c>
      <c r="J454" s="1">
        <f t="shared" si="15"/>
        <v>0.97938144329896903</v>
      </c>
    </row>
    <row r="455" spans="1:10">
      <c r="A455" t="s">
        <v>155</v>
      </c>
      <c r="B455">
        <v>12</v>
      </c>
      <c r="C455" t="s">
        <v>197</v>
      </c>
      <c r="D455">
        <v>9</v>
      </c>
      <c r="E455">
        <v>7</v>
      </c>
      <c r="F455">
        <v>40</v>
      </c>
      <c r="G455">
        <v>1455</v>
      </c>
      <c r="H455">
        <v>1455</v>
      </c>
      <c r="I455" s="1">
        <f t="shared" si="14"/>
        <v>5.7142857142857144</v>
      </c>
      <c r="J455" s="1">
        <f t="shared" si="15"/>
        <v>1</v>
      </c>
    </row>
    <row r="456" spans="1:10">
      <c r="A456" t="s">
        <v>155</v>
      </c>
      <c r="B456">
        <v>13</v>
      </c>
      <c r="C456" t="s">
        <v>19</v>
      </c>
      <c r="D456">
        <v>1</v>
      </c>
      <c r="E456">
        <v>2</v>
      </c>
      <c r="F456">
        <v>3</v>
      </c>
      <c r="G456">
        <v>18</v>
      </c>
      <c r="H456">
        <v>56</v>
      </c>
      <c r="I456" s="1">
        <f t="shared" si="14"/>
        <v>1.5</v>
      </c>
      <c r="J456" s="1">
        <f t="shared" si="15"/>
        <v>0.32142857142857145</v>
      </c>
    </row>
    <row r="457" spans="1:10">
      <c r="A457" t="s">
        <v>155</v>
      </c>
      <c r="B457">
        <v>13</v>
      </c>
      <c r="C457" t="s">
        <v>33</v>
      </c>
      <c r="D457">
        <v>2</v>
      </c>
      <c r="E457">
        <v>2</v>
      </c>
      <c r="F457">
        <v>4</v>
      </c>
      <c r="G457">
        <v>56</v>
      </c>
      <c r="H457">
        <v>56</v>
      </c>
      <c r="I457" s="1">
        <f t="shared" si="14"/>
        <v>2</v>
      </c>
      <c r="J457" s="1">
        <f t="shared" si="15"/>
        <v>1</v>
      </c>
    </row>
    <row r="458" spans="1:10">
      <c r="A458" t="s">
        <v>199</v>
      </c>
      <c r="B458">
        <v>2</v>
      </c>
      <c r="C458" t="s">
        <v>33</v>
      </c>
      <c r="D458">
        <v>1</v>
      </c>
      <c r="E458">
        <v>8</v>
      </c>
      <c r="F458">
        <v>5</v>
      </c>
      <c r="G458">
        <v>20</v>
      </c>
      <c r="H458">
        <v>1296</v>
      </c>
      <c r="I458" s="1">
        <f t="shared" si="14"/>
        <v>0.625</v>
      </c>
      <c r="J458" s="1">
        <f t="shared" si="15"/>
        <v>1.5432098765432098E-2</v>
      </c>
    </row>
    <row r="459" spans="1:10">
      <c r="A459" t="s">
        <v>199</v>
      </c>
      <c r="B459">
        <v>2</v>
      </c>
      <c r="C459" t="s">
        <v>479</v>
      </c>
      <c r="D459">
        <v>2</v>
      </c>
      <c r="E459">
        <v>8</v>
      </c>
      <c r="F459">
        <v>9</v>
      </c>
      <c r="G459">
        <v>365</v>
      </c>
      <c r="H459">
        <v>1296</v>
      </c>
      <c r="I459" s="1">
        <f t="shared" si="14"/>
        <v>1.125</v>
      </c>
      <c r="J459" s="1">
        <f t="shared" si="15"/>
        <v>0.28163580246913578</v>
      </c>
    </row>
    <row r="460" spans="1:10">
      <c r="A460" t="s">
        <v>199</v>
      </c>
      <c r="B460">
        <v>2</v>
      </c>
      <c r="C460" t="s">
        <v>75</v>
      </c>
      <c r="D460">
        <v>3</v>
      </c>
      <c r="E460">
        <v>8</v>
      </c>
      <c r="F460">
        <v>11</v>
      </c>
      <c r="G460">
        <v>412</v>
      </c>
      <c r="H460">
        <v>1296</v>
      </c>
      <c r="I460" s="1">
        <f t="shared" si="14"/>
        <v>1.375</v>
      </c>
      <c r="J460" s="1">
        <f t="shared" si="15"/>
        <v>0.31790123456790126</v>
      </c>
    </row>
    <row r="461" spans="1:10">
      <c r="A461" t="s">
        <v>199</v>
      </c>
      <c r="B461">
        <v>2</v>
      </c>
      <c r="C461" t="s">
        <v>480</v>
      </c>
      <c r="D461">
        <v>4</v>
      </c>
      <c r="E461">
        <v>8</v>
      </c>
      <c r="F461">
        <v>12</v>
      </c>
      <c r="G461">
        <v>864</v>
      </c>
      <c r="H461">
        <v>1296</v>
      </c>
      <c r="I461" s="1">
        <f t="shared" si="14"/>
        <v>1.5</v>
      </c>
      <c r="J461" s="1">
        <f t="shared" si="15"/>
        <v>0.66666666666666663</v>
      </c>
    </row>
    <row r="462" spans="1:10">
      <c r="A462" t="s">
        <v>199</v>
      </c>
      <c r="B462">
        <v>2</v>
      </c>
      <c r="C462" t="s">
        <v>482</v>
      </c>
      <c r="D462">
        <v>5</v>
      </c>
      <c r="E462">
        <v>8</v>
      </c>
      <c r="F462">
        <v>12.0001</v>
      </c>
      <c r="G462">
        <v>1281</v>
      </c>
      <c r="H462">
        <v>1296</v>
      </c>
      <c r="I462" s="1">
        <f t="shared" si="14"/>
        <v>1.5000125</v>
      </c>
      <c r="J462" s="1">
        <f t="shared" si="15"/>
        <v>0.98842592592592593</v>
      </c>
    </row>
    <row r="463" spans="1:10">
      <c r="A463" t="s">
        <v>199</v>
      </c>
      <c r="B463">
        <v>2</v>
      </c>
      <c r="C463" t="s">
        <v>481</v>
      </c>
      <c r="D463">
        <v>6</v>
      </c>
      <c r="E463">
        <v>8</v>
      </c>
      <c r="F463">
        <v>12.0002</v>
      </c>
      <c r="G463">
        <v>1286</v>
      </c>
      <c r="H463">
        <v>1296</v>
      </c>
      <c r="I463" s="1">
        <f t="shared" si="14"/>
        <v>1.5000249999999999</v>
      </c>
      <c r="J463" s="1">
        <f t="shared" si="15"/>
        <v>0.99228395061728392</v>
      </c>
    </row>
    <row r="464" spans="1:10">
      <c r="A464" t="s">
        <v>199</v>
      </c>
      <c r="B464">
        <v>2</v>
      </c>
      <c r="C464" t="s">
        <v>478</v>
      </c>
      <c r="D464">
        <v>7</v>
      </c>
      <c r="E464">
        <v>8</v>
      </c>
      <c r="F464">
        <v>14</v>
      </c>
      <c r="G464">
        <v>1296</v>
      </c>
      <c r="H464">
        <v>1296</v>
      </c>
      <c r="I464" s="1">
        <f t="shared" si="14"/>
        <v>1.75</v>
      </c>
      <c r="J464" s="1">
        <f t="shared" si="15"/>
        <v>1</v>
      </c>
    </row>
    <row r="465" spans="1:10">
      <c r="A465" t="s">
        <v>199</v>
      </c>
      <c r="B465">
        <v>6</v>
      </c>
      <c r="C465" t="s">
        <v>37</v>
      </c>
      <c r="D465">
        <v>1</v>
      </c>
      <c r="E465">
        <v>5</v>
      </c>
      <c r="F465">
        <v>10</v>
      </c>
      <c r="G465">
        <v>347</v>
      </c>
      <c r="H465">
        <v>497</v>
      </c>
      <c r="I465" s="1">
        <f t="shared" si="14"/>
        <v>2</v>
      </c>
      <c r="J465" s="1">
        <f t="shared" si="15"/>
        <v>0.69818913480885314</v>
      </c>
    </row>
    <row r="466" spans="1:10">
      <c r="A466" t="s">
        <v>199</v>
      </c>
      <c r="B466">
        <v>6</v>
      </c>
      <c r="C466" t="s">
        <v>203</v>
      </c>
      <c r="D466">
        <v>2</v>
      </c>
      <c r="E466">
        <v>5</v>
      </c>
      <c r="F466">
        <v>10.0001</v>
      </c>
      <c r="G466">
        <v>485</v>
      </c>
      <c r="H466">
        <v>497</v>
      </c>
      <c r="I466" s="1">
        <f t="shared" si="14"/>
        <v>2.0000200000000001</v>
      </c>
      <c r="J466" s="1">
        <f t="shared" si="15"/>
        <v>0.9758551307847082</v>
      </c>
    </row>
    <row r="467" spans="1:10">
      <c r="A467" t="s">
        <v>199</v>
      </c>
      <c r="B467">
        <v>6</v>
      </c>
      <c r="C467" t="s">
        <v>74</v>
      </c>
      <c r="D467">
        <v>3</v>
      </c>
      <c r="E467">
        <v>5</v>
      </c>
      <c r="F467">
        <v>11</v>
      </c>
      <c r="G467">
        <v>485</v>
      </c>
      <c r="H467">
        <v>497</v>
      </c>
      <c r="I467" s="1">
        <f t="shared" si="14"/>
        <v>2.2000000000000002</v>
      </c>
      <c r="J467" s="1">
        <f t="shared" si="15"/>
        <v>0.9758551307847082</v>
      </c>
    </row>
    <row r="468" spans="1:10">
      <c r="A468" t="s">
        <v>199</v>
      </c>
      <c r="B468">
        <v>6</v>
      </c>
      <c r="C468" t="s">
        <v>201</v>
      </c>
      <c r="D468">
        <v>4</v>
      </c>
      <c r="E468">
        <v>5</v>
      </c>
      <c r="F468">
        <v>11.0001</v>
      </c>
      <c r="G468">
        <v>497</v>
      </c>
      <c r="H468">
        <v>497</v>
      </c>
      <c r="I468" s="1">
        <f t="shared" si="14"/>
        <v>2.2000199999999999</v>
      </c>
      <c r="J468" s="1">
        <f t="shared" si="15"/>
        <v>1</v>
      </c>
    </row>
    <row r="469" spans="1:10">
      <c r="A469" t="s">
        <v>199</v>
      </c>
      <c r="B469">
        <v>6</v>
      </c>
      <c r="C469" t="s">
        <v>202</v>
      </c>
      <c r="D469">
        <v>5</v>
      </c>
      <c r="E469">
        <v>5</v>
      </c>
      <c r="F469">
        <v>11.0002</v>
      </c>
      <c r="G469">
        <v>497</v>
      </c>
      <c r="H469">
        <v>497</v>
      </c>
      <c r="I469" s="1">
        <f t="shared" si="14"/>
        <v>2.20004</v>
      </c>
      <c r="J469" s="1">
        <f t="shared" si="15"/>
        <v>1</v>
      </c>
    </row>
    <row r="470" spans="1:10">
      <c r="A470" t="s">
        <v>199</v>
      </c>
      <c r="B470">
        <v>6</v>
      </c>
      <c r="C470" t="s">
        <v>200</v>
      </c>
      <c r="D470">
        <v>6</v>
      </c>
      <c r="E470">
        <v>5</v>
      </c>
      <c r="F470">
        <v>11.000299999999999</v>
      </c>
      <c r="G470">
        <v>497</v>
      </c>
      <c r="H470">
        <v>497</v>
      </c>
      <c r="I470" s="1">
        <f t="shared" si="14"/>
        <v>2.2000599999999997</v>
      </c>
      <c r="J470" s="1">
        <f t="shared" si="15"/>
        <v>1</v>
      </c>
    </row>
    <row r="471" spans="1:10">
      <c r="A471" t="s">
        <v>199</v>
      </c>
      <c r="B471">
        <v>8</v>
      </c>
      <c r="C471" t="s">
        <v>33</v>
      </c>
      <c r="D471">
        <v>1</v>
      </c>
      <c r="E471">
        <v>4</v>
      </c>
      <c r="F471">
        <v>11</v>
      </c>
      <c r="G471">
        <v>489</v>
      </c>
      <c r="H471">
        <v>529</v>
      </c>
      <c r="I471" s="1">
        <f t="shared" si="14"/>
        <v>2.75</v>
      </c>
      <c r="J471" s="1">
        <f t="shared" si="15"/>
        <v>0.92438563327032142</v>
      </c>
    </row>
    <row r="472" spans="1:10">
      <c r="A472" t="s">
        <v>199</v>
      </c>
      <c r="B472">
        <v>8</v>
      </c>
      <c r="C472" t="s">
        <v>19</v>
      </c>
      <c r="D472">
        <v>2</v>
      </c>
      <c r="E472">
        <v>4</v>
      </c>
      <c r="F472">
        <v>12</v>
      </c>
      <c r="G472">
        <v>529</v>
      </c>
      <c r="H472">
        <v>529</v>
      </c>
      <c r="I472" s="1">
        <f t="shared" si="14"/>
        <v>3</v>
      </c>
      <c r="J472" s="1">
        <f t="shared" si="15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472"/>
  <sheetViews>
    <sheetView topLeftCell="B413" workbookViewId="0">
      <selection activeCell="B433" sqref="A1:XFD1048576"/>
    </sheetView>
  </sheetViews>
  <sheetFormatPr baseColWidth="10" defaultRowHeight="15" x14ac:dyDescent="0"/>
  <cols>
    <col min="1" max="1" width="20" customWidth="1"/>
    <col min="3" max="3" width="17.5" customWidth="1"/>
  </cols>
  <sheetData>
    <row r="1" spans="1:76">
      <c r="A1" t="s">
        <v>204</v>
      </c>
      <c r="B1" t="s">
        <v>205</v>
      </c>
      <c r="C1" t="s">
        <v>214</v>
      </c>
      <c r="D1" t="s">
        <v>207</v>
      </c>
      <c r="E1" t="s">
        <v>212</v>
      </c>
      <c r="F1" s="1" t="s">
        <v>213</v>
      </c>
      <c r="G1" s="1" t="s">
        <v>215</v>
      </c>
      <c r="H1" t="s">
        <v>216</v>
      </c>
      <c r="I1" t="s">
        <v>217</v>
      </c>
      <c r="J1" t="s">
        <v>218</v>
      </c>
      <c r="K1" s="2" t="s">
        <v>219</v>
      </c>
      <c r="L1" s="2" t="s">
        <v>220</v>
      </c>
      <c r="M1" s="2"/>
      <c r="N1" s="2"/>
      <c r="O1" s="2"/>
      <c r="P1" s="2"/>
      <c r="Q1" s="2" t="s">
        <v>221</v>
      </c>
      <c r="R1" s="2"/>
      <c r="S1" s="2"/>
      <c r="T1" s="2"/>
      <c r="U1" s="2"/>
      <c r="W1" t="s">
        <v>222</v>
      </c>
      <c r="X1" t="s">
        <v>214</v>
      </c>
      <c r="Y1" t="s">
        <v>214</v>
      </c>
      <c r="Z1" t="s">
        <v>214</v>
      </c>
      <c r="AA1" t="s">
        <v>214</v>
      </c>
      <c r="AB1" t="s">
        <v>214</v>
      </c>
      <c r="AC1" t="s">
        <v>214</v>
      </c>
      <c r="AD1" t="s">
        <v>214</v>
      </c>
      <c r="AE1" t="s">
        <v>214</v>
      </c>
      <c r="AF1" t="s">
        <v>214</v>
      </c>
      <c r="AG1" t="s">
        <v>214</v>
      </c>
      <c r="AH1" t="s">
        <v>214</v>
      </c>
      <c r="AI1" t="s">
        <v>214</v>
      </c>
      <c r="AJ1" t="s">
        <v>214</v>
      </c>
      <c r="AK1" t="s">
        <v>214</v>
      </c>
      <c r="AL1" t="s">
        <v>214</v>
      </c>
      <c r="AM1" t="s">
        <v>214</v>
      </c>
      <c r="AN1" t="s">
        <v>214</v>
      </c>
      <c r="AO1" t="s">
        <v>214</v>
      </c>
      <c r="AP1" t="s">
        <v>214</v>
      </c>
      <c r="AQ1" t="s">
        <v>214</v>
      </c>
      <c r="AR1" t="s">
        <v>214</v>
      </c>
      <c r="AS1" t="s">
        <v>214</v>
      </c>
      <c r="AT1" t="s">
        <v>214</v>
      </c>
      <c r="AU1" t="s">
        <v>214</v>
      </c>
      <c r="AV1" t="s">
        <v>214</v>
      </c>
      <c r="AW1" t="s">
        <v>214</v>
      </c>
      <c r="AX1" t="s">
        <v>214</v>
      </c>
      <c r="AY1" t="s">
        <v>214</v>
      </c>
      <c r="AZ1" t="s">
        <v>214</v>
      </c>
      <c r="BA1" t="s">
        <v>214</v>
      </c>
      <c r="BB1" t="s">
        <v>214</v>
      </c>
      <c r="BC1" t="s">
        <v>214</v>
      </c>
      <c r="BD1" t="s">
        <v>214</v>
      </c>
      <c r="BE1" t="s">
        <v>214</v>
      </c>
      <c r="BF1" t="s">
        <v>214</v>
      </c>
      <c r="BG1" t="s">
        <v>214</v>
      </c>
      <c r="BH1" t="s">
        <v>214</v>
      </c>
      <c r="BI1" t="s">
        <v>214</v>
      </c>
      <c r="BJ1" t="s">
        <v>214</v>
      </c>
      <c r="BK1" t="s">
        <v>214</v>
      </c>
      <c r="BL1" t="s">
        <v>214</v>
      </c>
      <c r="BM1" t="s">
        <v>214</v>
      </c>
      <c r="BN1" t="s">
        <v>214</v>
      </c>
      <c r="BO1" t="s">
        <v>214</v>
      </c>
      <c r="BP1" t="s">
        <v>214</v>
      </c>
      <c r="BQ1" t="s">
        <v>214</v>
      </c>
      <c r="BR1" t="s">
        <v>214</v>
      </c>
      <c r="BS1" t="s">
        <v>214</v>
      </c>
      <c r="BT1" t="s">
        <v>214</v>
      </c>
      <c r="BU1" t="s">
        <v>214</v>
      </c>
      <c r="BV1" t="s">
        <v>214</v>
      </c>
      <c r="BW1" t="s">
        <v>214</v>
      </c>
      <c r="BX1" t="s">
        <v>214</v>
      </c>
    </row>
    <row r="2" spans="1:76">
      <c r="A2" t="s">
        <v>4</v>
      </c>
      <c r="B2">
        <v>1</v>
      </c>
      <c r="C2" t="str">
        <f>CONCATENATE(A2, "_",B2,"_")</f>
        <v>test.BallonFactory_1_</v>
      </c>
      <c r="D2">
        <v>1</v>
      </c>
      <c r="E2">
        <v>0.94440031771247024</v>
      </c>
      <c r="F2">
        <v>1.6470588235294117</v>
      </c>
      <c r="G2" s="1" t="str">
        <f>IF($F2 &lt;= 0.2,$E2,"")</f>
        <v/>
      </c>
      <c r="H2" s="1" t="str">
        <f>IF(AND($F2 &gt; 0.2,$F2 &lt;= 0.4),$E2,"")</f>
        <v/>
      </c>
      <c r="I2" s="1" t="str">
        <f>IF(AND($F2 &gt; 0.4,$F2 &lt;= 0.6),$E2,"")</f>
        <v/>
      </c>
      <c r="J2" s="1" t="str">
        <f>IF(AND($F2 &gt; 0.6,$F2 &lt;= 0.8),$E2,"")</f>
        <v/>
      </c>
      <c r="K2" s="1" t="str">
        <f>IF(AND($F2 &gt; 0.8, $F2 &lt;=1.1),$E2,"")</f>
        <v/>
      </c>
      <c r="L2" s="1">
        <f>IF(AND($F2 &gt; 1.1),$E2,"")</f>
        <v>0.94440031771247024</v>
      </c>
      <c r="M2" s="1"/>
      <c r="N2" s="1" t="s">
        <v>223</v>
      </c>
      <c r="O2" s="1" t="s">
        <v>224</v>
      </c>
      <c r="P2" s="1" t="s">
        <v>225</v>
      </c>
      <c r="Q2" s="1">
        <v>0</v>
      </c>
      <c r="R2" s="1" t="s">
        <v>226</v>
      </c>
      <c r="S2" s="1" t="s">
        <v>227</v>
      </c>
      <c r="T2" s="1" t="s">
        <v>228</v>
      </c>
      <c r="U2" s="1" t="s">
        <v>229</v>
      </c>
      <c r="V2" t="s">
        <v>230</v>
      </c>
      <c r="W2">
        <f>COUNTA(X2:BX2)</f>
        <v>53</v>
      </c>
      <c r="X2" t="s">
        <v>231</v>
      </c>
      <c r="Y2" t="s">
        <v>232</v>
      </c>
      <c r="Z2" t="s">
        <v>233</v>
      </c>
      <c r="AA2" t="s">
        <v>234</v>
      </c>
      <c r="AB2" t="s">
        <v>235</v>
      </c>
      <c r="AC2" t="s">
        <v>236</v>
      </c>
      <c r="AD2" t="s">
        <v>237</v>
      </c>
      <c r="AE2" t="s">
        <v>238</v>
      </c>
      <c r="AF2" t="s">
        <v>239</v>
      </c>
      <c r="AG2" t="s">
        <v>240</v>
      </c>
      <c r="AH2" t="s">
        <v>241</v>
      </c>
      <c r="AI2" t="s">
        <v>242</v>
      </c>
      <c r="AJ2" t="s">
        <v>243</v>
      </c>
      <c r="AK2" t="s">
        <v>244</v>
      </c>
      <c r="AL2" t="s">
        <v>245</v>
      </c>
      <c r="AM2" t="s">
        <v>246</v>
      </c>
      <c r="AN2" t="s">
        <v>247</v>
      </c>
      <c r="AO2" t="s">
        <v>248</v>
      </c>
      <c r="AP2" t="s">
        <v>249</v>
      </c>
      <c r="AQ2" t="s">
        <v>250</v>
      </c>
      <c r="AR2" t="s">
        <v>251</v>
      </c>
      <c r="AS2" t="s">
        <v>252</v>
      </c>
      <c r="AT2" t="s">
        <v>253</v>
      </c>
      <c r="AU2" t="s">
        <v>254</v>
      </c>
      <c r="AV2" t="s">
        <v>255</v>
      </c>
      <c r="AW2" t="s">
        <v>483</v>
      </c>
      <c r="AX2" t="s">
        <v>256</v>
      </c>
      <c r="AY2" t="s">
        <v>257</v>
      </c>
      <c r="AZ2" t="s">
        <v>258</v>
      </c>
      <c r="BA2" t="s">
        <v>259</v>
      </c>
      <c r="BB2" t="s">
        <v>260</v>
      </c>
      <c r="BC2" t="s">
        <v>261</v>
      </c>
      <c r="BD2" t="s">
        <v>262</v>
      </c>
      <c r="BE2" t="s">
        <v>263</v>
      </c>
      <c r="BF2" t="s">
        <v>264</v>
      </c>
      <c r="BG2" t="s">
        <v>265</v>
      </c>
      <c r="BH2" t="s">
        <v>266</v>
      </c>
      <c r="BI2" t="s">
        <v>267</v>
      </c>
      <c r="BJ2" t="s">
        <v>268</v>
      </c>
      <c r="BK2" t="s">
        <v>269</v>
      </c>
      <c r="BL2" t="s">
        <v>270</v>
      </c>
      <c r="BM2" t="s">
        <v>271</v>
      </c>
      <c r="BN2" t="s">
        <v>272</v>
      </c>
      <c r="BO2" t="s">
        <v>484</v>
      </c>
      <c r="BP2" t="s">
        <v>485</v>
      </c>
      <c r="BQ2" t="s">
        <v>273</v>
      </c>
      <c r="BR2" t="s">
        <v>274</v>
      </c>
      <c r="BS2" t="s">
        <v>275</v>
      </c>
      <c r="BT2" t="s">
        <v>276</v>
      </c>
      <c r="BU2" t="s">
        <v>277</v>
      </c>
      <c r="BV2" t="s">
        <v>278</v>
      </c>
      <c r="BW2" t="s">
        <v>279</v>
      </c>
      <c r="BX2" t="s">
        <v>280</v>
      </c>
    </row>
    <row r="3" spans="1:76">
      <c r="A3" t="s">
        <v>4</v>
      </c>
      <c r="B3">
        <v>1</v>
      </c>
      <c r="C3" t="str">
        <f t="shared" ref="C3:C66" si="0">CONCATENATE(A3, "_",B3,"_")</f>
        <v>test.BallonFactory_1_</v>
      </c>
      <c r="D3">
        <v>2</v>
      </c>
      <c r="E3">
        <v>0.97815726767275613</v>
      </c>
      <c r="F3">
        <v>1.7058823529411764</v>
      </c>
      <c r="G3" s="1" t="str">
        <f t="shared" ref="G3:G66" si="1">IF($F3 &lt;= 0.2,$E3,"")</f>
        <v/>
      </c>
      <c r="H3" s="1" t="str">
        <f t="shared" ref="H3:H66" si="2">IF(AND($F3 &gt; 0.2,$F3 &lt;= 0.4),$E3,"")</f>
        <v/>
      </c>
      <c r="I3" s="1" t="str">
        <f t="shared" ref="I3:I66" si="3">IF(AND($F3 &gt; 0.4,$F3 &lt;= 0.6),$E3,"")</f>
        <v/>
      </c>
      <c r="J3" s="1" t="str">
        <f t="shared" ref="J3:J66" si="4">IF(AND($F3 &gt; 0.6,$F3 &lt;= 0.8),$E3,"")</f>
        <v/>
      </c>
      <c r="K3" s="1" t="str">
        <f t="shared" ref="K3:K66" si="5">IF(AND($F3 &gt; 0.8, $F3 &lt;=1.1),$E3,"")</f>
        <v/>
      </c>
      <c r="L3" s="1">
        <f t="shared" ref="L3:L66" si="6">IF(AND($F3 &gt; 1.1),$E3,"")</f>
        <v>0.97815726767275613</v>
      </c>
      <c r="M3" s="1"/>
      <c r="N3" s="1">
        <f>SUM(T3:V3)/64</f>
        <v>0</v>
      </c>
      <c r="O3" s="1">
        <f>SUM(Q3:V3)</f>
        <v>53</v>
      </c>
      <c r="P3" t="s">
        <v>215</v>
      </c>
      <c r="Q3" s="3">
        <f t="shared" ref="Q3:Q8" si="7">COUNTIF($X3:$BX3,"=0")</f>
        <v>44</v>
      </c>
      <c r="R3" s="3">
        <f t="shared" ref="R3:R8" si="8">COUNTIFS($X3:$BX3,"&gt;0",$X3:$BX3,"&lt;0.25")</f>
        <v>9</v>
      </c>
      <c r="S3" s="3">
        <f t="shared" ref="S3:S8" si="9">COUNTIFS($X3:$BX3,"&gt;=0.25",$X3:$BX3,"&lt;0.5")</f>
        <v>0</v>
      </c>
      <c r="T3" s="3">
        <f t="shared" ref="T3:T8" si="10">COUNTIFS($X3:$BX3,"&gt;=0.5",$X3:$BX3,"&lt;0.75")</f>
        <v>0</v>
      </c>
      <c r="U3" s="3">
        <f t="shared" ref="U3:U8" si="11">COUNTIFS($X3:$BX3,"&gt;=0.75",$X3:$BX3,"&lt;1")</f>
        <v>0</v>
      </c>
      <c r="V3" s="3">
        <f t="shared" ref="V3:V8" si="12">COUNTIF($X3:$BX3,"=1")</f>
        <v>0</v>
      </c>
      <c r="W3" t="s">
        <v>215</v>
      </c>
      <c r="X3">
        <f>DMAX($A$1:$L$472,$W3,X$1:X$2)</f>
        <v>0</v>
      </c>
      <c r="Y3">
        <f t="shared" ref="Y3:BX3" si="13">DMAX($A$1:$L$472,$W3,Y$1:Y$2)</f>
        <v>0</v>
      </c>
      <c r="Z3">
        <f t="shared" si="13"/>
        <v>0</v>
      </c>
      <c r="AA3">
        <f t="shared" si="13"/>
        <v>0</v>
      </c>
      <c r="AB3">
        <f t="shared" si="13"/>
        <v>0</v>
      </c>
      <c r="AC3">
        <f t="shared" si="13"/>
        <v>0</v>
      </c>
      <c r="AD3">
        <f t="shared" si="13"/>
        <v>0</v>
      </c>
      <c r="AE3">
        <f t="shared" si="13"/>
        <v>1.1308728282101368E-3</v>
      </c>
      <c r="AF3">
        <f t="shared" si="13"/>
        <v>1.7133620689655172E-2</v>
      </c>
      <c r="AG3">
        <f t="shared" si="13"/>
        <v>4.138081237068496E-3</v>
      </c>
      <c r="AH3">
        <f t="shared" si="13"/>
        <v>0</v>
      </c>
      <c r="AI3">
        <f t="shared" si="13"/>
        <v>0</v>
      </c>
      <c r="AJ3">
        <f t="shared" si="13"/>
        <v>0</v>
      </c>
      <c r="AK3">
        <f t="shared" si="13"/>
        <v>0</v>
      </c>
      <c r="AL3">
        <f t="shared" si="13"/>
        <v>0</v>
      </c>
      <c r="AM3">
        <f t="shared" si="13"/>
        <v>0</v>
      </c>
      <c r="AN3">
        <f t="shared" si="13"/>
        <v>0</v>
      </c>
      <c r="AO3">
        <f t="shared" si="13"/>
        <v>0</v>
      </c>
      <c r="AP3">
        <f t="shared" si="13"/>
        <v>0</v>
      </c>
      <c r="AQ3">
        <f t="shared" si="13"/>
        <v>0</v>
      </c>
      <c r="AR3">
        <f t="shared" si="13"/>
        <v>0</v>
      </c>
      <c r="AS3">
        <f t="shared" si="13"/>
        <v>0</v>
      </c>
      <c r="AT3">
        <f t="shared" si="13"/>
        <v>0</v>
      </c>
      <c r="AU3">
        <f t="shared" si="13"/>
        <v>0</v>
      </c>
      <c r="AV3">
        <f t="shared" si="13"/>
        <v>0</v>
      </c>
      <c r="AW3">
        <f t="shared" si="13"/>
        <v>5.8560507716717149E-2</v>
      </c>
      <c r="AX3">
        <f t="shared" si="13"/>
        <v>0</v>
      </c>
      <c r="AY3">
        <f t="shared" si="13"/>
        <v>0</v>
      </c>
      <c r="AZ3">
        <f t="shared" si="13"/>
        <v>0</v>
      </c>
      <c r="BA3">
        <f t="shared" si="13"/>
        <v>0</v>
      </c>
      <c r="BB3">
        <f t="shared" si="13"/>
        <v>0</v>
      </c>
      <c r="BC3">
        <f t="shared" si="13"/>
        <v>0</v>
      </c>
      <c r="BD3">
        <f t="shared" si="13"/>
        <v>0</v>
      </c>
      <c r="BE3">
        <f t="shared" si="13"/>
        <v>0</v>
      </c>
      <c r="BF3">
        <f t="shared" si="13"/>
        <v>2.0805920127759596E-3</v>
      </c>
      <c r="BG3">
        <f t="shared" si="13"/>
        <v>2.5039024786378769E-3</v>
      </c>
      <c r="BH3">
        <f t="shared" si="13"/>
        <v>3.6641402804552777E-3</v>
      </c>
      <c r="BI3">
        <f t="shared" si="13"/>
        <v>2.4198189713807356E-3</v>
      </c>
      <c r="BJ3">
        <f t="shared" si="13"/>
        <v>0</v>
      </c>
      <c r="BK3">
        <f t="shared" si="13"/>
        <v>0</v>
      </c>
      <c r="BL3">
        <f t="shared" si="13"/>
        <v>0</v>
      </c>
      <c r="BM3">
        <f t="shared" si="13"/>
        <v>0</v>
      </c>
      <c r="BN3">
        <f t="shared" si="13"/>
        <v>0</v>
      </c>
      <c r="BO3">
        <f t="shared" si="13"/>
        <v>0</v>
      </c>
      <c r="BP3">
        <f t="shared" si="13"/>
        <v>0.14046934397715807</v>
      </c>
      <c r="BQ3">
        <f t="shared" si="13"/>
        <v>0</v>
      </c>
      <c r="BR3">
        <f t="shared" si="13"/>
        <v>0</v>
      </c>
      <c r="BS3">
        <f t="shared" si="13"/>
        <v>0</v>
      </c>
      <c r="BT3">
        <f t="shared" si="13"/>
        <v>0</v>
      </c>
      <c r="BU3">
        <f t="shared" si="13"/>
        <v>0</v>
      </c>
      <c r="BV3">
        <f t="shared" si="13"/>
        <v>0</v>
      </c>
      <c r="BW3">
        <f t="shared" si="13"/>
        <v>0</v>
      </c>
      <c r="BX3">
        <f t="shared" si="13"/>
        <v>0</v>
      </c>
    </row>
    <row r="4" spans="1:76">
      <c r="A4" t="s">
        <v>4</v>
      </c>
      <c r="B4">
        <v>1</v>
      </c>
      <c r="C4" t="str">
        <f t="shared" si="0"/>
        <v>test.BallonFactory_1_</v>
      </c>
      <c r="D4">
        <v>3</v>
      </c>
      <c r="E4">
        <v>0.98451151707704532</v>
      </c>
      <c r="F4">
        <v>1.7058882352941176</v>
      </c>
      <c r="G4" s="1" t="str">
        <f t="shared" si="1"/>
        <v/>
      </c>
      <c r="H4" s="1" t="str">
        <f t="shared" si="2"/>
        <v/>
      </c>
      <c r="I4" s="1" t="str">
        <f t="shared" si="3"/>
        <v/>
      </c>
      <c r="J4" s="1" t="str">
        <f t="shared" si="4"/>
        <v/>
      </c>
      <c r="K4" s="1" t="str">
        <f t="shared" si="5"/>
        <v/>
      </c>
      <c r="L4" s="1">
        <f t="shared" si="6"/>
        <v>0.98451151707704532</v>
      </c>
      <c r="M4" s="1"/>
      <c r="N4" s="1">
        <f t="shared" ref="N4:N7" si="14">SUM(T4:V4)/64</f>
        <v>3.125E-2</v>
      </c>
      <c r="O4" s="1">
        <f t="shared" ref="O4:O7" si="15">SUM(Q4:V4)</f>
        <v>53</v>
      </c>
      <c r="P4" t="s">
        <v>216</v>
      </c>
      <c r="Q4" s="3">
        <f t="shared" si="7"/>
        <v>38</v>
      </c>
      <c r="R4" s="3">
        <f t="shared" si="8"/>
        <v>11</v>
      </c>
      <c r="S4" s="3">
        <f t="shared" si="9"/>
        <v>2</v>
      </c>
      <c r="T4" s="3">
        <f t="shared" si="10"/>
        <v>1</v>
      </c>
      <c r="U4" s="3">
        <f t="shared" si="11"/>
        <v>1</v>
      </c>
      <c r="V4" s="3">
        <f t="shared" si="12"/>
        <v>0</v>
      </c>
      <c r="W4" t="s">
        <v>216</v>
      </c>
      <c r="X4">
        <f>IF(X3&lt;DMAX($A$1:$L$472,$W4,X$1:X$2),DMAX($A$1:$L$472,$W4,X$1:X$2),X3)</f>
        <v>0</v>
      </c>
      <c r="Y4">
        <f t="shared" ref="Y4:AC8" si="16">IF(Y3&lt;DMAX($A$1:$L$472,$W4,Y$1:Y$2),DMAX($A$1:$L$472,$W4,Y$1:Y$2),Y3)</f>
        <v>0</v>
      </c>
      <c r="Z4">
        <f t="shared" si="16"/>
        <v>0</v>
      </c>
      <c r="AA4">
        <f t="shared" si="16"/>
        <v>0</v>
      </c>
      <c r="AB4">
        <f t="shared" si="16"/>
        <v>0</v>
      </c>
      <c r="AC4">
        <f t="shared" si="16"/>
        <v>0</v>
      </c>
      <c r="AD4">
        <f t="shared" ref="AD4:AD8" si="17">IF(AD3&lt;DMAX($A$1:$L$472,$W4,AD$1:AD$2),DMAX($A$1:$L$472,$W4,AD$1:AD$2),AD3)</f>
        <v>0</v>
      </c>
      <c r="AE4">
        <f t="shared" ref="AE4:AE8" si="18">IF(AE3&lt;DMAX($A$1:$L$472,$W4,AE$1:AE$2),DMAX($A$1:$L$472,$W4,AE$1:AE$2),AE3)</f>
        <v>1.1308728282101368E-3</v>
      </c>
      <c r="AF4">
        <f t="shared" ref="AF4:AF8" si="19">IF(AF3&lt;DMAX($A$1:$L$472,$W4,AF$1:AF$2),DMAX($A$1:$L$472,$W4,AF$1:AF$2),AF3)</f>
        <v>0.12661637931034483</v>
      </c>
      <c r="AG4">
        <f t="shared" ref="AG4:AH8" si="20">IF(AG3&lt;DMAX($A$1:$L$472,$W4,AG$1:AG$2),DMAX($A$1:$L$472,$W4,AG$1:AG$2),AG3)</f>
        <v>4.138081237068496E-3</v>
      </c>
      <c r="AH4">
        <f t="shared" si="20"/>
        <v>0</v>
      </c>
      <c r="AI4">
        <f t="shared" ref="AI4:AI8" si="21">IF(AI3&lt;DMAX($A$1:$L$472,$W4,AI$1:AI$2),DMAX($A$1:$L$472,$W4,AI$1:AI$2),AI3)</f>
        <v>0.33386837881219905</v>
      </c>
      <c r="AJ4">
        <f t="shared" ref="AJ4:AJ8" si="22">IF(AJ3&lt;DMAX($A$1:$L$472,$W4,AJ$1:AJ$2),DMAX($A$1:$L$472,$W4,AJ$1:AJ$2),AJ3)</f>
        <v>0</v>
      </c>
      <c r="AK4">
        <f t="shared" ref="AK4:AK8" si="23">IF(AK3&lt;DMAX($A$1:$L$472,$W4,AK$1:AK$2),DMAX($A$1:$L$472,$W4,AK$1:AK$2),AK3)</f>
        <v>0</v>
      </c>
      <c r="AL4">
        <f t="shared" ref="AL4:AM8" si="24">IF(AL3&lt;DMAX($A$1:$L$472,$W4,AL$1:AL$2),DMAX($A$1:$L$472,$W4,AL$1:AL$2),AL3)</f>
        <v>0</v>
      </c>
      <c r="AM4">
        <f t="shared" si="24"/>
        <v>0</v>
      </c>
      <c r="AN4">
        <f t="shared" ref="AN4:AN8" si="25">IF(AN3&lt;DMAX($A$1:$L$472,$W4,AN$1:AN$2),DMAX($A$1:$L$472,$W4,AN$1:AN$2),AN3)</f>
        <v>0</v>
      </c>
      <c r="AO4">
        <f t="shared" ref="AO4:AO8" si="26">IF(AO3&lt;DMAX($A$1:$L$472,$W4,AO$1:AO$2),DMAX($A$1:$L$472,$W4,AO$1:AO$2),AO3)</f>
        <v>0</v>
      </c>
      <c r="AP4">
        <f t="shared" ref="AP4:AP8" si="27">IF(AP3&lt;DMAX($A$1:$L$472,$W4,AP$1:AP$2),DMAX($A$1:$L$472,$W4,AP$1:AP$2),AP3)</f>
        <v>0</v>
      </c>
      <c r="AQ4">
        <f t="shared" ref="AQ4:AR8" si="28">IF(AQ3&lt;DMAX($A$1:$L$472,$W4,AQ$1:AQ$2),DMAX($A$1:$L$472,$W4,AQ$1:AQ$2),AQ3)</f>
        <v>0</v>
      </c>
      <c r="AR4">
        <f t="shared" si="28"/>
        <v>0</v>
      </c>
      <c r="AS4">
        <f t="shared" ref="AS4:AS8" si="29">IF(AS3&lt;DMAX($A$1:$L$472,$W4,AS$1:AS$2),DMAX($A$1:$L$472,$W4,AS$1:AS$2),AS3)</f>
        <v>0</v>
      </c>
      <c r="AT4">
        <f t="shared" ref="AT4:AT8" si="30">IF(AT3&lt;DMAX($A$1:$L$472,$W4,AT$1:AT$2),DMAX($A$1:$L$472,$W4,AT$1:AT$2),AT3)</f>
        <v>0</v>
      </c>
      <c r="AU4">
        <f t="shared" ref="AU4:AU8" si="31">IF(AU3&lt;DMAX($A$1:$L$472,$W4,AU$1:AU$2),DMAX($A$1:$L$472,$W4,AU$1:AU$2),AU3)</f>
        <v>0</v>
      </c>
      <c r="AV4">
        <f t="shared" ref="AV4:AW8" si="32">IF(AV3&lt;DMAX($A$1:$L$472,$W4,AV$1:AV$2),DMAX($A$1:$L$472,$W4,AV$1:AV$2),AV3)</f>
        <v>0</v>
      </c>
      <c r="AW4">
        <f t="shared" si="32"/>
        <v>5.8560507716717149E-2</v>
      </c>
      <c r="AX4">
        <f t="shared" ref="AX4:AX8" si="33">IF(AX3&lt;DMAX($A$1:$L$472,$W4,AX$1:AX$2),DMAX($A$1:$L$472,$W4,AX$1:AX$2),AX3)</f>
        <v>0</v>
      </c>
      <c r="AY4">
        <f t="shared" ref="AY4:AY8" si="34">IF(AY3&lt;DMAX($A$1:$L$472,$W4,AY$1:AY$2),DMAX($A$1:$L$472,$W4,AY$1:AY$2),AY3)</f>
        <v>0.18197246841410522</v>
      </c>
      <c r="AZ4">
        <f t="shared" ref="AZ4:AZ8" si="35">IF(AZ3&lt;DMAX($A$1:$L$472,$W4,AZ$1:AZ$2),DMAX($A$1:$L$472,$W4,AZ$1:AZ$2),AZ3)</f>
        <v>0.21200139551110594</v>
      </c>
      <c r="BA4">
        <f t="shared" ref="BA4:BB8" si="36">IF(BA3&lt;DMAX($A$1:$L$472,$W4,BA$1:BA$2),DMAX($A$1:$L$472,$W4,BA$1:BA$2),BA3)</f>
        <v>0</v>
      </c>
      <c r="BB4">
        <f t="shared" si="36"/>
        <v>0</v>
      </c>
      <c r="BC4">
        <f t="shared" ref="BC4:BC8" si="37">IF(BC3&lt;DMAX($A$1:$L$472,$W4,BC$1:BC$2),DMAX($A$1:$L$472,$W4,BC$1:BC$2),BC3)</f>
        <v>0.17873706742775597</v>
      </c>
      <c r="BD4">
        <f t="shared" ref="BD4:BD8" si="38">IF(BD3&lt;DMAX($A$1:$L$472,$W4,BD$1:BD$2),DMAX($A$1:$L$472,$W4,BD$1:BD$2),BD3)</f>
        <v>0.50216262975778547</v>
      </c>
      <c r="BE4">
        <f t="shared" ref="BE4:BE8" si="39">IF(BE3&lt;DMAX($A$1:$L$472,$W4,BE$1:BE$2),DMAX($A$1:$L$472,$W4,BE$1:BE$2),BE3)</f>
        <v>0</v>
      </c>
      <c r="BF4">
        <f t="shared" ref="BF4:BG8" si="40">IF(BF3&lt;DMAX($A$1:$L$472,$W4,BF$1:BF$2),DMAX($A$1:$L$472,$W4,BF$1:BF$2),BF3)</f>
        <v>2.0805920127759596E-3</v>
      </c>
      <c r="BG4">
        <f t="shared" si="40"/>
        <v>2.5039024786378769E-3</v>
      </c>
      <c r="BH4">
        <f t="shared" ref="BH4:BH8" si="41">IF(BH3&lt;DMAX($A$1:$L$472,$W4,BH$1:BH$2),DMAX($A$1:$L$472,$W4,BH$1:BH$2),BH3)</f>
        <v>3.6641402804552777E-3</v>
      </c>
      <c r="BI4">
        <f t="shared" ref="BI4:BI8" si="42">IF(BI3&lt;DMAX($A$1:$L$472,$W4,BI$1:BI$2),DMAX($A$1:$L$472,$W4,BI$1:BI$2),BI3)</f>
        <v>2.4198189713807356E-3</v>
      </c>
      <c r="BJ4">
        <f t="shared" ref="BJ4:BJ8" si="43">IF(BJ3&lt;DMAX($A$1:$L$472,$W4,BJ$1:BJ$2),DMAX($A$1:$L$472,$W4,BJ$1:BJ$2),BJ3)</f>
        <v>0</v>
      </c>
      <c r="BK4">
        <f t="shared" ref="BK4:BL8" si="44">IF(BK3&lt;DMAX($A$1:$L$472,$W4,BK$1:BK$2),DMAX($A$1:$L$472,$W4,BK$1:BK$2),BK3)</f>
        <v>0</v>
      </c>
      <c r="BL4">
        <f t="shared" si="44"/>
        <v>0</v>
      </c>
      <c r="BM4">
        <f t="shared" ref="BM4:BM8" si="45">IF(BM3&lt;DMAX($A$1:$L$472,$W4,BM$1:BM$2),DMAX($A$1:$L$472,$W4,BM$1:BM$2),BM3)</f>
        <v>0</v>
      </c>
      <c r="BN4">
        <f t="shared" ref="BN4:BN8" si="46">IF(BN3&lt;DMAX($A$1:$L$472,$W4,BN$1:BN$2),DMAX($A$1:$L$472,$W4,BN$1:BN$2),BN3)</f>
        <v>0</v>
      </c>
      <c r="BO4">
        <f t="shared" ref="BO4:BO8" si="47">IF(BO3&lt;DMAX($A$1:$L$472,$W4,BO$1:BO$2),DMAX($A$1:$L$472,$W4,BO$1:BO$2),BO3)</f>
        <v>0.26516815954030759</v>
      </c>
      <c r="BP4">
        <f t="shared" ref="BP4:BQ8" si="48">IF(BP3&lt;DMAX($A$1:$L$472,$W4,BP$1:BP$2),DMAX($A$1:$L$472,$W4,BP$1:BP$2),BP3)</f>
        <v>0.86941701819201311</v>
      </c>
      <c r="BQ4">
        <f t="shared" si="48"/>
        <v>0</v>
      </c>
      <c r="BR4">
        <f t="shared" ref="BR4:BR8" si="49">IF(BR3&lt;DMAX($A$1:$L$472,$W4,BR$1:BR$2),DMAX($A$1:$L$472,$W4,BR$1:BR$2),BR3)</f>
        <v>0</v>
      </c>
      <c r="BS4">
        <f t="shared" ref="BS4:BS8" si="50">IF(BS3&lt;DMAX($A$1:$L$472,$W4,BS$1:BS$2),DMAX($A$1:$L$472,$W4,BS$1:BS$2),BS3)</f>
        <v>0</v>
      </c>
      <c r="BT4">
        <f t="shared" ref="BT4:BT8" si="51">IF(BT3&lt;DMAX($A$1:$L$472,$W4,BT$1:BT$2),DMAX($A$1:$L$472,$W4,BT$1:BT$2),BT3)</f>
        <v>0</v>
      </c>
      <c r="BU4">
        <f t="shared" ref="BU4:BV8" si="52">IF(BU3&lt;DMAX($A$1:$L$472,$W4,BU$1:BU$2),DMAX($A$1:$L$472,$W4,BU$1:BU$2),BU3)</f>
        <v>0</v>
      </c>
      <c r="BV4">
        <f t="shared" si="52"/>
        <v>0</v>
      </c>
      <c r="BW4">
        <f t="shared" ref="BW4:BW8" si="53">IF(BW3&lt;DMAX($A$1:$L$472,$W4,BW$1:BW$2),DMAX($A$1:$L$472,$W4,BW$1:BW$2),BW3)</f>
        <v>0</v>
      </c>
      <c r="BX4">
        <f t="shared" ref="BX4:BX8" si="54">IF(BX3&lt;DMAX($A$1:$L$472,$W4,BX$1:BX$2),DMAX($A$1:$L$472,$W4,BX$1:BX$2),BX3)</f>
        <v>0</v>
      </c>
    </row>
    <row r="5" spans="1:76">
      <c r="A5" t="s">
        <v>4</v>
      </c>
      <c r="B5">
        <v>1</v>
      </c>
      <c r="C5" t="str">
        <f t="shared" si="0"/>
        <v>test.BallonFactory_1_</v>
      </c>
      <c r="D5">
        <v>4</v>
      </c>
      <c r="E5">
        <v>1</v>
      </c>
      <c r="F5">
        <v>1.705894</v>
      </c>
      <c r="G5" s="1" t="str">
        <f t="shared" si="1"/>
        <v/>
      </c>
      <c r="H5" s="1" t="str">
        <f t="shared" si="2"/>
        <v/>
      </c>
      <c r="I5" s="1" t="str">
        <f t="shared" si="3"/>
        <v/>
      </c>
      <c r="J5" s="1" t="str">
        <f t="shared" si="4"/>
        <v/>
      </c>
      <c r="K5" s="1" t="str">
        <f t="shared" si="5"/>
        <v/>
      </c>
      <c r="L5" s="1">
        <f t="shared" si="6"/>
        <v>1</v>
      </c>
      <c r="M5" s="1">
        <f>SUM(R5:V5)/64</f>
        <v>0.28125</v>
      </c>
      <c r="N5" s="1">
        <f t="shared" si="14"/>
        <v>7.8125E-2</v>
      </c>
      <c r="O5" s="1">
        <f t="shared" si="15"/>
        <v>53</v>
      </c>
      <c r="P5" t="s">
        <v>217</v>
      </c>
      <c r="Q5" s="3">
        <f t="shared" si="7"/>
        <v>35</v>
      </c>
      <c r="R5" s="3">
        <f t="shared" si="8"/>
        <v>10</v>
      </c>
      <c r="S5" s="3">
        <f t="shared" si="9"/>
        <v>3</v>
      </c>
      <c r="T5" s="3">
        <f t="shared" si="10"/>
        <v>2</v>
      </c>
      <c r="U5" s="3">
        <f t="shared" si="11"/>
        <v>1</v>
      </c>
      <c r="V5" s="3">
        <f t="shared" si="12"/>
        <v>2</v>
      </c>
      <c r="W5" t="s">
        <v>217</v>
      </c>
      <c r="X5">
        <f>IF(X4&lt;DMAX($A$1:$L$472,$W5,X$1:X$2),DMAX($A$1:$L$472,$W5,X$1:X$2),X4)</f>
        <v>0</v>
      </c>
      <c r="Y5">
        <f t="shared" si="16"/>
        <v>0</v>
      </c>
      <c r="Z5">
        <f t="shared" si="16"/>
        <v>0</v>
      </c>
      <c r="AA5">
        <f t="shared" si="16"/>
        <v>0</v>
      </c>
      <c r="AB5">
        <f t="shared" si="16"/>
        <v>0</v>
      </c>
      <c r="AC5">
        <f t="shared" si="16"/>
        <v>0</v>
      </c>
      <c r="AD5">
        <f t="shared" si="17"/>
        <v>0</v>
      </c>
      <c r="AE5">
        <f t="shared" si="18"/>
        <v>1.1308728282101368E-3</v>
      </c>
      <c r="AF5">
        <f t="shared" si="19"/>
        <v>0.12661637931034483</v>
      </c>
      <c r="AG5">
        <f t="shared" si="20"/>
        <v>0.38026788631166286</v>
      </c>
      <c r="AH5">
        <f t="shared" si="20"/>
        <v>0</v>
      </c>
      <c r="AI5">
        <f t="shared" si="21"/>
        <v>0.38785933167955639</v>
      </c>
      <c r="AJ5">
        <f t="shared" si="22"/>
        <v>1.3948256467941508E-2</v>
      </c>
      <c r="AK5">
        <f t="shared" si="23"/>
        <v>3.1705227077977724E-2</v>
      </c>
      <c r="AL5">
        <f t="shared" si="24"/>
        <v>0</v>
      </c>
      <c r="AM5">
        <f t="shared" si="24"/>
        <v>0</v>
      </c>
      <c r="AN5">
        <f t="shared" si="25"/>
        <v>0</v>
      </c>
      <c r="AO5">
        <f t="shared" si="26"/>
        <v>0</v>
      </c>
      <c r="AP5">
        <f t="shared" si="27"/>
        <v>0</v>
      </c>
      <c r="AQ5">
        <f t="shared" si="28"/>
        <v>4.4161358811040337E-2</v>
      </c>
      <c r="AR5">
        <f t="shared" si="28"/>
        <v>0</v>
      </c>
      <c r="AS5">
        <f t="shared" si="29"/>
        <v>0</v>
      </c>
      <c r="AT5">
        <f t="shared" si="30"/>
        <v>0</v>
      </c>
      <c r="AU5">
        <f t="shared" si="31"/>
        <v>0</v>
      </c>
      <c r="AV5">
        <f t="shared" si="32"/>
        <v>0</v>
      </c>
      <c r="AW5">
        <f t="shared" si="32"/>
        <v>5.8560507716717149E-2</v>
      </c>
      <c r="AX5">
        <f t="shared" si="33"/>
        <v>0</v>
      </c>
      <c r="AY5">
        <f t="shared" si="34"/>
        <v>0.78351876296435985</v>
      </c>
      <c r="AZ5">
        <f t="shared" si="35"/>
        <v>1</v>
      </c>
      <c r="BA5">
        <f t="shared" si="36"/>
        <v>0</v>
      </c>
      <c r="BB5">
        <f t="shared" si="36"/>
        <v>0</v>
      </c>
      <c r="BC5">
        <f t="shared" si="37"/>
        <v>0.73599714591509102</v>
      </c>
      <c r="BD5">
        <f t="shared" si="38"/>
        <v>0.64662629757785473</v>
      </c>
      <c r="BE5">
        <f t="shared" si="39"/>
        <v>0</v>
      </c>
      <c r="BF5">
        <f t="shared" si="40"/>
        <v>2.0805920127759596E-3</v>
      </c>
      <c r="BG5">
        <f t="shared" si="40"/>
        <v>0.23968437294161171</v>
      </c>
      <c r="BH5">
        <f t="shared" si="41"/>
        <v>3.6641402804552777E-3</v>
      </c>
      <c r="BI5">
        <f t="shared" si="42"/>
        <v>2.4198189713807356E-3</v>
      </c>
      <c r="BJ5">
        <f t="shared" si="43"/>
        <v>0</v>
      </c>
      <c r="BK5">
        <f t="shared" si="44"/>
        <v>0</v>
      </c>
      <c r="BL5">
        <f t="shared" si="44"/>
        <v>0</v>
      </c>
      <c r="BM5">
        <f t="shared" si="45"/>
        <v>0</v>
      </c>
      <c r="BN5">
        <f t="shared" si="46"/>
        <v>0</v>
      </c>
      <c r="BO5">
        <f t="shared" si="47"/>
        <v>0.29187088051377386</v>
      </c>
      <c r="BP5">
        <f t="shared" si="48"/>
        <v>1</v>
      </c>
      <c r="BQ5">
        <f t="shared" si="48"/>
        <v>0</v>
      </c>
      <c r="BR5">
        <f t="shared" si="49"/>
        <v>0</v>
      </c>
      <c r="BS5">
        <f t="shared" si="50"/>
        <v>0</v>
      </c>
      <c r="BT5">
        <f t="shared" si="51"/>
        <v>0</v>
      </c>
      <c r="BU5">
        <f t="shared" si="52"/>
        <v>0</v>
      </c>
      <c r="BV5">
        <f t="shared" si="52"/>
        <v>0</v>
      </c>
      <c r="BW5">
        <f t="shared" si="53"/>
        <v>0</v>
      </c>
      <c r="BX5">
        <f t="shared" si="54"/>
        <v>0</v>
      </c>
    </row>
    <row r="6" spans="1:76">
      <c r="A6" t="s">
        <v>4</v>
      </c>
      <c r="B6">
        <v>1</v>
      </c>
      <c r="C6" t="str">
        <f t="shared" si="0"/>
        <v>test.BallonFactory_1_</v>
      </c>
      <c r="D6">
        <v>1</v>
      </c>
      <c r="E6">
        <v>1</v>
      </c>
      <c r="F6">
        <v>1.7647058823529411</v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" t="str">
        <f t="shared" si="4"/>
        <v/>
      </c>
      <c r="K6" s="1" t="str">
        <f t="shared" si="5"/>
        <v/>
      </c>
      <c r="L6" s="1">
        <f t="shared" si="6"/>
        <v>1</v>
      </c>
      <c r="M6" s="1">
        <f>25/64</f>
        <v>0.390625</v>
      </c>
      <c r="N6" s="1">
        <f>SUM(T6:V6)/64</f>
        <v>0.109375</v>
      </c>
      <c r="O6" s="1">
        <f t="shared" si="15"/>
        <v>53</v>
      </c>
      <c r="P6" t="s">
        <v>218</v>
      </c>
      <c r="Q6" s="3">
        <f t="shared" si="7"/>
        <v>27</v>
      </c>
      <c r="R6" s="3">
        <f t="shared" si="8"/>
        <v>16</v>
      </c>
      <c r="S6" s="3">
        <f t="shared" si="9"/>
        <v>3</v>
      </c>
      <c r="T6" s="3">
        <f t="shared" si="10"/>
        <v>2</v>
      </c>
      <c r="U6" s="3">
        <f t="shared" si="11"/>
        <v>0</v>
      </c>
      <c r="V6" s="3">
        <f t="shared" si="12"/>
        <v>5</v>
      </c>
      <c r="W6" t="s">
        <v>218</v>
      </c>
      <c r="X6">
        <f>IF(X5&lt;DMAX($A$1:$L$472,$W6,X$1:X$2),DMAX($A$1:$L$472,$W6,X$1:X$2),X5)</f>
        <v>0</v>
      </c>
      <c r="Y6">
        <f t="shared" si="16"/>
        <v>0</v>
      </c>
      <c r="Z6">
        <f t="shared" si="16"/>
        <v>0</v>
      </c>
      <c r="AA6">
        <f t="shared" si="16"/>
        <v>0.14544760450467648</v>
      </c>
      <c r="AB6">
        <f t="shared" si="16"/>
        <v>0</v>
      </c>
      <c r="AC6">
        <f t="shared" si="16"/>
        <v>0</v>
      </c>
      <c r="AD6">
        <f t="shared" si="17"/>
        <v>0</v>
      </c>
      <c r="AE6">
        <f t="shared" si="18"/>
        <v>1.1308728282101368E-3</v>
      </c>
      <c r="AF6">
        <f t="shared" si="19"/>
        <v>0.12661637931034483</v>
      </c>
      <c r="AG6">
        <f t="shared" si="20"/>
        <v>1</v>
      </c>
      <c r="AH6">
        <f t="shared" si="20"/>
        <v>0</v>
      </c>
      <c r="AI6">
        <f t="shared" si="21"/>
        <v>0.54056617539763607</v>
      </c>
      <c r="AJ6">
        <f t="shared" si="22"/>
        <v>1.3948256467941508E-2</v>
      </c>
      <c r="AK6">
        <f t="shared" si="23"/>
        <v>3.1705227077977724E-2</v>
      </c>
      <c r="AL6">
        <f t="shared" si="24"/>
        <v>7.1806030463164444E-2</v>
      </c>
      <c r="AM6">
        <f t="shared" si="24"/>
        <v>0</v>
      </c>
      <c r="AN6">
        <f t="shared" si="25"/>
        <v>0</v>
      </c>
      <c r="AO6">
        <f t="shared" si="26"/>
        <v>0</v>
      </c>
      <c r="AP6">
        <f t="shared" si="27"/>
        <v>0</v>
      </c>
      <c r="AQ6">
        <f t="shared" si="28"/>
        <v>4.4161358811040337E-2</v>
      </c>
      <c r="AR6">
        <f t="shared" si="28"/>
        <v>0.27879901960784315</v>
      </c>
      <c r="AS6">
        <f t="shared" si="29"/>
        <v>0.14208273894436518</v>
      </c>
      <c r="AT6">
        <f t="shared" si="30"/>
        <v>5.4328358208955221E-2</v>
      </c>
      <c r="AU6">
        <f t="shared" si="31"/>
        <v>0</v>
      </c>
      <c r="AV6">
        <f t="shared" si="32"/>
        <v>0</v>
      </c>
      <c r="AW6">
        <f t="shared" si="32"/>
        <v>5.8560507716717149E-2</v>
      </c>
      <c r="AX6">
        <f t="shared" si="33"/>
        <v>0</v>
      </c>
      <c r="AY6">
        <f t="shared" si="34"/>
        <v>1</v>
      </c>
      <c r="AZ6">
        <f t="shared" si="35"/>
        <v>1</v>
      </c>
      <c r="BA6">
        <f t="shared" si="36"/>
        <v>0</v>
      </c>
      <c r="BB6">
        <f t="shared" si="36"/>
        <v>0</v>
      </c>
      <c r="BC6">
        <f t="shared" si="37"/>
        <v>1</v>
      </c>
      <c r="BD6">
        <f t="shared" si="38"/>
        <v>0.64662629757785473</v>
      </c>
      <c r="BE6">
        <f t="shared" si="39"/>
        <v>0</v>
      </c>
      <c r="BF6">
        <f t="shared" si="40"/>
        <v>2.0805920127759596E-3</v>
      </c>
      <c r="BG6">
        <f t="shared" si="40"/>
        <v>0.37500338365199815</v>
      </c>
      <c r="BH6">
        <f t="shared" si="41"/>
        <v>3.6641402804552777E-3</v>
      </c>
      <c r="BI6">
        <f t="shared" si="42"/>
        <v>2.4198189713807356E-3</v>
      </c>
      <c r="BJ6">
        <f t="shared" si="43"/>
        <v>0</v>
      </c>
      <c r="BK6">
        <f t="shared" si="44"/>
        <v>0</v>
      </c>
      <c r="BL6">
        <f t="shared" si="44"/>
        <v>0</v>
      </c>
      <c r="BM6">
        <f t="shared" si="45"/>
        <v>0.12802626179729176</v>
      </c>
      <c r="BN6">
        <f t="shared" si="46"/>
        <v>0</v>
      </c>
      <c r="BO6">
        <f t="shared" si="47"/>
        <v>0.29187088051377386</v>
      </c>
      <c r="BP6">
        <f t="shared" si="48"/>
        <v>1</v>
      </c>
      <c r="BQ6">
        <f t="shared" si="48"/>
        <v>0</v>
      </c>
      <c r="BR6">
        <f t="shared" si="49"/>
        <v>0</v>
      </c>
      <c r="BS6">
        <f t="shared" si="50"/>
        <v>2.2157996146435453E-2</v>
      </c>
      <c r="BT6">
        <f t="shared" si="51"/>
        <v>0</v>
      </c>
      <c r="BU6">
        <f t="shared" si="52"/>
        <v>0</v>
      </c>
      <c r="BV6">
        <f t="shared" si="52"/>
        <v>1.5432098765432098E-2</v>
      </c>
      <c r="BW6">
        <f t="shared" si="53"/>
        <v>0</v>
      </c>
      <c r="BX6">
        <f t="shared" si="54"/>
        <v>0</v>
      </c>
    </row>
    <row r="7" spans="1:76">
      <c r="A7" t="s">
        <v>4</v>
      </c>
      <c r="B7">
        <v>1</v>
      </c>
      <c r="C7" t="str">
        <f t="shared" si="0"/>
        <v>test.BallonFactory_1_</v>
      </c>
      <c r="D7">
        <v>2</v>
      </c>
      <c r="E7">
        <v>1</v>
      </c>
      <c r="F7">
        <v>1.7647117647058823</v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" t="str">
        <f t="shared" si="4"/>
        <v/>
      </c>
      <c r="K7" s="1" t="str">
        <f t="shared" si="5"/>
        <v/>
      </c>
      <c r="L7" s="1">
        <f t="shared" si="6"/>
        <v>1</v>
      </c>
      <c r="M7" s="1"/>
      <c r="N7" s="1">
        <f t="shared" si="14"/>
        <v>0.1875</v>
      </c>
      <c r="O7" s="1">
        <f t="shared" si="15"/>
        <v>53</v>
      </c>
      <c r="P7" s="2" t="s">
        <v>219</v>
      </c>
      <c r="Q7" s="3">
        <f t="shared" si="7"/>
        <v>21</v>
      </c>
      <c r="R7" s="3">
        <f t="shared" si="8"/>
        <v>15</v>
      </c>
      <c r="S7" s="3">
        <f t="shared" si="9"/>
        <v>5</v>
      </c>
      <c r="T7" s="3">
        <f t="shared" si="10"/>
        <v>1</v>
      </c>
      <c r="U7" s="3">
        <f t="shared" si="11"/>
        <v>2</v>
      </c>
      <c r="V7" s="3">
        <f t="shared" si="12"/>
        <v>9</v>
      </c>
      <c r="W7" s="2" t="s">
        <v>219</v>
      </c>
      <c r="X7">
        <f>IF(X6&lt;DMAX($A$1:$L$472,$W7,X$1:X$2),DMAX($A$1:$L$472,$W7,X$1:X$2),X6)</f>
        <v>0</v>
      </c>
      <c r="Y7">
        <f t="shared" si="16"/>
        <v>0.18739903069466882</v>
      </c>
      <c r="Z7">
        <f t="shared" si="16"/>
        <v>0</v>
      </c>
      <c r="AA7">
        <f t="shared" si="16"/>
        <v>0.94922695170834126</v>
      </c>
      <c r="AB7">
        <f t="shared" si="16"/>
        <v>0.11263736263736264</v>
      </c>
      <c r="AC7">
        <f t="shared" si="16"/>
        <v>0</v>
      </c>
      <c r="AD7">
        <f t="shared" si="17"/>
        <v>0</v>
      </c>
      <c r="AE7">
        <f t="shared" si="18"/>
        <v>1.1308728282101368E-3</v>
      </c>
      <c r="AF7">
        <f t="shared" si="19"/>
        <v>0.12661637931034483</v>
      </c>
      <c r="AG7">
        <f t="shared" si="20"/>
        <v>1</v>
      </c>
      <c r="AH7">
        <f t="shared" si="20"/>
        <v>0</v>
      </c>
      <c r="AI7">
        <f t="shared" si="21"/>
        <v>0.99883262804611117</v>
      </c>
      <c r="AJ7">
        <f t="shared" si="22"/>
        <v>0.29988751406074243</v>
      </c>
      <c r="AK7">
        <f t="shared" si="23"/>
        <v>0.26006855184233074</v>
      </c>
      <c r="AL7">
        <f t="shared" si="24"/>
        <v>0.25240907677960833</v>
      </c>
      <c r="AM7">
        <f t="shared" si="24"/>
        <v>0</v>
      </c>
      <c r="AN7">
        <f t="shared" si="25"/>
        <v>0</v>
      </c>
      <c r="AO7">
        <f t="shared" si="26"/>
        <v>0</v>
      </c>
      <c r="AP7">
        <f t="shared" si="27"/>
        <v>8.4112149532710276E-2</v>
      </c>
      <c r="AQ7">
        <f t="shared" si="28"/>
        <v>4.4161358811040337E-2</v>
      </c>
      <c r="AR7">
        <f t="shared" si="28"/>
        <v>0.59497549019607843</v>
      </c>
      <c r="AS7">
        <f t="shared" si="29"/>
        <v>0.37517831669044222</v>
      </c>
      <c r="AT7">
        <f t="shared" si="30"/>
        <v>0.16417910447761194</v>
      </c>
      <c r="AU7">
        <f t="shared" si="31"/>
        <v>0</v>
      </c>
      <c r="AV7">
        <f t="shared" si="32"/>
        <v>0</v>
      </c>
      <c r="AW7">
        <f t="shared" si="32"/>
        <v>5.8560507716717149E-2</v>
      </c>
      <c r="AX7">
        <f t="shared" si="33"/>
        <v>0</v>
      </c>
      <c r="AY7">
        <f t="shared" si="34"/>
        <v>1</v>
      </c>
      <c r="AZ7">
        <f t="shared" si="35"/>
        <v>1</v>
      </c>
      <c r="BA7">
        <f t="shared" si="36"/>
        <v>0</v>
      </c>
      <c r="BB7">
        <f t="shared" si="36"/>
        <v>1</v>
      </c>
      <c r="BC7">
        <f t="shared" si="37"/>
        <v>1</v>
      </c>
      <c r="BD7">
        <f t="shared" si="38"/>
        <v>1</v>
      </c>
      <c r="BE7">
        <f t="shared" si="39"/>
        <v>0</v>
      </c>
      <c r="BF7">
        <f t="shared" si="40"/>
        <v>2.0805920127759596E-3</v>
      </c>
      <c r="BG7">
        <f t="shared" si="40"/>
        <v>1</v>
      </c>
      <c r="BH7">
        <f t="shared" si="41"/>
        <v>3.6641402804552777E-3</v>
      </c>
      <c r="BI7">
        <f t="shared" si="42"/>
        <v>2.4198189713807356E-3</v>
      </c>
      <c r="BJ7">
        <f t="shared" si="43"/>
        <v>0</v>
      </c>
      <c r="BK7">
        <f t="shared" si="44"/>
        <v>0</v>
      </c>
      <c r="BL7">
        <f t="shared" si="44"/>
        <v>0</v>
      </c>
      <c r="BM7">
        <f t="shared" si="45"/>
        <v>0.12802626179729176</v>
      </c>
      <c r="BN7">
        <f t="shared" si="46"/>
        <v>0.26559060895084374</v>
      </c>
      <c r="BO7">
        <f t="shared" si="47"/>
        <v>1</v>
      </c>
      <c r="BP7">
        <f t="shared" si="48"/>
        <v>1</v>
      </c>
      <c r="BQ7">
        <f t="shared" si="48"/>
        <v>0</v>
      </c>
      <c r="BR7">
        <f t="shared" si="49"/>
        <v>0</v>
      </c>
      <c r="BS7">
        <f t="shared" si="50"/>
        <v>0.20841361592806679</v>
      </c>
      <c r="BT7">
        <f t="shared" si="51"/>
        <v>4.7422680412371132E-2</v>
      </c>
      <c r="BU7">
        <f t="shared" si="52"/>
        <v>0</v>
      </c>
      <c r="BV7">
        <f t="shared" si="52"/>
        <v>1.5432098765432098E-2</v>
      </c>
      <c r="BW7">
        <f t="shared" si="53"/>
        <v>0</v>
      </c>
      <c r="BX7">
        <f t="shared" si="54"/>
        <v>0</v>
      </c>
    </row>
    <row r="8" spans="1:76">
      <c r="A8" t="s">
        <v>4</v>
      </c>
      <c r="B8">
        <v>1</v>
      </c>
      <c r="C8" t="str">
        <f t="shared" si="0"/>
        <v>test.BallonFactory_1_</v>
      </c>
      <c r="D8">
        <v>3</v>
      </c>
      <c r="E8">
        <v>1</v>
      </c>
      <c r="F8">
        <v>1.7647175294117647</v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" t="str">
        <f t="shared" si="4"/>
        <v/>
      </c>
      <c r="K8" s="1" t="str">
        <f t="shared" si="5"/>
        <v/>
      </c>
      <c r="L8" s="1">
        <f t="shared" si="6"/>
        <v>1</v>
      </c>
      <c r="M8" s="1"/>
      <c r="N8" s="1">
        <f>SUM(T8:V8)/64</f>
        <v>0.828125</v>
      </c>
      <c r="O8" s="1"/>
      <c r="P8" s="1" t="s">
        <v>220</v>
      </c>
      <c r="Q8" s="3">
        <f t="shared" si="7"/>
        <v>0</v>
      </c>
      <c r="R8" s="3">
        <f t="shared" si="8"/>
        <v>0</v>
      </c>
      <c r="S8" s="3">
        <f t="shared" si="9"/>
        <v>0</v>
      </c>
      <c r="T8" s="3">
        <f t="shared" si="10"/>
        <v>0</v>
      </c>
      <c r="U8" s="3">
        <f t="shared" si="11"/>
        <v>0</v>
      </c>
      <c r="V8" s="3">
        <f t="shared" si="12"/>
        <v>53</v>
      </c>
      <c r="W8" s="2" t="s">
        <v>220</v>
      </c>
      <c r="X8">
        <f>IF(X7&lt;DMAX($A$1:$L$472,$W8,X$1:X$2),DMAX($A$1:$L$472,$W8,X$1:X$2),X7)</f>
        <v>1</v>
      </c>
      <c r="Y8">
        <f t="shared" si="16"/>
        <v>1</v>
      </c>
      <c r="Z8">
        <f t="shared" si="16"/>
        <v>1</v>
      </c>
      <c r="AA8">
        <f t="shared" si="16"/>
        <v>1</v>
      </c>
      <c r="AB8">
        <f t="shared" si="16"/>
        <v>1</v>
      </c>
      <c r="AC8">
        <f t="shared" si="16"/>
        <v>1</v>
      </c>
      <c r="AD8">
        <f t="shared" si="17"/>
        <v>1</v>
      </c>
      <c r="AE8">
        <f t="shared" si="18"/>
        <v>1</v>
      </c>
      <c r="AF8">
        <f t="shared" si="19"/>
        <v>1</v>
      </c>
      <c r="AG8">
        <f t="shared" si="20"/>
        <v>1</v>
      </c>
      <c r="AH8">
        <f t="shared" si="20"/>
        <v>1</v>
      </c>
      <c r="AI8">
        <f t="shared" si="21"/>
        <v>1</v>
      </c>
      <c r="AJ8">
        <f t="shared" si="22"/>
        <v>1</v>
      </c>
      <c r="AK8">
        <f t="shared" si="23"/>
        <v>1</v>
      </c>
      <c r="AL8">
        <f t="shared" si="24"/>
        <v>1</v>
      </c>
      <c r="AM8">
        <f t="shared" si="24"/>
        <v>1</v>
      </c>
      <c r="AN8">
        <f t="shared" si="25"/>
        <v>1</v>
      </c>
      <c r="AO8">
        <f t="shared" si="26"/>
        <v>1</v>
      </c>
      <c r="AP8">
        <f t="shared" si="27"/>
        <v>1</v>
      </c>
      <c r="AQ8">
        <f t="shared" si="28"/>
        <v>1</v>
      </c>
      <c r="AR8">
        <f t="shared" si="28"/>
        <v>1</v>
      </c>
      <c r="AS8">
        <f t="shared" si="29"/>
        <v>1</v>
      </c>
      <c r="AT8">
        <f t="shared" si="30"/>
        <v>1</v>
      </c>
      <c r="AU8">
        <f t="shared" si="31"/>
        <v>1</v>
      </c>
      <c r="AV8">
        <f t="shared" si="32"/>
        <v>1</v>
      </c>
      <c r="AW8">
        <f t="shared" si="32"/>
        <v>1</v>
      </c>
      <c r="AX8">
        <f t="shared" si="33"/>
        <v>1</v>
      </c>
      <c r="AY8">
        <f t="shared" si="34"/>
        <v>1</v>
      </c>
      <c r="AZ8">
        <f t="shared" si="35"/>
        <v>1</v>
      </c>
      <c r="BA8">
        <f t="shared" si="36"/>
        <v>1</v>
      </c>
      <c r="BB8">
        <f t="shared" si="36"/>
        <v>1</v>
      </c>
      <c r="BC8">
        <f t="shared" si="37"/>
        <v>1</v>
      </c>
      <c r="BD8">
        <f t="shared" si="38"/>
        <v>1</v>
      </c>
      <c r="BE8">
        <f t="shared" si="39"/>
        <v>1</v>
      </c>
      <c r="BF8">
        <f t="shared" si="40"/>
        <v>1</v>
      </c>
      <c r="BG8">
        <f t="shared" si="40"/>
        <v>1</v>
      </c>
      <c r="BH8">
        <f t="shared" si="41"/>
        <v>1</v>
      </c>
      <c r="BI8">
        <f t="shared" si="42"/>
        <v>1</v>
      </c>
      <c r="BJ8">
        <f t="shared" si="43"/>
        <v>1</v>
      </c>
      <c r="BK8">
        <f t="shared" si="44"/>
        <v>1</v>
      </c>
      <c r="BL8">
        <f t="shared" si="44"/>
        <v>1</v>
      </c>
      <c r="BM8">
        <f t="shared" si="45"/>
        <v>1</v>
      </c>
      <c r="BN8">
        <f t="shared" si="46"/>
        <v>1</v>
      </c>
      <c r="BO8">
        <f t="shared" si="47"/>
        <v>1</v>
      </c>
      <c r="BP8">
        <f t="shared" si="48"/>
        <v>1</v>
      </c>
      <c r="BQ8">
        <f t="shared" si="48"/>
        <v>1</v>
      </c>
      <c r="BR8">
        <f t="shared" si="49"/>
        <v>1</v>
      </c>
      <c r="BS8">
        <f t="shared" si="50"/>
        <v>1</v>
      </c>
      <c r="BT8">
        <f t="shared" si="51"/>
        <v>1</v>
      </c>
      <c r="BU8">
        <f t="shared" si="52"/>
        <v>1</v>
      </c>
      <c r="BV8">
        <f t="shared" si="52"/>
        <v>1</v>
      </c>
      <c r="BW8">
        <f t="shared" si="53"/>
        <v>1</v>
      </c>
      <c r="BX8">
        <f t="shared" si="54"/>
        <v>1</v>
      </c>
    </row>
    <row r="9" spans="1:76">
      <c r="A9" t="s">
        <v>4</v>
      </c>
      <c r="B9">
        <v>1</v>
      </c>
      <c r="C9" t="str">
        <f t="shared" si="0"/>
        <v>test.BallonFactory_1_</v>
      </c>
      <c r="D9">
        <v>4</v>
      </c>
      <c r="E9">
        <v>1</v>
      </c>
      <c r="F9">
        <v>1.9411764705882353</v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" t="str">
        <f t="shared" si="4"/>
        <v/>
      </c>
      <c r="K9" s="1" t="str">
        <f t="shared" si="5"/>
        <v/>
      </c>
      <c r="L9" s="1">
        <f t="shared" si="6"/>
        <v>1</v>
      </c>
    </row>
    <row r="10" spans="1:76">
      <c r="A10" t="s">
        <v>4</v>
      </c>
      <c r="B10">
        <v>2</v>
      </c>
      <c r="C10" t="str">
        <f t="shared" si="0"/>
        <v>test.BallonFactory_2_</v>
      </c>
      <c r="D10">
        <v>5</v>
      </c>
      <c r="E10">
        <v>0.18739903069466882</v>
      </c>
      <c r="F10">
        <v>1</v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" t="str">
        <f t="shared" si="4"/>
        <v/>
      </c>
      <c r="K10" s="1">
        <f t="shared" si="5"/>
        <v>0.18739903069466882</v>
      </c>
      <c r="L10" s="1" t="str">
        <f t="shared" si="6"/>
        <v/>
      </c>
    </row>
    <row r="11" spans="1:76">
      <c r="A11" t="s">
        <v>4</v>
      </c>
      <c r="B11">
        <v>2</v>
      </c>
      <c r="C11" t="str">
        <f t="shared" si="0"/>
        <v>test.BallonFactory_2_</v>
      </c>
      <c r="D11">
        <v>6</v>
      </c>
      <c r="E11">
        <v>0.41357027463651053</v>
      </c>
      <c r="F11">
        <v>1.2857142857142858</v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" t="str">
        <f t="shared" si="4"/>
        <v/>
      </c>
      <c r="K11" s="1" t="str">
        <f t="shared" si="5"/>
        <v/>
      </c>
      <c r="L11" s="1">
        <f t="shared" si="6"/>
        <v>0.41357027463651053</v>
      </c>
    </row>
    <row r="12" spans="1:76">
      <c r="A12" t="s">
        <v>4</v>
      </c>
      <c r="B12">
        <v>2</v>
      </c>
      <c r="C12" t="str">
        <f t="shared" si="0"/>
        <v>test.BallonFactory_2_</v>
      </c>
      <c r="D12">
        <v>7</v>
      </c>
      <c r="E12">
        <v>0.68093699515347339</v>
      </c>
      <c r="F12">
        <v>1.4285714285714286</v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" t="str">
        <f t="shared" si="4"/>
        <v/>
      </c>
      <c r="K12" s="1" t="str">
        <f t="shared" si="5"/>
        <v/>
      </c>
      <c r="L12" s="1">
        <f t="shared" si="6"/>
        <v>0.68093699515347339</v>
      </c>
    </row>
    <row r="13" spans="1:76">
      <c r="A13" t="s">
        <v>4</v>
      </c>
      <c r="B13">
        <v>2</v>
      </c>
      <c r="C13" t="str">
        <f t="shared" si="0"/>
        <v>test.BallonFactory_2_</v>
      </c>
      <c r="D13">
        <v>8</v>
      </c>
      <c r="E13">
        <v>0.68093699515347339</v>
      </c>
      <c r="F13">
        <v>1.4285857142857143</v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" t="str">
        <f t="shared" si="4"/>
        <v/>
      </c>
      <c r="K13" s="1" t="str">
        <f t="shared" si="5"/>
        <v/>
      </c>
      <c r="L13" s="1">
        <f t="shared" si="6"/>
        <v>0.68093699515347339</v>
      </c>
    </row>
    <row r="14" spans="1:76">
      <c r="A14" t="s">
        <v>4</v>
      </c>
      <c r="B14">
        <v>2</v>
      </c>
      <c r="C14" t="str">
        <f t="shared" si="0"/>
        <v>test.BallonFactory_2_</v>
      </c>
      <c r="D14">
        <v>9</v>
      </c>
      <c r="E14">
        <v>0.68093699515347339</v>
      </c>
      <c r="F14">
        <v>1.4285999999999999</v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" t="str">
        <f t="shared" si="4"/>
        <v/>
      </c>
      <c r="K14" s="1" t="str">
        <f t="shared" si="5"/>
        <v/>
      </c>
      <c r="L14" s="1">
        <f t="shared" si="6"/>
        <v>0.68093699515347339</v>
      </c>
    </row>
    <row r="15" spans="1:76">
      <c r="A15" t="s">
        <v>4</v>
      </c>
      <c r="B15">
        <v>2</v>
      </c>
      <c r="C15" t="str">
        <f t="shared" si="0"/>
        <v>test.BallonFactory_2_</v>
      </c>
      <c r="D15">
        <v>10</v>
      </c>
      <c r="E15">
        <v>0.68093699515347339</v>
      </c>
      <c r="F15">
        <v>1.5714285714285714</v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" t="str">
        <f t="shared" si="4"/>
        <v/>
      </c>
      <c r="K15" s="1" t="str">
        <f t="shared" si="5"/>
        <v/>
      </c>
      <c r="L15" s="1">
        <f t="shared" si="6"/>
        <v>0.68093699515347339</v>
      </c>
    </row>
    <row r="16" spans="1:76">
      <c r="A16" t="s">
        <v>4</v>
      </c>
      <c r="B16">
        <v>2</v>
      </c>
      <c r="C16" t="str">
        <f t="shared" si="0"/>
        <v>test.BallonFactory_2_</v>
      </c>
      <c r="D16">
        <v>11</v>
      </c>
      <c r="E16">
        <v>0.97738287560581583</v>
      </c>
      <c r="F16">
        <v>1.5714428571428571</v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" t="str">
        <f t="shared" si="4"/>
        <v/>
      </c>
      <c r="K16" s="1" t="str">
        <f t="shared" si="5"/>
        <v/>
      </c>
      <c r="L16" s="1">
        <f t="shared" si="6"/>
        <v>0.97738287560581583</v>
      </c>
    </row>
    <row r="17" spans="1:12">
      <c r="A17" t="s">
        <v>4</v>
      </c>
      <c r="B17">
        <v>2</v>
      </c>
      <c r="C17" t="str">
        <f t="shared" si="0"/>
        <v>test.BallonFactory_2_</v>
      </c>
      <c r="D17">
        <v>12</v>
      </c>
      <c r="E17">
        <v>0.98707592891760909</v>
      </c>
      <c r="F17">
        <v>1.5714571428571429</v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" t="str">
        <f t="shared" si="4"/>
        <v/>
      </c>
      <c r="K17" s="1" t="str">
        <f t="shared" si="5"/>
        <v/>
      </c>
      <c r="L17" s="1">
        <f t="shared" si="6"/>
        <v>0.98707592891760909</v>
      </c>
    </row>
    <row r="18" spans="1:12">
      <c r="A18" t="s">
        <v>4</v>
      </c>
      <c r="B18">
        <v>2</v>
      </c>
      <c r="C18" t="str">
        <f t="shared" si="0"/>
        <v>test.BallonFactory_2_</v>
      </c>
      <c r="D18">
        <v>13</v>
      </c>
      <c r="E18">
        <v>0.98707592891760909</v>
      </c>
      <c r="F18">
        <v>1.5714714285714284</v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" t="str">
        <f t="shared" si="4"/>
        <v/>
      </c>
      <c r="K18" s="1" t="str">
        <f t="shared" si="5"/>
        <v/>
      </c>
      <c r="L18" s="1">
        <f t="shared" si="6"/>
        <v>0.98707592891760909</v>
      </c>
    </row>
    <row r="19" spans="1:12">
      <c r="A19" t="s">
        <v>4</v>
      </c>
      <c r="B19">
        <v>2</v>
      </c>
      <c r="C19" t="str">
        <f t="shared" si="0"/>
        <v>test.BallonFactory_2_</v>
      </c>
      <c r="D19">
        <v>14</v>
      </c>
      <c r="E19">
        <v>0.99676898222940225</v>
      </c>
      <c r="F19">
        <v>1.5714858571428572</v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" t="str">
        <f t="shared" si="4"/>
        <v/>
      </c>
      <c r="K19" s="1" t="str">
        <f t="shared" si="5"/>
        <v/>
      </c>
      <c r="L19" s="1">
        <f t="shared" si="6"/>
        <v>0.99676898222940225</v>
      </c>
    </row>
    <row r="20" spans="1:12">
      <c r="A20" t="s">
        <v>4</v>
      </c>
      <c r="B20">
        <v>2</v>
      </c>
      <c r="C20" t="str">
        <f t="shared" si="0"/>
        <v>test.BallonFactory_2_</v>
      </c>
      <c r="D20">
        <v>15</v>
      </c>
      <c r="E20">
        <v>0.99676898222940225</v>
      </c>
      <c r="F20">
        <v>1.5715001428571429</v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" t="str">
        <f t="shared" si="4"/>
        <v/>
      </c>
      <c r="K20" s="1" t="str">
        <f t="shared" si="5"/>
        <v/>
      </c>
      <c r="L20" s="1">
        <f t="shared" si="6"/>
        <v>0.99676898222940225</v>
      </c>
    </row>
    <row r="21" spans="1:12">
      <c r="A21" t="s">
        <v>4</v>
      </c>
      <c r="B21">
        <v>2</v>
      </c>
      <c r="C21" t="str">
        <f t="shared" si="0"/>
        <v>test.BallonFactory_2_</v>
      </c>
      <c r="D21">
        <v>1</v>
      </c>
      <c r="E21">
        <v>0.99676898222940225</v>
      </c>
      <c r="F21">
        <v>1.7142857142857142</v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" t="str">
        <f t="shared" si="4"/>
        <v/>
      </c>
      <c r="K21" s="1" t="str">
        <f t="shared" si="5"/>
        <v/>
      </c>
      <c r="L21" s="1">
        <f t="shared" si="6"/>
        <v>0.99676898222940225</v>
      </c>
    </row>
    <row r="22" spans="1:12">
      <c r="A22" t="s">
        <v>4</v>
      </c>
      <c r="B22">
        <v>2</v>
      </c>
      <c r="C22" t="str">
        <f t="shared" si="0"/>
        <v>test.BallonFactory_2_</v>
      </c>
      <c r="D22">
        <v>2</v>
      </c>
      <c r="E22">
        <v>0.99676898222940225</v>
      </c>
      <c r="F22">
        <v>1.7142999999999999</v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" t="str">
        <f t="shared" si="4"/>
        <v/>
      </c>
      <c r="K22" s="1" t="str">
        <f t="shared" si="5"/>
        <v/>
      </c>
      <c r="L22" s="1">
        <f t="shared" si="6"/>
        <v>0.99676898222940225</v>
      </c>
    </row>
    <row r="23" spans="1:12">
      <c r="A23" t="s">
        <v>4</v>
      </c>
      <c r="B23">
        <v>2</v>
      </c>
      <c r="C23" t="str">
        <f t="shared" si="0"/>
        <v>test.BallonFactory_2_</v>
      </c>
      <c r="D23">
        <v>3</v>
      </c>
      <c r="E23">
        <v>0.99676898222940225</v>
      </c>
      <c r="F23">
        <v>1.7143142857142857</v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" t="str">
        <f t="shared" si="4"/>
        <v/>
      </c>
      <c r="K23" s="1" t="str">
        <f t="shared" si="5"/>
        <v/>
      </c>
      <c r="L23" s="1">
        <f t="shared" si="6"/>
        <v>0.99676898222940225</v>
      </c>
    </row>
    <row r="24" spans="1:12">
      <c r="A24" t="s">
        <v>4</v>
      </c>
      <c r="B24">
        <v>2</v>
      </c>
      <c r="C24" t="str">
        <f t="shared" si="0"/>
        <v>test.BallonFactory_2_</v>
      </c>
      <c r="D24">
        <v>4</v>
      </c>
      <c r="E24">
        <v>1</v>
      </c>
      <c r="F24">
        <v>2.4285714285714284</v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" t="str">
        <f t="shared" si="4"/>
        <v/>
      </c>
      <c r="K24" s="1" t="str">
        <f t="shared" si="5"/>
        <v/>
      </c>
      <c r="L24" s="1">
        <f t="shared" si="6"/>
        <v>1</v>
      </c>
    </row>
    <row r="25" spans="1:12">
      <c r="A25" t="s">
        <v>4</v>
      </c>
      <c r="B25">
        <v>6</v>
      </c>
      <c r="C25" t="str">
        <f t="shared" si="0"/>
        <v>test.BallonFactory_6_</v>
      </c>
      <c r="D25">
        <v>5</v>
      </c>
      <c r="E25">
        <v>0.17499999999999999</v>
      </c>
      <c r="F25">
        <v>1.5</v>
      </c>
      <c r="G25" s="1" t="str">
        <f t="shared" si="1"/>
        <v/>
      </c>
      <c r="H25" s="1" t="str">
        <f t="shared" si="2"/>
        <v/>
      </c>
      <c r="I25" s="1" t="str">
        <f t="shared" si="3"/>
        <v/>
      </c>
      <c r="J25" s="1" t="str">
        <f t="shared" si="4"/>
        <v/>
      </c>
      <c r="K25" s="1" t="str">
        <f t="shared" si="5"/>
        <v/>
      </c>
      <c r="L25" s="1">
        <f t="shared" si="6"/>
        <v>0.17499999999999999</v>
      </c>
    </row>
    <row r="26" spans="1:12">
      <c r="A26" t="s">
        <v>4</v>
      </c>
      <c r="B26">
        <v>6</v>
      </c>
      <c r="C26" t="str">
        <f t="shared" si="0"/>
        <v>test.BallonFactory_6_</v>
      </c>
      <c r="D26">
        <v>1</v>
      </c>
      <c r="E26">
        <v>0.3</v>
      </c>
      <c r="F26">
        <v>2</v>
      </c>
      <c r="G26" s="1" t="str">
        <f t="shared" si="1"/>
        <v/>
      </c>
      <c r="H26" s="1" t="str">
        <f t="shared" si="2"/>
        <v/>
      </c>
      <c r="I26" s="1" t="str">
        <f t="shared" si="3"/>
        <v/>
      </c>
      <c r="J26" s="1" t="str">
        <f t="shared" si="4"/>
        <v/>
      </c>
      <c r="K26" s="1" t="str">
        <f t="shared" si="5"/>
        <v/>
      </c>
      <c r="L26" s="1">
        <f t="shared" si="6"/>
        <v>0.3</v>
      </c>
    </row>
    <row r="27" spans="1:12">
      <c r="A27" t="s">
        <v>4</v>
      </c>
      <c r="B27">
        <v>6</v>
      </c>
      <c r="C27" t="str">
        <f t="shared" si="0"/>
        <v>test.BallonFactory_6_</v>
      </c>
      <c r="D27">
        <v>2</v>
      </c>
      <c r="E27">
        <v>0.88749999999999996</v>
      </c>
      <c r="F27">
        <v>2.0000499999999999</v>
      </c>
      <c r="G27" s="1" t="str">
        <f t="shared" si="1"/>
        <v/>
      </c>
      <c r="H27" s="1" t="str">
        <f t="shared" si="2"/>
        <v/>
      </c>
      <c r="I27" s="1" t="str">
        <f t="shared" si="3"/>
        <v/>
      </c>
      <c r="J27" s="1" t="str">
        <f t="shared" si="4"/>
        <v/>
      </c>
      <c r="K27" s="1" t="str">
        <f t="shared" si="5"/>
        <v/>
      </c>
      <c r="L27" s="1">
        <f t="shared" si="6"/>
        <v>0.88749999999999996</v>
      </c>
    </row>
    <row r="28" spans="1:12">
      <c r="A28" t="s">
        <v>4</v>
      </c>
      <c r="B28">
        <v>6</v>
      </c>
      <c r="C28" t="str">
        <f t="shared" si="0"/>
        <v>test.BallonFactory_6_</v>
      </c>
      <c r="D28">
        <v>3</v>
      </c>
      <c r="E28">
        <v>1</v>
      </c>
      <c r="F28">
        <v>2.0001001500000002</v>
      </c>
      <c r="G28" s="1" t="str">
        <f t="shared" si="1"/>
        <v/>
      </c>
      <c r="H28" s="1" t="str">
        <f t="shared" si="2"/>
        <v/>
      </c>
      <c r="I28" s="1" t="str">
        <f t="shared" si="3"/>
        <v/>
      </c>
      <c r="J28" s="1" t="str">
        <f t="shared" si="4"/>
        <v/>
      </c>
      <c r="K28" s="1" t="str">
        <f t="shared" si="5"/>
        <v/>
      </c>
      <c r="L28" s="1">
        <f t="shared" si="6"/>
        <v>1</v>
      </c>
    </row>
    <row r="29" spans="1:12">
      <c r="A29" t="s">
        <v>4</v>
      </c>
      <c r="B29">
        <v>6</v>
      </c>
      <c r="C29" t="str">
        <f t="shared" si="0"/>
        <v>test.BallonFactory_6_</v>
      </c>
      <c r="D29">
        <v>4</v>
      </c>
      <c r="E29">
        <v>1</v>
      </c>
      <c r="F29">
        <v>2.0001502000000002</v>
      </c>
      <c r="G29" s="1" t="str">
        <f t="shared" si="1"/>
        <v/>
      </c>
      <c r="H29" s="1" t="str">
        <f t="shared" si="2"/>
        <v/>
      </c>
      <c r="I29" s="1" t="str">
        <f t="shared" si="3"/>
        <v/>
      </c>
      <c r="J29" s="1" t="str">
        <f t="shared" si="4"/>
        <v/>
      </c>
      <c r="K29" s="1" t="str">
        <f t="shared" si="5"/>
        <v/>
      </c>
      <c r="L29" s="1">
        <f t="shared" si="6"/>
        <v>1</v>
      </c>
    </row>
    <row r="30" spans="1:12">
      <c r="A30" t="s">
        <v>4</v>
      </c>
      <c r="B30">
        <v>9</v>
      </c>
      <c r="C30" t="str">
        <f t="shared" si="0"/>
        <v>test.BallonFactory_9_</v>
      </c>
      <c r="D30">
        <v>5</v>
      </c>
      <c r="E30">
        <v>2.500477190303493E-2</v>
      </c>
      <c r="F30">
        <v>0.7142857142857143</v>
      </c>
      <c r="G30" s="1" t="str">
        <f t="shared" si="1"/>
        <v/>
      </c>
      <c r="H30" s="1" t="str">
        <f t="shared" si="2"/>
        <v/>
      </c>
      <c r="I30" s="1" t="str">
        <f t="shared" si="3"/>
        <v/>
      </c>
      <c r="J30" s="1">
        <f t="shared" si="4"/>
        <v>2.500477190303493E-2</v>
      </c>
      <c r="K30" s="1" t="str">
        <f t="shared" si="5"/>
        <v/>
      </c>
      <c r="L30" s="1" t="str">
        <f t="shared" si="6"/>
        <v/>
      </c>
    </row>
    <row r="31" spans="1:12">
      <c r="A31" t="s">
        <v>4</v>
      </c>
      <c r="B31">
        <v>9</v>
      </c>
      <c r="C31" t="str">
        <f t="shared" si="0"/>
        <v>test.BallonFactory_9_</v>
      </c>
      <c r="D31">
        <v>6</v>
      </c>
      <c r="E31">
        <v>0.12349685054399695</v>
      </c>
      <c r="F31">
        <v>0.7857142857142857</v>
      </c>
      <c r="G31" s="1" t="str">
        <f t="shared" si="1"/>
        <v/>
      </c>
      <c r="H31" s="1" t="str">
        <f t="shared" si="2"/>
        <v/>
      </c>
      <c r="I31" s="1" t="str">
        <f t="shared" si="3"/>
        <v/>
      </c>
      <c r="J31" s="1">
        <f t="shared" si="4"/>
        <v>0.12349685054399695</v>
      </c>
      <c r="K31" s="1" t="str">
        <f t="shared" si="5"/>
        <v/>
      </c>
      <c r="L31" s="1" t="str">
        <f t="shared" si="6"/>
        <v/>
      </c>
    </row>
    <row r="32" spans="1:12">
      <c r="A32" t="s">
        <v>4</v>
      </c>
      <c r="B32">
        <v>9</v>
      </c>
      <c r="C32" t="str">
        <f t="shared" si="0"/>
        <v>test.BallonFactory_9_</v>
      </c>
      <c r="D32">
        <v>7</v>
      </c>
      <c r="E32">
        <v>0.14544760450467648</v>
      </c>
      <c r="F32">
        <v>0.78572142857142857</v>
      </c>
      <c r="G32" s="1" t="str">
        <f t="shared" si="1"/>
        <v/>
      </c>
      <c r="H32" s="1" t="str">
        <f t="shared" si="2"/>
        <v/>
      </c>
      <c r="I32" s="1" t="str">
        <f t="shared" si="3"/>
        <v/>
      </c>
      <c r="J32" s="1">
        <f t="shared" si="4"/>
        <v>0.14544760450467648</v>
      </c>
      <c r="K32" s="1" t="str">
        <f t="shared" si="5"/>
        <v/>
      </c>
      <c r="L32" s="1" t="str">
        <f t="shared" si="6"/>
        <v/>
      </c>
    </row>
    <row r="33" spans="1:12">
      <c r="A33" t="s">
        <v>4</v>
      </c>
      <c r="B33">
        <v>9</v>
      </c>
      <c r="C33" t="str">
        <f t="shared" si="0"/>
        <v>test.BallonFactory_9_</v>
      </c>
      <c r="D33">
        <v>8</v>
      </c>
      <c r="E33">
        <v>0.19030349303302158</v>
      </c>
      <c r="F33">
        <v>0.8571428571428571</v>
      </c>
      <c r="G33" s="1" t="str">
        <f t="shared" si="1"/>
        <v/>
      </c>
      <c r="H33" s="1" t="str">
        <f t="shared" si="2"/>
        <v/>
      </c>
      <c r="I33" s="1" t="str">
        <f t="shared" si="3"/>
        <v/>
      </c>
      <c r="J33" s="1" t="str">
        <f t="shared" si="4"/>
        <v/>
      </c>
      <c r="K33" s="1">
        <f t="shared" si="5"/>
        <v>0.19030349303302158</v>
      </c>
      <c r="L33" s="1" t="str">
        <f t="shared" si="6"/>
        <v/>
      </c>
    </row>
    <row r="34" spans="1:12">
      <c r="A34" t="s">
        <v>4</v>
      </c>
      <c r="B34">
        <v>9</v>
      </c>
      <c r="C34" t="str">
        <f t="shared" si="0"/>
        <v>test.BallonFactory_9_</v>
      </c>
      <c r="D34">
        <v>9</v>
      </c>
      <c r="E34">
        <v>0.23096010689062799</v>
      </c>
      <c r="F34">
        <v>0.85714999999999997</v>
      </c>
      <c r="G34" s="1" t="str">
        <f t="shared" si="1"/>
        <v/>
      </c>
      <c r="H34" s="1" t="str">
        <f t="shared" si="2"/>
        <v/>
      </c>
      <c r="I34" s="1" t="str">
        <f t="shared" si="3"/>
        <v/>
      </c>
      <c r="J34" s="1" t="str">
        <f t="shared" si="4"/>
        <v/>
      </c>
      <c r="K34" s="1">
        <f t="shared" si="5"/>
        <v>0.23096010689062799</v>
      </c>
      <c r="L34" s="1" t="str">
        <f t="shared" si="6"/>
        <v/>
      </c>
    </row>
    <row r="35" spans="1:12">
      <c r="A35" t="s">
        <v>4</v>
      </c>
      <c r="B35">
        <v>9</v>
      </c>
      <c r="C35" t="str">
        <f t="shared" si="0"/>
        <v>test.BallonFactory_9_</v>
      </c>
      <c r="D35">
        <v>10</v>
      </c>
      <c r="E35">
        <v>0.47738117961443022</v>
      </c>
      <c r="F35">
        <v>1.0714285714285714</v>
      </c>
      <c r="G35" s="1" t="str">
        <f t="shared" si="1"/>
        <v/>
      </c>
      <c r="H35" s="1" t="str">
        <f t="shared" si="2"/>
        <v/>
      </c>
      <c r="I35" s="1" t="str">
        <f t="shared" si="3"/>
        <v/>
      </c>
      <c r="J35" s="1" t="str">
        <f t="shared" si="4"/>
        <v/>
      </c>
      <c r="K35" s="1">
        <f t="shared" si="5"/>
        <v>0.47738117961443022</v>
      </c>
      <c r="L35" s="1" t="str">
        <f t="shared" si="6"/>
        <v/>
      </c>
    </row>
    <row r="36" spans="1:12">
      <c r="A36" t="s">
        <v>4</v>
      </c>
      <c r="B36">
        <v>9</v>
      </c>
      <c r="C36" t="str">
        <f t="shared" si="0"/>
        <v>test.BallonFactory_9_</v>
      </c>
      <c r="D36">
        <v>1</v>
      </c>
      <c r="E36">
        <v>0.74976140484825349</v>
      </c>
      <c r="F36">
        <v>1.0714357142857143</v>
      </c>
      <c r="G36" s="1" t="str">
        <f t="shared" si="1"/>
        <v/>
      </c>
      <c r="H36" s="1" t="str">
        <f t="shared" si="2"/>
        <v/>
      </c>
      <c r="I36" s="1" t="str">
        <f t="shared" si="3"/>
        <v/>
      </c>
      <c r="J36" s="1" t="str">
        <f t="shared" si="4"/>
        <v/>
      </c>
      <c r="K36" s="1">
        <f t="shared" si="5"/>
        <v>0.74976140484825349</v>
      </c>
      <c r="L36" s="1" t="str">
        <f t="shared" si="6"/>
        <v/>
      </c>
    </row>
    <row r="37" spans="1:12">
      <c r="A37" t="s">
        <v>4</v>
      </c>
      <c r="B37">
        <v>9</v>
      </c>
      <c r="C37" t="str">
        <f t="shared" si="0"/>
        <v>test.BallonFactory_9_</v>
      </c>
      <c r="D37">
        <v>2</v>
      </c>
      <c r="E37">
        <v>0.94922695170834126</v>
      </c>
      <c r="F37">
        <v>1.0714428571428571</v>
      </c>
      <c r="G37" s="1" t="str">
        <f t="shared" si="1"/>
        <v/>
      </c>
      <c r="H37" s="1" t="str">
        <f t="shared" si="2"/>
        <v/>
      </c>
      <c r="I37" s="1" t="str">
        <f t="shared" si="3"/>
        <v/>
      </c>
      <c r="J37" s="1" t="str">
        <f t="shared" si="4"/>
        <v/>
      </c>
      <c r="K37" s="1">
        <f t="shared" si="5"/>
        <v>0.94922695170834126</v>
      </c>
      <c r="L37" s="1" t="str">
        <f t="shared" si="6"/>
        <v/>
      </c>
    </row>
    <row r="38" spans="1:12">
      <c r="A38" t="s">
        <v>4</v>
      </c>
      <c r="B38">
        <v>9</v>
      </c>
      <c r="C38" t="str">
        <f t="shared" si="0"/>
        <v>test.BallonFactory_9_</v>
      </c>
      <c r="D38">
        <v>3</v>
      </c>
      <c r="E38">
        <v>0.9874021759877839</v>
      </c>
      <c r="F38">
        <v>1.1428571428571428</v>
      </c>
      <c r="G38" s="1" t="str">
        <f t="shared" si="1"/>
        <v/>
      </c>
      <c r="H38" s="1" t="str">
        <f t="shared" si="2"/>
        <v/>
      </c>
      <c r="I38" s="1" t="str">
        <f t="shared" si="3"/>
        <v/>
      </c>
      <c r="J38" s="1" t="str">
        <f t="shared" si="4"/>
        <v/>
      </c>
      <c r="K38" s="1" t="str">
        <f t="shared" si="5"/>
        <v/>
      </c>
      <c r="L38" s="1">
        <f t="shared" si="6"/>
        <v>0.9874021759877839</v>
      </c>
    </row>
    <row r="39" spans="1:12">
      <c r="A39" t="s">
        <v>4</v>
      </c>
      <c r="B39">
        <v>9</v>
      </c>
      <c r="C39" t="str">
        <f t="shared" si="0"/>
        <v>test.BallonFactory_9_</v>
      </c>
      <c r="D39">
        <v>4</v>
      </c>
      <c r="E39">
        <v>1</v>
      </c>
      <c r="F39">
        <v>1.4285714285714286</v>
      </c>
      <c r="G39" s="1" t="str">
        <f t="shared" si="1"/>
        <v/>
      </c>
      <c r="H39" s="1" t="str">
        <f t="shared" si="2"/>
        <v/>
      </c>
      <c r="I39" s="1" t="str">
        <f t="shared" si="3"/>
        <v/>
      </c>
      <c r="J39" s="1" t="str">
        <f t="shared" si="4"/>
        <v/>
      </c>
      <c r="K39" s="1" t="str">
        <f t="shared" si="5"/>
        <v/>
      </c>
      <c r="L39" s="1">
        <f t="shared" si="6"/>
        <v>1</v>
      </c>
    </row>
    <row r="40" spans="1:12">
      <c r="A40" t="s">
        <v>32</v>
      </c>
      <c r="B40">
        <v>2</v>
      </c>
      <c r="C40" t="str">
        <f t="shared" si="0"/>
        <v>test.Base64_2_</v>
      </c>
      <c r="D40">
        <v>1</v>
      </c>
      <c r="E40">
        <v>0.11263736263736264</v>
      </c>
      <c r="F40">
        <v>1</v>
      </c>
      <c r="G40" s="1" t="str">
        <f t="shared" si="1"/>
        <v/>
      </c>
      <c r="H40" s="1" t="str">
        <f t="shared" si="2"/>
        <v/>
      </c>
      <c r="I40" s="1" t="str">
        <f t="shared" si="3"/>
        <v/>
      </c>
      <c r="J40" s="1" t="str">
        <f t="shared" si="4"/>
        <v/>
      </c>
      <c r="K40" s="1">
        <f t="shared" si="5"/>
        <v>0.11263736263736264</v>
      </c>
      <c r="L40" s="1" t="str">
        <f t="shared" si="6"/>
        <v/>
      </c>
    </row>
    <row r="41" spans="1:12">
      <c r="A41" t="s">
        <v>32</v>
      </c>
      <c r="B41">
        <v>2</v>
      </c>
      <c r="C41" t="str">
        <f t="shared" si="0"/>
        <v>test.Base64_2_</v>
      </c>
      <c r="D41">
        <v>2</v>
      </c>
      <c r="E41">
        <v>0.38186813186813184</v>
      </c>
      <c r="F41">
        <v>1.5</v>
      </c>
      <c r="G41" s="1" t="str">
        <f t="shared" si="1"/>
        <v/>
      </c>
      <c r="H41" s="1" t="str">
        <f t="shared" si="2"/>
        <v/>
      </c>
      <c r="I41" s="1" t="str">
        <f t="shared" si="3"/>
        <v/>
      </c>
      <c r="J41" s="1" t="str">
        <f t="shared" si="4"/>
        <v/>
      </c>
      <c r="K41" s="1" t="str">
        <f t="shared" si="5"/>
        <v/>
      </c>
      <c r="L41" s="1">
        <f t="shared" si="6"/>
        <v>0.38186813186813184</v>
      </c>
    </row>
    <row r="42" spans="1:12">
      <c r="A42" t="s">
        <v>32</v>
      </c>
      <c r="B42">
        <v>2</v>
      </c>
      <c r="C42" t="str">
        <f t="shared" si="0"/>
        <v>test.Base64_2_</v>
      </c>
      <c r="D42">
        <v>3</v>
      </c>
      <c r="E42">
        <v>0.8571428571428571</v>
      </c>
      <c r="F42">
        <v>1.75</v>
      </c>
      <c r="G42" s="1" t="str">
        <f t="shared" si="1"/>
        <v/>
      </c>
      <c r="H42" s="1" t="str">
        <f t="shared" si="2"/>
        <v/>
      </c>
      <c r="I42" s="1" t="str">
        <f t="shared" si="3"/>
        <v/>
      </c>
      <c r="J42" s="1" t="str">
        <f t="shared" si="4"/>
        <v/>
      </c>
      <c r="K42" s="1" t="str">
        <f t="shared" si="5"/>
        <v/>
      </c>
      <c r="L42" s="1">
        <f t="shared" si="6"/>
        <v>0.8571428571428571</v>
      </c>
    </row>
    <row r="43" spans="1:12">
      <c r="A43" t="s">
        <v>32</v>
      </c>
      <c r="B43">
        <v>2</v>
      </c>
      <c r="C43" t="str">
        <f t="shared" si="0"/>
        <v>test.Base64_2_</v>
      </c>
      <c r="D43">
        <v>4</v>
      </c>
      <c r="E43">
        <v>1</v>
      </c>
      <c r="F43">
        <v>2.25</v>
      </c>
      <c r="G43" s="1" t="str">
        <f t="shared" si="1"/>
        <v/>
      </c>
      <c r="H43" s="1" t="str">
        <f t="shared" si="2"/>
        <v/>
      </c>
      <c r="I43" s="1" t="str">
        <f t="shared" si="3"/>
        <v/>
      </c>
      <c r="J43" s="1" t="str">
        <f t="shared" si="4"/>
        <v/>
      </c>
      <c r="K43" s="1" t="str">
        <f t="shared" si="5"/>
        <v/>
      </c>
      <c r="L43" s="1">
        <f t="shared" si="6"/>
        <v>1</v>
      </c>
    </row>
    <row r="44" spans="1:12">
      <c r="A44" t="s">
        <v>32</v>
      </c>
      <c r="B44">
        <v>4</v>
      </c>
      <c r="C44" t="str">
        <f t="shared" si="0"/>
        <v>test.Base64_4_</v>
      </c>
      <c r="D44">
        <v>1</v>
      </c>
      <c r="E44">
        <v>0.11263736263736264</v>
      </c>
      <c r="F44">
        <v>1.3333333333333333</v>
      </c>
      <c r="G44" s="1" t="str">
        <f t="shared" si="1"/>
        <v/>
      </c>
      <c r="H44" s="1" t="str">
        <f t="shared" si="2"/>
        <v/>
      </c>
      <c r="I44" s="1" t="str">
        <f t="shared" si="3"/>
        <v/>
      </c>
      <c r="J44" s="1" t="str">
        <f t="shared" si="4"/>
        <v/>
      </c>
      <c r="K44" s="1" t="str">
        <f t="shared" si="5"/>
        <v/>
      </c>
      <c r="L44" s="1">
        <f t="shared" si="6"/>
        <v>0.11263736263736264</v>
      </c>
    </row>
    <row r="45" spans="1:12">
      <c r="A45" t="s">
        <v>32</v>
      </c>
      <c r="B45">
        <v>4</v>
      </c>
      <c r="C45" t="str">
        <f t="shared" si="0"/>
        <v>test.Base64_4_</v>
      </c>
      <c r="D45">
        <v>2</v>
      </c>
      <c r="E45">
        <v>0.38186813186813184</v>
      </c>
      <c r="F45">
        <v>2</v>
      </c>
      <c r="G45" s="1" t="str">
        <f t="shared" si="1"/>
        <v/>
      </c>
      <c r="H45" s="1" t="str">
        <f t="shared" si="2"/>
        <v/>
      </c>
      <c r="I45" s="1" t="str">
        <f t="shared" si="3"/>
        <v/>
      </c>
      <c r="J45" s="1" t="str">
        <f t="shared" si="4"/>
        <v/>
      </c>
      <c r="K45" s="1" t="str">
        <f t="shared" si="5"/>
        <v/>
      </c>
      <c r="L45" s="1">
        <f t="shared" si="6"/>
        <v>0.38186813186813184</v>
      </c>
    </row>
    <row r="46" spans="1:12">
      <c r="A46" t="s">
        <v>32</v>
      </c>
      <c r="B46">
        <v>4</v>
      </c>
      <c r="C46" t="str">
        <f t="shared" si="0"/>
        <v>test.Base64_4_</v>
      </c>
      <c r="D46">
        <v>3</v>
      </c>
      <c r="E46">
        <v>0.8571428571428571</v>
      </c>
      <c r="F46">
        <v>2.0000333333333331</v>
      </c>
      <c r="G46" s="1" t="str">
        <f t="shared" si="1"/>
        <v/>
      </c>
      <c r="H46" s="1" t="str">
        <f t="shared" si="2"/>
        <v/>
      </c>
      <c r="I46" s="1" t="str">
        <f t="shared" si="3"/>
        <v/>
      </c>
      <c r="J46" s="1" t="str">
        <f t="shared" si="4"/>
        <v/>
      </c>
      <c r="K46" s="1" t="str">
        <f t="shared" si="5"/>
        <v/>
      </c>
      <c r="L46" s="1">
        <f t="shared" si="6"/>
        <v>0.8571428571428571</v>
      </c>
    </row>
    <row r="47" spans="1:12">
      <c r="A47" t="s">
        <v>32</v>
      </c>
      <c r="B47">
        <v>4</v>
      </c>
      <c r="C47" t="str">
        <f t="shared" si="0"/>
        <v>test.Base64_4_</v>
      </c>
      <c r="D47">
        <v>4</v>
      </c>
      <c r="E47">
        <v>1</v>
      </c>
      <c r="F47">
        <v>2.6666666666666665</v>
      </c>
      <c r="G47" s="1" t="str">
        <f t="shared" si="1"/>
        <v/>
      </c>
      <c r="H47" s="1" t="str">
        <f t="shared" si="2"/>
        <v/>
      </c>
      <c r="I47" s="1" t="str">
        <f t="shared" si="3"/>
        <v/>
      </c>
      <c r="J47" s="1" t="str">
        <f t="shared" si="4"/>
        <v/>
      </c>
      <c r="K47" s="1" t="str">
        <f t="shared" si="5"/>
        <v/>
      </c>
      <c r="L47" s="1">
        <f t="shared" si="6"/>
        <v>1</v>
      </c>
    </row>
    <row r="48" spans="1:12">
      <c r="A48" t="s">
        <v>32</v>
      </c>
      <c r="B48">
        <v>13</v>
      </c>
      <c r="C48" t="str">
        <f t="shared" si="0"/>
        <v>test.Base64_13_</v>
      </c>
      <c r="D48">
        <v>5</v>
      </c>
      <c r="E48">
        <v>0.83333333333333337</v>
      </c>
      <c r="F48">
        <v>3</v>
      </c>
      <c r="G48" s="1" t="str">
        <f t="shared" si="1"/>
        <v/>
      </c>
      <c r="H48" s="1" t="str">
        <f t="shared" si="2"/>
        <v/>
      </c>
      <c r="I48" s="1" t="str">
        <f t="shared" si="3"/>
        <v/>
      </c>
      <c r="J48" s="1" t="str">
        <f t="shared" si="4"/>
        <v/>
      </c>
      <c r="K48" s="1" t="str">
        <f t="shared" si="5"/>
        <v/>
      </c>
      <c r="L48" s="1">
        <f t="shared" si="6"/>
        <v>0.83333333333333337</v>
      </c>
    </row>
    <row r="49" spans="1:12">
      <c r="A49" t="s">
        <v>32</v>
      </c>
      <c r="B49">
        <v>13</v>
      </c>
      <c r="C49" t="str">
        <f t="shared" si="0"/>
        <v>test.Base64_13_</v>
      </c>
      <c r="D49">
        <v>1</v>
      </c>
      <c r="E49">
        <v>1</v>
      </c>
      <c r="F49">
        <v>3.0001000000000002</v>
      </c>
      <c r="G49" s="1" t="str">
        <f>IF($F49 &lt;= 0.2,$E49,"")</f>
        <v/>
      </c>
      <c r="H49" s="1" t="str">
        <f t="shared" si="2"/>
        <v/>
      </c>
      <c r="I49" s="1" t="str">
        <f t="shared" si="3"/>
        <v/>
      </c>
      <c r="J49" s="1" t="str">
        <f t="shared" si="4"/>
        <v/>
      </c>
      <c r="K49" s="1" t="str">
        <f t="shared" si="5"/>
        <v/>
      </c>
      <c r="L49" s="1">
        <f t="shared" si="6"/>
        <v>1</v>
      </c>
    </row>
    <row r="50" spans="1:12">
      <c r="A50" t="s">
        <v>32</v>
      </c>
      <c r="B50">
        <v>16</v>
      </c>
      <c r="C50" t="str">
        <f t="shared" si="0"/>
        <v>test.Base64_16_</v>
      </c>
      <c r="D50">
        <v>2</v>
      </c>
      <c r="E50">
        <v>4.6262979335869232E-4</v>
      </c>
      <c r="F50">
        <v>0.19230769230769232</v>
      </c>
      <c r="G50" s="1">
        <f t="shared" si="1"/>
        <v>4.6262979335869232E-4</v>
      </c>
      <c r="H50" s="1" t="str">
        <f t="shared" si="2"/>
        <v/>
      </c>
      <c r="I50" s="1" t="str">
        <f t="shared" si="3"/>
        <v/>
      </c>
      <c r="J50" s="1" t="str">
        <f t="shared" si="4"/>
        <v/>
      </c>
      <c r="K50" s="1" t="str">
        <f t="shared" si="5"/>
        <v/>
      </c>
      <c r="L50" s="1" t="str">
        <f t="shared" si="6"/>
        <v/>
      </c>
    </row>
    <row r="51" spans="1:12">
      <c r="A51" t="s">
        <v>32</v>
      </c>
      <c r="B51">
        <v>16</v>
      </c>
      <c r="C51" t="str">
        <f t="shared" si="0"/>
        <v>test.Base64_16_</v>
      </c>
      <c r="D51">
        <v>3</v>
      </c>
      <c r="E51">
        <v>1.1308728282101368E-3</v>
      </c>
      <c r="F51">
        <v>0.19230961538461538</v>
      </c>
      <c r="G51" s="1">
        <f t="shared" si="1"/>
        <v>1.1308728282101368E-3</v>
      </c>
      <c r="H51" s="1" t="str">
        <f t="shared" si="2"/>
        <v/>
      </c>
      <c r="I51" s="1" t="str">
        <f t="shared" si="3"/>
        <v/>
      </c>
      <c r="J51" s="1" t="str">
        <f t="shared" si="4"/>
        <v/>
      </c>
      <c r="K51" s="1" t="str">
        <f t="shared" si="5"/>
        <v/>
      </c>
      <c r="L51" s="1" t="str">
        <f t="shared" si="6"/>
        <v/>
      </c>
    </row>
    <row r="52" spans="1:12">
      <c r="A52" t="s">
        <v>32</v>
      </c>
      <c r="B52">
        <v>16</v>
      </c>
      <c r="C52" t="str">
        <f t="shared" si="0"/>
        <v>test.Base64_16_</v>
      </c>
      <c r="D52">
        <v>4</v>
      </c>
      <c r="E52">
        <v>0.73337102909427365</v>
      </c>
      <c r="F52">
        <v>1.6923076923076923</v>
      </c>
      <c r="G52" s="1" t="str">
        <f t="shared" si="1"/>
        <v/>
      </c>
      <c r="H52" s="1" t="str">
        <f t="shared" si="2"/>
        <v/>
      </c>
      <c r="I52" s="1" t="str">
        <f t="shared" si="3"/>
        <v/>
      </c>
      <c r="J52" s="1" t="str">
        <f t="shared" si="4"/>
        <v/>
      </c>
      <c r="K52" s="1" t="str">
        <f t="shared" si="5"/>
        <v/>
      </c>
      <c r="L52" s="1">
        <f t="shared" si="6"/>
        <v>0.73337102909427365</v>
      </c>
    </row>
    <row r="53" spans="1:12">
      <c r="A53" t="s">
        <v>32</v>
      </c>
      <c r="B53">
        <v>16</v>
      </c>
      <c r="C53" t="str">
        <f t="shared" si="0"/>
        <v>test.Base64_16_</v>
      </c>
      <c r="D53">
        <v>1</v>
      </c>
      <c r="E53">
        <v>1</v>
      </c>
      <c r="F53">
        <v>1.75</v>
      </c>
      <c r="G53" s="1" t="str">
        <f t="shared" si="1"/>
        <v/>
      </c>
      <c r="H53" s="1" t="str">
        <f t="shared" si="2"/>
        <v/>
      </c>
      <c r="I53" s="1" t="str">
        <f t="shared" si="3"/>
        <v/>
      </c>
      <c r="J53" s="1" t="str">
        <f t="shared" si="4"/>
        <v/>
      </c>
      <c r="K53" s="1" t="str">
        <f t="shared" si="5"/>
        <v/>
      </c>
      <c r="L53" s="1">
        <f t="shared" si="6"/>
        <v>1</v>
      </c>
    </row>
    <row r="54" spans="1:12">
      <c r="A54" t="s">
        <v>32</v>
      </c>
      <c r="B54">
        <v>18</v>
      </c>
      <c r="C54" t="str">
        <f t="shared" si="0"/>
        <v>test.Base64_18_</v>
      </c>
      <c r="D54">
        <v>2</v>
      </c>
      <c r="E54">
        <v>1.8318965517241379E-3</v>
      </c>
      <c r="F54">
        <v>0.1702127659574468</v>
      </c>
      <c r="G54" s="1">
        <f t="shared" si="1"/>
        <v>1.8318965517241379E-3</v>
      </c>
      <c r="H54" s="1" t="str">
        <f t="shared" si="2"/>
        <v/>
      </c>
      <c r="I54" s="1" t="str">
        <f t="shared" si="3"/>
        <v/>
      </c>
      <c r="J54" s="1" t="str">
        <f t="shared" si="4"/>
        <v/>
      </c>
      <c r="K54" s="1" t="str">
        <f t="shared" si="5"/>
        <v/>
      </c>
      <c r="L54" s="1" t="str">
        <f t="shared" si="6"/>
        <v/>
      </c>
    </row>
    <row r="55" spans="1:12">
      <c r="A55" t="s">
        <v>32</v>
      </c>
      <c r="B55">
        <v>18</v>
      </c>
      <c r="C55" t="str">
        <f t="shared" si="0"/>
        <v>test.Base64_18_</v>
      </c>
      <c r="D55">
        <v>3</v>
      </c>
      <c r="E55">
        <v>3.5560344827586209E-3</v>
      </c>
      <c r="F55">
        <v>0.19148936170212766</v>
      </c>
      <c r="G55" s="1">
        <f t="shared" si="1"/>
        <v>3.5560344827586209E-3</v>
      </c>
      <c r="H55" s="1" t="str">
        <f t="shared" si="2"/>
        <v/>
      </c>
      <c r="I55" s="1" t="str">
        <f t="shared" si="3"/>
        <v/>
      </c>
      <c r="J55" s="1" t="str">
        <f t="shared" si="4"/>
        <v/>
      </c>
      <c r="K55" s="1" t="str">
        <f t="shared" si="5"/>
        <v/>
      </c>
      <c r="L55" s="1" t="str">
        <f t="shared" si="6"/>
        <v/>
      </c>
    </row>
    <row r="56" spans="1:12">
      <c r="A56" t="s">
        <v>32</v>
      </c>
      <c r="B56">
        <v>18</v>
      </c>
      <c r="C56" t="str">
        <f t="shared" si="0"/>
        <v>test.Base64_18_</v>
      </c>
      <c r="D56">
        <v>4</v>
      </c>
      <c r="E56">
        <v>1.7133620689655172E-2</v>
      </c>
      <c r="F56">
        <v>0.19149148936170213</v>
      </c>
      <c r="G56" s="1">
        <f t="shared" si="1"/>
        <v>1.7133620689655172E-2</v>
      </c>
      <c r="H56" s="1" t="str">
        <f t="shared" si="2"/>
        <v/>
      </c>
      <c r="I56" s="1" t="str">
        <f t="shared" si="3"/>
        <v/>
      </c>
      <c r="J56" s="1" t="str">
        <f t="shared" si="4"/>
        <v/>
      </c>
      <c r="K56" s="1" t="str">
        <f t="shared" si="5"/>
        <v/>
      </c>
      <c r="L56" s="1" t="str">
        <f t="shared" si="6"/>
        <v/>
      </c>
    </row>
    <row r="57" spans="1:12">
      <c r="A57" t="s">
        <v>32</v>
      </c>
      <c r="B57">
        <v>18</v>
      </c>
      <c r="C57" t="str">
        <f t="shared" si="0"/>
        <v>test.Base64_18_</v>
      </c>
      <c r="D57">
        <v>5</v>
      </c>
      <c r="E57">
        <v>2.6508620689655173E-2</v>
      </c>
      <c r="F57">
        <v>0.23404255319148937</v>
      </c>
      <c r="G57" s="1" t="str">
        <f t="shared" si="1"/>
        <v/>
      </c>
      <c r="H57" s="1">
        <f t="shared" si="2"/>
        <v>2.6508620689655173E-2</v>
      </c>
      <c r="I57" s="1" t="str">
        <f t="shared" si="3"/>
        <v/>
      </c>
      <c r="J57" s="1" t="str">
        <f t="shared" si="4"/>
        <v/>
      </c>
      <c r="K57" s="1" t="str">
        <f t="shared" si="5"/>
        <v/>
      </c>
      <c r="L57" s="1" t="str">
        <f t="shared" si="6"/>
        <v/>
      </c>
    </row>
    <row r="58" spans="1:12">
      <c r="A58" t="s">
        <v>32</v>
      </c>
      <c r="B58">
        <v>18</v>
      </c>
      <c r="C58" t="str">
        <f t="shared" si="0"/>
        <v>test.Base64_18_</v>
      </c>
      <c r="D58">
        <v>6</v>
      </c>
      <c r="E58">
        <v>6.7025862068965519E-2</v>
      </c>
      <c r="F58">
        <v>0.25531914893617019</v>
      </c>
      <c r="G58" s="1" t="str">
        <f t="shared" si="1"/>
        <v/>
      </c>
      <c r="H58" s="1">
        <f t="shared" si="2"/>
        <v>6.7025862068965519E-2</v>
      </c>
      <c r="I58" s="1" t="str">
        <f t="shared" si="3"/>
        <v/>
      </c>
      <c r="J58" s="1" t="str">
        <f t="shared" si="4"/>
        <v/>
      </c>
      <c r="K58" s="1" t="str">
        <f t="shared" si="5"/>
        <v/>
      </c>
      <c r="L58" s="1" t="str">
        <f t="shared" si="6"/>
        <v/>
      </c>
    </row>
    <row r="59" spans="1:12">
      <c r="A59" t="s">
        <v>32</v>
      </c>
      <c r="B59">
        <v>18</v>
      </c>
      <c r="C59" t="str">
        <f t="shared" si="0"/>
        <v>test.Base64_18_</v>
      </c>
      <c r="D59">
        <v>7</v>
      </c>
      <c r="E59">
        <v>7.3275862068965511E-2</v>
      </c>
      <c r="F59">
        <v>0.27659574468085107</v>
      </c>
      <c r="G59" s="1" t="str">
        <f t="shared" si="1"/>
        <v/>
      </c>
      <c r="H59" s="1">
        <f t="shared" si="2"/>
        <v>7.3275862068965511E-2</v>
      </c>
      <c r="I59" s="1" t="str">
        <f t="shared" si="3"/>
        <v/>
      </c>
      <c r="J59" s="1" t="str">
        <f t="shared" si="4"/>
        <v/>
      </c>
      <c r="K59" s="1" t="str">
        <f t="shared" si="5"/>
        <v/>
      </c>
      <c r="L59" s="1" t="str">
        <f t="shared" si="6"/>
        <v/>
      </c>
    </row>
    <row r="60" spans="1:12">
      <c r="A60" t="s">
        <v>32</v>
      </c>
      <c r="B60">
        <v>18</v>
      </c>
      <c r="C60" t="str">
        <f t="shared" si="0"/>
        <v>test.Base64_18_</v>
      </c>
      <c r="D60">
        <v>8</v>
      </c>
      <c r="E60">
        <v>7.9525862068965517E-2</v>
      </c>
      <c r="F60">
        <v>0.27659787234042554</v>
      </c>
      <c r="G60" s="1" t="str">
        <f t="shared" si="1"/>
        <v/>
      </c>
      <c r="H60" s="1">
        <f t="shared" si="2"/>
        <v>7.9525862068965517E-2</v>
      </c>
      <c r="I60" s="1" t="str">
        <f t="shared" si="3"/>
        <v/>
      </c>
      <c r="J60" s="1" t="str">
        <f t="shared" si="4"/>
        <v/>
      </c>
      <c r="K60" s="1" t="str">
        <f t="shared" si="5"/>
        <v/>
      </c>
      <c r="L60" s="1" t="str">
        <f t="shared" si="6"/>
        <v/>
      </c>
    </row>
    <row r="61" spans="1:12">
      <c r="A61" t="s">
        <v>32</v>
      </c>
      <c r="B61">
        <v>18</v>
      </c>
      <c r="C61" t="str">
        <f t="shared" si="0"/>
        <v>test.Base64_18_</v>
      </c>
      <c r="D61">
        <v>9</v>
      </c>
      <c r="E61">
        <v>9.4719827586206895E-2</v>
      </c>
      <c r="F61">
        <v>0.27660000000000001</v>
      </c>
      <c r="G61" s="1" t="str">
        <f t="shared" si="1"/>
        <v/>
      </c>
      <c r="H61" s="1">
        <f t="shared" si="2"/>
        <v>9.4719827586206895E-2</v>
      </c>
      <c r="I61" s="1" t="str">
        <f t="shared" si="3"/>
        <v/>
      </c>
      <c r="J61" s="1" t="str">
        <f t="shared" si="4"/>
        <v/>
      </c>
      <c r="K61" s="1" t="str">
        <f t="shared" si="5"/>
        <v/>
      </c>
      <c r="L61" s="1" t="str">
        <f t="shared" si="6"/>
        <v/>
      </c>
    </row>
    <row r="62" spans="1:12">
      <c r="A62" t="s">
        <v>32</v>
      </c>
      <c r="B62">
        <v>18</v>
      </c>
      <c r="C62" t="str">
        <f t="shared" si="0"/>
        <v>test.Base64_18_</v>
      </c>
      <c r="D62">
        <v>10</v>
      </c>
      <c r="E62">
        <v>9.4935344827586213E-2</v>
      </c>
      <c r="F62">
        <v>0.27660212765957443</v>
      </c>
      <c r="G62" s="1" t="str">
        <f t="shared" si="1"/>
        <v/>
      </c>
      <c r="H62" s="1">
        <f t="shared" si="2"/>
        <v>9.4935344827586213E-2</v>
      </c>
      <c r="I62" s="1" t="str">
        <f t="shared" si="3"/>
        <v/>
      </c>
      <c r="J62" s="1" t="str">
        <f t="shared" si="4"/>
        <v/>
      </c>
      <c r="K62" s="1" t="str">
        <f t="shared" si="5"/>
        <v/>
      </c>
      <c r="L62" s="1" t="str">
        <f t="shared" si="6"/>
        <v/>
      </c>
    </row>
    <row r="63" spans="1:12">
      <c r="A63" t="s">
        <v>32</v>
      </c>
      <c r="B63">
        <v>18</v>
      </c>
      <c r="C63" t="str">
        <f t="shared" si="0"/>
        <v>test.Base64_18_</v>
      </c>
      <c r="D63">
        <v>11</v>
      </c>
      <c r="E63">
        <v>0.10140086206896552</v>
      </c>
      <c r="F63">
        <v>0.27660427659574466</v>
      </c>
      <c r="G63" s="1" t="str">
        <f t="shared" si="1"/>
        <v/>
      </c>
      <c r="H63" s="1">
        <f t="shared" si="2"/>
        <v>0.10140086206896552</v>
      </c>
      <c r="I63" s="1" t="str">
        <f t="shared" si="3"/>
        <v/>
      </c>
      <c r="J63" s="1" t="str">
        <f t="shared" si="4"/>
        <v/>
      </c>
      <c r="K63" s="1" t="str">
        <f t="shared" si="5"/>
        <v/>
      </c>
      <c r="L63" s="1" t="str">
        <f t="shared" si="6"/>
        <v/>
      </c>
    </row>
    <row r="64" spans="1:12">
      <c r="A64" t="s">
        <v>32</v>
      </c>
      <c r="B64">
        <v>18</v>
      </c>
      <c r="C64" t="str">
        <f t="shared" si="0"/>
        <v>test.Base64_18_</v>
      </c>
      <c r="D64">
        <v>12</v>
      </c>
      <c r="E64">
        <v>0.1019396551724138</v>
      </c>
      <c r="F64">
        <v>0.27660640425531913</v>
      </c>
      <c r="G64" s="1" t="str">
        <f t="shared" si="1"/>
        <v/>
      </c>
      <c r="H64" s="1">
        <f t="shared" si="2"/>
        <v>0.1019396551724138</v>
      </c>
      <c r="I64" s="1" t="str">
        <f t="shared" si="3"/>
        <v/>
      </c>
      <c r="J64" s="1" t="str">
        <f t="shared" si="4"/>
        <v/>
      </c>
      <c r="K64" s="1" t="str">
        <f t="shared" si="5"/>
        <v/>
      </c>
      <c r="L64" s="1" t="str">
        <f t="shared" si="6"/>
        <v/>
      </c>
    </row>
    <row r="65" spans="1:12">
      <c r="A65" t="s">
        <v>32</v>
      </c>
      <c r="B65">
        <v>18</v>
      </c>
      <c r="C65" t="str">
        <f t="shared" si="0"/>
        <v>test.Base64_18_</v>
      </c>
      <c r="D65">
        <v>13</v>
      </c>
      <c r="E65">
        <v>0.12564655172413794</v>
      </c>
      <c r="F65">
        <v>0.2978723404255319</v>
      </c>
      <c r="G65" s="1" t="str">
        <f t="shared" si="1"/>
        <v/>
      </c>
      <c r="H65" s="1">
        <f t="shared" si="2"/>
        <v>0.12564655172413794</v>
      </c>
      <c r="I65" s="1" t="str">
        <f t="shared" si="3"/>
        <v/>
      </c>
      <c r="J65" s="1" t="str">
        <f t="shared" si="4"/>
        <v/>
      </c>
      <c r="K65" s="1" t="str">
        <f t="shared" si="5"/>
        <v/>
      </c>
      <c r="L65" s="1" t="str">
        <f t="shared" si="6"/>
        <v/>
      </c>
    </row>
    <row r="66" spans="1:12">
      <c r="A66" t="s">
        <v>32</v>
      </c>
      <c r="B66">
        <v>18</v>
      </c>
      <c r="C66" t="str">
        <f t="shared" si="0"/>
        <v>test.Base64_18_</v>
      </c>
      <c r="D66">
        <v>14</v>
      </c>
      <c r="E66">
        <v>0.12564655172413794</v>
      </c>
      <c r="F66">
        <v>0.29787446808510637</v>
      </c>
      <c r="G66" s="1" t="str">
        <f t="shared" si="1"/>
        <v/>
      </c>
      <c r="H66" s="1">
        <f t="shared" si="2"/>
        <v>0.12564655172413794</v>
      </c>
      <c r="I66" s="1" t="str">
        <f t="shared" si="3"/>
        <v/>
      </c>
      <c r="J66" s="1" t="str">
        <f t="shared" si="4"/>
        <v/>
      </c>
      <c r="K66" s="1" t="str">
        <f t="shared" si="5"/>
        <v/>
      </c>
      <c r="L66" s="1" t="str">
        <f t="shared" si="6"/>
        <v/>
      </c>
    </row>
    <row r="67" spans="1:12">
      <c r="A67" t="s">
        <v>32</v>
      </c>
      <c r="B67">
        <v>18</v>
      </c>
      <c r="C67" t="str">
        <f t="shared" ref="C67:C130" si="55">CONCATENATE(A67, "_",B67,"_")</f>
        <v>test.Base64_18_</v>
      </c>
      <c r="D67">
        <v>15</v>
      </c>
      <c r="E67">
        <v>0.12564655172413794</v>
      </c>
      <c r="F67">
        <v>0.29787659574468084</v>
      </c>
      <c r="G67" s="1" t="str">
        <f t="shared" ref="G67:G130" si="56">IF($F67 &lt;= 0.2,$E67,"")</f>
        <v/>
      </c>
      <c r="H67" s="1">
        <f t="shared" ref="H67:H130" si="57">IF(AND($F67 &gt; 0.2,$F67 &lt;= 0.4),$E67,"")</f>
        <v>0.12564655172413794</v>
      </c>
      <c r="I67" s="1" t="str">
        <f t="shared" ref="I67:I130" si="58">IF(AND($F67 &gt; 0.4,$F67 &lt;= 0.6),$E67,"")</f>
        <v/>
      </c>
      <c r="J67" s="1" t="str">
        <f t="shared" ref="J67:J130" si="59">IF(AND($F67 &gt; 0.6,$F67 &lt;= 0.8),$E67,"")</f>
        <v/>
      </c>
      <c r="K67" s="1" t="str">
        <f t="shared" ref="K67:K130" si="60">IF(AND($F67 &gt; 0.8, $F67 &lt;=1.1),$E67,"")</f>
        <v/>
      </c>
      <c r="L67" s="1" t="str">
        <f t="shared" ref="L67:L130" si="61">IF(AND($F67 &gt; 1.1),$E67,"")</f>
        <v/>
      </c>
    </row>
    <row r="68" spans="1:12">
      <c r="A68" t="s">
        <v>32</v>
      </c>
      <c r="B68">
        <v>18</v>
      </c>
      <c r="C68" t="str">
        <f t="shared" si="55"/>
        <v>test.Base64_18_</v>
      </c>
      <c r="D68">
        <v>16</v>
      </c>
      <c r="E68">
        <v>0.12586206896551724</v>
      </c>
      <c r="F68">
        <v>0.29787872340425531</v>
      </c>
      <c r="G68" s="1" t="str">
        <f t="shared" si="56"/>
        <v/>
      </c>
      <c r="H68" s="1">
        <f t="shared" si="57"/>
        <v>0.12586206896551724</v>
      </c>
      <c r="I68" s="1" t="str">
        <f t="shared" si="58"/>
        <v/>
      </c>
      <c r="J68" s="1" t="str">
        <f t="shared" si="59"/>
        <v/>
      </c>
      <c r="K68" s="1" t="str">
        <f t="shared" si="60"/>
        <v/>
      </c>
      <c r="L68" s="1" t="str">
        <f t="shared" si="61"/>
        <v/>
      </c>
    </row>
    <row r="69" spans="1:12">
      <c r="A69" t="s">
        <v>32</v>
      </c>
      <c r="B69">
        <v>18</v>
      </c>
      <c r="C69" t="str">
        <f t="shared" si="55"/>
        <v>test.Base64_18_</v>
      </c>
      <c r="D69">
        <v>17</v>
      </c>
      <c r="E69">
        <v>0.12586206896551724</v>
      </c>
      <c r="F69">
        <v>0.29788087234042554</v>
      </c>
      <c r="G69" s="1" t="str">
        <f t="shared" si="56"/>
        <v/>
      </c>
      <c r="H69" s="1">
        <f t="shared" si="57"/>
        <v>0.12586206896551724</v>
      </c>
      <c r="I69" s="1" t="str">
        <f t="shared" si="58"/>
        <v/>
      </c>
      <c r="J69" s="1" t="str">
        <f t="shared" si="59"/>
        <v/>
      </c>
      <c r="K69" s="1" t="str">
        <f t="shared" si="60"/>
        <v/>
      </c>
      <c r="L69" s="1" t="str">
        <f t="shared" si="61"/>
        <v/>
      </c>
    </row>
    <row r="70" spans="1:12">
      <c r="A70" t="s">
        <v>32</v>
      </c>
      <c r="B70">
        <v>18</v>
      </c>
      <c r="C70" t="str">
        <f t="shared" si="55"/>
        <v>test.Base64_18_</v>
      </c>
      <c r="D70">
        <v>18</v>
      </c>
      <c r="E70">
        <v>0.12661637931034483</v>
      </c>
      <c r="F70">
        <v>0.31914893617021278</v>
      </c>
      <c r="G70" s="1" t="str">
        <f t="shared" si="56"/>
        <v/>
      </c>
      <c r="H70" s="1">
        <f t="shared" si="57"/>
        <v>0.12661637931034483</v>
      </c>
      <c r="I70" s="1" t="str">
        <f t="shared" si="58"/>
        <v/>
      </c>
      <c r="J70" s="1" t="str">
        <f t="shared" si="59"/>
        <v/>
      </c>
      <c r="K70" s="1" t="str">
        <f t="shared" si="60"/>
        <v/>
      </c>
      <c r="L70" s="1" t="str">
        <f t="shared" si="61"/>
        <v/>
      </c>
    </row>
    <row r="71" spans="1:12">
      <c r="A71" t="s">
        <v>32</v>
      </c>
      <c r="B71">
        <v>18</v>
      </c>
      <c r="C71" t="str">
        <f t="shared" si="55"/>
        <v>test.Base64_18_</v>
      </c>
      <c r="D71">
        <v>19</v>
      </c>
      <c r="E71">
        <v>0.12661637931034483</v>
      </c>
      <c r="F71">
        <v>0.31915106382978725</v>
      </c>
      <c r="G71" s="1" t="str">
        <f t="shared" si="56"/>
        <v/>
      </c>
      <c r="H71" s="1">
        <f t="shared" si="57"/>
        <v>0.12661637931034483</v>
      </c>
      <c r="I71" s="1" t="str">
        <f t="shared" si="58"/>
        <v/>
      </c>
      <c r="J71" s="1" t="str">
        <f t="shared" si="59"/>
        <v/>
      </c>
      <c r="K71" s="1" t="str">
        <f t="shared" si="60"/>
        <v/>
      </c>
      <c r="L71" s="1" t="str">
        <f t="shared" si="61"/>
        <v/>
      </c>
    </row>
    <row r="72" spans="1:12">
      <c r="A72" t="s">
        <v>32</v>
      </c>
      <c r="B72">
        <v>18</v>
      </c>
      <c r="C72" t="str">
        <f t="shared" si="55"/>
        <v>test.Base64_18_</v>
      </c>
      <c r="D72">
        <v>20</v>
      </c>
      <c r="E72">
        <v>0.74967672413793107</v>
      </c>
      <c r="F72">
        <v>1.2765957446808511</v>
      </c>
      <c r="G72" s="1" t="str">
        <f t="shared" si="56"/>
        <v/>
      </c>
      <c r="H72" s="1" t="str">
        <f t="shared" si="57"/>
        <v/>
      </c>
      <c r="I72" s="1" t="str">
        <f t="shared" si="58"/>
        <v/>
      </c>
      <c r="J72" s="1" t="str">
        <f t="shared" si="59"/>
        <v/>
      </c>
      <c r="K72" s="1" t="str">
        <f t="shared" si="60"/>
        <v/>
      </c>
      <c r="L72" s="1">
        <f t="shared" si="61"/>
        <v>0.74967672413793107</v>
      </c>
    </row>
    <row r="73" spans="1:12">
      <c r="A73" t="s">
        <v>32</v>
      </c>
      <c r="B73">
        <v>18</v>
      </c>
      <c r="C73" t="str">
        <f t="shared" si="55"/>
        <v>test.Base64_18_</v>
      </c>
      <c r="D73">
        <v>21</v>
      </c>
      <c r="E73">
        <v>0.82586206896551728</v>
      </c>
      <c r="F73">
        <v>1.2765978723404257</v>
      </c>
      <c r="G73" s="1" t="str">
        <f t="shared" si="56"/>
        <v/>
      </c>
      <c r="H73" s="1" t="str">
        <f t="shared" si="57"/>
        <v/>
      </c>
      <c r="I73" s="1" t="str">
        <f t="shared" si="58"/>
        <v/>
      </c>
      <c r="J73" s="1" t="str">
        <f t="shared" si="59"/>
        <v/>
      </c>
      <c r="K73" s="1" t="str">
        <f t="shared" si="60"/>
        <v/>
      </c>
      <c r="L73" s="1">
        <f t="shared" si="61"/>
        <v>0.82586206896551728</v>
      </c>
    </row>
    <row r="74" spans="1:12">
      <c r="A74" t="s">
        <v>32</v>
      </c>
      <c r="B74">
        <v>18</v>
      </c>
      <c r="C74" t="str">
        <f t="shared" si="55"/>
        <v>test.Base64_18_</v>
      </c>
      <c r="D74">
        <v>22</v>
      </c>
      <c r="E74">
        <v>0.99913793103448278</v>
      </c>
      <c r="F74">
        <v>1.3191489361702127</v>
      </c>
      <c r="G74" s="1" t="str">
        <f t="shared" si="56"/>
        <v/>
      </c>
      <c r="H74" s="1" t="str">
        <f t="shared" si="57"/>
        <v/>
      </c>
      <c r="I74" s="1" t="str">
        <f t="shared" si="58"/>
        <v/>
      </c>
      <c r="J74" s="1" t="str">
        <f t="shared" si="59"/>
        <v/>
      </c>
      <c r="K74" s="1" t="str">
        <f t="shared" si="60"/>
        <v/>
      </c>
      <c r="L74" s="1">
        <f t="shared" si="61"/>
        <v>0.99913793103448278</v>
      </c>
    </row>
    <row r="75" spans="1:12">
      <c r="A75" t="s">
        <v>32</v>
      </c>
      <c r="B75">
        <v>18</v>
      </c>
      <c r="C75" t="str">
        <f t="shared" si="55"/>
        <v>test.Base64_18_</v>
      </c>
      <c r="D75">
        <v>23</v>
      </c>
      <c r="E75">
        <v>1</v>
      </c>
      <c r="F75">
        <v>1.3191510638297872</v>
      </c>
      <c r="G75" s="1" t="str">
        <f t="shared" si="56"/>
        <v/>
      </c>
      <c r="H75" s="1" t="str">
        <f t="shared" si="57"/>
        <v/>
      </c>
      <c r="I75" s="1" t="str">
        <f t="shared" si="58"/>
        <v/>
      </c>
      <c r="J75" s="1" t="str">
        <f t="shared" si="59"/>
        <v/>
      </c>
      <c r="K75" s="1" t="str">
        <f t="shared" si="60"/>
        <v/>
      </c>
      <c r="L75" s="1">
        <f t="shared" si="61"/>
        <v>1</v>
      </c>
    </row>
    <row r="76" spans="1:12">
      <c r="A76" t="s">
        <v>32</v>
      </c>
      <c r="B76">
        <v>18</v>
      </c>
      <c r="C76" t="str">
        <f t="shared" si="55"/>
        <v>test.Base64_18_</v>
      </c>
      <c r="D76">
        <v>24</v>
      </c>
      <c r="E76">
        <v>1</v>
      </c>
      <c r="F76">
        <v>1.3404255319148937</v>
      </c>
      <c r="G76" s="1" t="str">
        <f t="shared" si="56"/>
        <v/>
      </c>
      <c r="H76" s="1" t="str">
        <f t="shared" si="57"/>
        <v/>
      </c>
      <c r="I76" s="1" t="str">
        <f t="shared" si="58"/>
        <v/>
      </c>
      <c r="J76" s="1" t="str">
        <f t="shared" si="59"/>
        <v/>
      </c>
      <c r="K76" s="1" t="str">
        <f t="shared" si="60"/>
        <v/>
      </c>
      <c r="L76" s="1">
        <f t="shared" si="61"/>
        <v>1</v>
      </c>
    </row>
    <row r="77" spans="1:12">
      <c r="A77" t="s">
        <v>32</v>
      </c>
      <c r="B77">
        <v>18</v>
      </c>
      <c r="C77" t="str">
        <f t="shared" si="55"/>
        <v>test.Base64_18_</v>
      </c>
      <c r="D77">
        <v>25</v>
      </c>
      <c r="E77">
        <v>1</v>
      </c>
      <c r="F77">
        <v>1.4042553191489362</v>
      </c>
      <c r="G77" s="1" t="str">
        <f t="shared" si="56"/>
        <v/>
      </c>
      <c r="H77" s="1" t="str">
        <f t="shared" si="57"/>
        <v/>
      </c>
      <c r="I77" s="1" t="str">
        <f t="shared" si="58"/>
        <v/>
      </c>
      <c r="J77" s="1" t="str">
        <f t="shared" si="59"/>
        <v/>
      </c>
      <c r="K77" s="1" t="str">
        <f t="shared" si="60"/>
        <v/>
      </c>
      <c r="L77" s="1">
        <f t="shared" si="61"/>
        <v>1</v>
      </c>
    </row>
    <row r="78" spans="1:12">
      <c r="A78" t="s">
        <v>32</v>
      </c>
      <c r="B78">
        <v>18</v>
      </c>
      <c r="C78" t="str">
        <f t="shared" si="55"/>
        <v>test.Base64_18_</v>
      </c>
      <c r="D78">
        <v>26</v>
      </c>
      <c r="E78">
        <v>1</v>
      </c>
      <c r="F78">
        <v>1.4893617021276595</v>
      </c>
      <c r="G78" s="1" t="str">
        <f t="shared" si="56"/>
        <v/>
      </c>
      <c r="H78" s="1" t="str">
        <f t="shared" si="57"/>
        <v/>
      </c>
      <c r="I78" s="1" t="str">
        <f t="shared" si="58"/>
        <v/>
      </c>
      <c r="J78" s="1" t="str">
        <f t="shared" si="59"/>
        <v/>
      </c>
      <c r="K78" s="1" t="str">
        <f t="shared" si="60"/>
        <v/>
      </c>
      <c r="L78" s="1">
        <f t="shared" si="61"/>
        <v>1</v>
      </c>
    </row>
    <row r="79" spans="1:12">
      <c r="A79" t="s">
        <v>32</v>
      </c>
      <c r="B79">
        <v>19</v>
      </c>
      <c r="C79" t="str">
        <f t="shared" si="55"/>
        <v>test.Base64_19_</v>
      </c>
      <c r="D79">
        <v>27</v>
      </c>
      <c r="E79">
        <v>2.6135249918327343E-3</v>
      </c>
      <c r="F79">
        <v>0.16666666666666666</v>
      </c>
      <c r="G79" s="1">
        <f t="shared" si="56"/>
        <v>2.6135249918327343E-3</v>
      </c>
      <c r="H79" s="1" t="str">
        <f t="shared" si="57"/>
        <v/>
      </c>
      <c r="I79" s="1" t="str">
        <f t="shared" si="58"/>
        <v/>
      </c>
      <c r="J79" s="1" t="str">
        <f t="shared" si="59"/>
        <v/>
      </c>
      <c r="K79" s="1" t="str">
        <f t="shared" si="60"/>
        <v/>
      </c>
      <c r="L79" s="1" t="str">
        <f t="shared" si="61"/>
        <v/>
      </c>
    </row>
    <row r="80" spans="1:12">
      <c r="A80" t="s">
        <v>32</v>
      </c>
      <c r="B80">
        <v>19</v>
      </c>
      <c r="C80" t="str">
        <f t="shared" si="55"/>
        <v>test.Base64_19_</v>
      </c>
      <c r="D80">
        <v>28</v>
      </c>
      <c r="E80">
        <v>4.138081237068496E-3</v>
      </c>
      <c r="F80">
        <v>0.1875</v>
      </c>
      <c r="G80" s="1">
        <f t="shared" si="56"/>
        <v>4.138081237068496E-3</v>
      </c>
      <c r="H80" s="1" t="str">
        <f t="shared" si="57"/>
        <v/>
      </c>
      <c r="I80" s="1" t="str">
        <f t="shared" si="58"/>
        <v/>
      </c>
      <c r="J80" s="1" t="str">
        <f t="shared" si="59"/>
        <v/>
      </c>
      <c r="K80" s="1" t="str">
        <f t="shared" si="60"/>
        <v/>
      </c>
      <c r="L80" s="1" t="str">
        <f t="shared" si="61"/>
        <v/>
      </c>
    </row>
    <row r="81" spans="1:12">
      <c r="A81" t="s">
        <v>32</v>
      </c>
      <c r="B81">
        <v>19</v>
      </c>
      <c r="C81" t="str">
        <f t="shared" si="55"/>
        <v>test.Base64_19_</v>
      </c>
      <c r="D81">
        <v>29</v>
      </c>
      <c r="E81">
        <v>0.38026788631166286</v>
      </c>
      <c r="F81">
        <v>0.54166666666666663</v>
      </c>
      <c r="G81" s="1" t="str">
        <f t="shared" si="56"/>
        <v/>
      </c>
      <c r="H81" s="1" t="str">
        <f t="shared" si="57"/>
        <v/>
      </c>
      <c r="I81" s="1">
        <f t="shared" si="58"/>
        <v>0.38026788631166286</v>
      </c>
      <c r="J81" s="1" t="str">
        <f t="shared" si="59"/>
        <v/>
      </c>
      <c r="K81" s="1" t="str">
        <f t="shared" si="60"/>
        <v/>
      </c>
      <c r="L81" s="1" t="str">
        <f t="shared" si="61"/>
        <v/>
      </c>
    </row>
    <row r="82" spans="1:12">
      <c r="A82" t="s">
        <v>32</v>
      </c>
      <c r="B82">
        <v>19</v>
      </c>
      <c r="C82" t="str">
        <f t="shared" si="55"/>
        <v>test.Base64_19_</v>
      </c>
      <c r="D82">
        <v>30</v>
      </c>
      <c r="E82">
        <v>0.52030926712403358</v>
      </c>
      <c r="F82">
        <v>0.60416666666666663</v>
      </c>
      <c r="G82" s="1" t="str">
        <f t="shared" si="56"/>
        <v/>
      </c>
      <c r="H82" s="1" t="str">
        <f t="shared" si="57"/>
        <v/>
      </c>
      <c r="I82" s="1" t="str">
        <f t="shared" si="58"/>
        <v/>
      </c>
      <c r="J82" s="1">
        <f t="shared" si="59"/>
        <v>0.52030926712403358</v>
      </c>
      <c r="K82" s="1" t="str">
        <f t="shared" si="60"/>
        <v/>
      </c>
      <c r="L82" s="1" t="str">
        <f t="shared" si="61"/>
        <v/>
      </c>
    </row>
    <row r="83" spans="1:12">
      <c r="A83" t="s">
        <v>32</v>
      </c>
      <c r="B83">
        <v>19</v>
      </c>
      <c r="C83" t="str">
        <f t="shared" si="55"/>
        <v>test.Base64_19_</v>
      </c>
      <c r="D83">
        <v>31</v>
      </c>
      <c r="E83">
        <v>0.5749754982032016</v>
      </c>
      <c r="F83">
        <v>0.625</v>
      </c>
      <c r="G83" s="1" t="str">
        <f t="shared" si="56"/>
        <v/>
      </c>
      <c r="H83" s="1" t="str">
        <f t="shared" si="57"/>
        <v/>
      </c>
      <c r="I83" s="1" t="str">
        <f t="shared" si="58"/>
        <v/>
      </c>
      <c r="J83" s="1">
        <f t="shared" si="59"/>
        <v>0.5749754982032016</v>
      </c>
      <c r="K83" s="1" t="str">
        <f t="shared" si="60"/>
        <v/>
      </c>
      <c r="L83" s="1" t="str">
        <f t="shared" si="61"/>
        <v/>
      </c>
    </row>
    <row r="84" spans="1:12">
      <c r="A84" t="s">
        <v>32</v>
      </c>
      <c r="B84">
        <v>19</v>
      </c>
      <c r="C84" t="str">
        <f t="shared" si="55"/>
        <v>test.Base64_19_</v>
      </c>
      <c r="D84">
        <v>32</v>
      </c>
      <c r="E84">
        <v>0.64837199172383753</v>
      </c>
      <c r="F84">
        <v>0.64583333333333337</v>
      </c>
      <c r="G84" s="1" t="str">
        <f t="shared" si="56"/>
        <v/>
      </c>
      <c r="H84" s="1" t="str">
        <f t="shared" si="57"/>
        <v/>
      </c>
      <c r="I84" s="1" t="str">
        <f t="shared" si="58"/>
        <v/>
      </c>
      <c r="J84" s="1">
        <f t="shared" si="59"/>
        <v>0.64837199172383753</v>
      </c>
      <c r="K84" s="1" t="str">
        <f t="shared" si="60"/>
        <v/>
      </c>
      <c r="L84" s="1" t="str">
        <f t="shared" si="61"/>
        <v/>
      </c>
    </row>
    <row r="85" spans="1:12">
      <c r="A85" t="s">
        <v>32</v>
      </c>
      <c r="B85">
        <v>19</v>
      </c>
      <c r="C85" t="str">
        <f t="shared" si="55"/>
        <v>test.Base64_19_</v>
      </c>
      <c r="D85">
        <v>33</v>
      </c>
      <c r="E85">
        <v>0.64891647609713599</v>
      </c>
      <c r="F85">
        <v>0.64583541666666666</v>
      </c>
      <c r="G85" s="1" t="str">
        <f t="shared" si="56"/>
        <v/>
      </c>
      <c r="H85" s="1" t="str">
        <f t="shared" si="57"/>
        <v/>
      </c>
      <c r="I85" s="1" t="str">
        <f t="shared" si="58"/>
        <v/>
      </c>
      <c r="J85" s="1">
        <f t="shared" si="59"/>
        <v>0.64891647609713599</v>
      </c>
      <c r="K85" s="1" t="str">
        <f t="shared" si="60"/>
        <v/>
      </c>
      <c r="L85" s="1" t="str">
        <f t="shared" si="61"/>
        <v/>
      </c>
    </row>
    <row r="86" spans="1:12">
      <c r="A86" t="s">
        <v>32</v>
      </c>
      <c r="B86">
        <v>19</v>
      </c>
      <c r="C86" t="str">
        <f t="shared" si="55"/>
        <v>test.Base64_19_</v>
      </c>
      <c r="D86">
        <v>34</v>
      </c>
      <c r="E86">
        <v>0.82228030055537404</v>
      </c>
      <c r="F86">
        <v>0.66666666666666663</v>
      </c>
      <c r="G86" s="1" t="str">
        <f t="shared" si="56"/>
        <v/>
      </c>
      <c r="H86" s="1" t="str">
        <f t="shared" si="57"/>
        <v/>
      </c>
      <c r="I86" s="1" t="str">
        <f t="shared" si="58"/>
        <v/>
      </c>
      <c r="J86" s="1">
        <f t="shared" si="59"/>
        <v>0.82228030055537404</v>
      </c>
      <c r="K86" s="1" t="str">
        <f t="shared" si="60"/>
        <v/>
      </c>
      <c r="L86" s="1" t="str">
        <f t="shared" si="61"/>
        <v/>
      </c>
    </row>
    <row r="87" spans="1:12">
      <c r="A87" t="s">
        <v>32</v>
      </c>
      <c r="B87">
        <v>19</v>
      </c>
      <c r="C87" t="str">
        <f t="shared" si="55"/>
        <v>test.Base64_19_</v>
      </c>
      <c r="D87">
        <v>35</v>
      </c>
      <c r="E87">
        <v>0.82304257867799191</v>
      </c>
      <c r="F87">
        <v>0.66666875000000003</v>
      </c>
      <c r="G87" s="1" t="str">
        <f t="shared" si="56"/>
        <v/>
      </c>
      <c r="H87" s="1" t="str">
        <f t="shared" si="57"/>
        <v/>
      </c>
      <c r="I87" s="1" t="str">
        <f t="shared" si="58"/>
        <v/>
      </c>
      <c r="J87" s="1">
        <f t="shared" si="59"/>
        <v>0.82304257867799191</v>
      </c>
      <c r="K87" s="1" t="str">
        <f t="shared" si="60"/>
        <v/>
      </c>
      <c r="L87" s="1" t="str">
        <f t="shared" si="61"/>
        <v/>
      </c>
    </row>
    <row r="88" spans="1:12">
      <c r="A88" t="s">
        <v>32</v>
      </c>
      <c r="B88">
        <v>19</v>
      </c>
      <c r="C88" t="str">
        <f t="shared" si="55"/>
        <v>test.Base64_19_</v>
      </c>
      <c r="D88">
        <v>36</v>
      </c>
      <c r="E88">
        <v>0.82326037242731132</v>
      </c>
      <c r="F88">
        <v>0.6875</v>
      </c>
      <c r="G88" s="1" t="str">
        <f t="shared" si="56"/>
        <v/>
      </c>
      <c r="H88" s="1" t="str">
        <f t="shared" si="57"/>
        <v/>
      </c>
      <c r="I88" s="1" t="str">
        <f t="shared" si="58"/>
        <v/>
      </c>
      <c r="J88" s="1">
        <f t="shared" si="59"/>
        <v>0.82326037242731132</v>
      </c>
      <c r="K88" s="1" t="str">
        <f t="shared" si="60"/>
        <v/>
      </c>
      <c r="L88" s="1" t="str">
        <f t="shared" si="61"/>
        <v/>
      </c>
    </row>
    <row r="89" spans="1:12">
      <c r="A89" t="s">
        <v>32</v>
      </c>
      <c r="B89">
        <v>19</v>
      </c>
      <c r="C89" t="str">
        <f t="shared" si="55"/>
        <v>test.Base64_19_</v>
      </c>
      <c r="D89">
        <v>37</v>
      </c>
      <c r="E89">
        <v>0.97244909071109664</v>
      </c>
      <c r="F89">
        <v>0.6875020833333334</v>
      </c>
      <c r="G89" s="1" t="str">
        <f t="shared" si="56"/>
        <v/>
      </c>
      <c r="H89" s="1" t="str">
        <f t="shared" si="57"/>
        <v/>
      </c>
      <c r="I89" s="1" t="str">
        <f t="shared" si="58"/>
        <v/>
      </c>
      <c r="J89" s="1">
        <f t="shared" si="59"/>
        <v>0.97244909071109664</v>
      </c>
      <c r="K89" s="1" t="str">
        <f t="shared" si="60"/>
        <v/>
      </c>
      <c r="L89" s="1" t="str">
        <f t="shared" si="61"/>
        <v/>
      </c>
    </row>
    <row r="90" spans="1:12">
      <c r="A90" t="s">
        <v>32</v>
      </c>
      <c r="B90">
        <v>19</v>
      </c>
      <c r="C90" t="str">
        <f t="shared" si="55"/>
        <v>test.Base64_19_</v>
      </c>
      <c r="D90">
        <v>38</v>
      </c>
      <c r="E90">
        <v>0.97244909071109664</v>
      </c>
      <c r="F90">
        <v>0.70833333333333337</v>
      </c>
      <c r="G90" s="1" t="str">
        <f t="shared" si="56"/>
        <v/>
      </c>
      <c r="H90" s="1" t="str">
        <f t="shared" si="57"/>
        <v/>
      </c>
      <c r="I90" s="1" t="str">
        <f t="shared" si="58"/>
        <v/>
      </c>
      <c r="J90" s="1">
        <f t="shared" si="59"/>
        <v>0.97244909071109664</v>
      </c>
      <c r="K90" s="1" t="str">
        <f t="shared" si="60"/>
        <v/>
      </c>
      <c r="L90" s="1" t="str">
        <f t="shared" si="61"/>
        <v/>
      </c>
    </row>
    <row r="91" spans="1:12">
      <c r="A91" t="s">
        <v>32</v>
      </c>
      <c r="B91">
        <v>19</v>
      </c>
      <c r="C91" t="str">
        <f t="shared" si="55"/>
        <v>test.Base64_19_</v>
      </c>
      <c r="D91">
        <v>39</v>
      </c>
      <c r="E91">
        <v>0.9727757813350757</v>
      </c>
      <c r="F91">
        <v>0.70833541666666677</v>
      </c>
      <c r="G91" s="1" t="str">
        <f t="shared" si="56"/>
        <v/>
      </c>
      <c r="H91" s="1" t="str">
        <f t="shared" si="57"/>
        <v/>
      </c>
      <c r="I91" s="1" t="str">
        <f t="shared" si="58"/>
        <v/>
      </c>
      <c r="J91" s="1">
        <f t="shared" si="59"/>
        <v>0.9727757813350757</v>
      </c>
      <c r="K91" s="1" t="str">
        <f t="shared" si="60"/>
        <v/>
      </c>
      <c r="L91" s="1" t="str">
        <f t="shared" si="61"/>
        <v/>
      </c>
    </row>
    <row r="92" spans="1:12">
      <c r="A92" t="s">
        <v>32</v>
      </c>
      <c r="B92">
        <v>19</v>
      </c>
      <c r="C92" t="str">
        <f t="shared" si="55"/>
        <v>test.Base64_19_</v>
      </c>
      <c r="D92">
        <v>40</v>
      </c>
      <c r="E92">
        <v>0.9727757813350757</v>
      </c>
      <c r="F92">
        <v>0.72916666666666663</v>
      </c>
      <c r="G92" s="1" t="str">
        <f t="shared" si="56"/>
        <v/>
      </c>
      <c r="H92" s="1" t="str">
        <f t="shared" si="57"/>
        <v/>
      </c>
      <c r="I92" s="1" t="str">
        <f t="shared" si="58"/>
        <v/>
      </c>
      <c r="J92" s="1">
        <f t="shared" si="59"/>
        <v>0.9727757813350757</v>
      </c>
      <c r="K92" s="1" t="str">
        <f t="shared" si="60"/>
        <v/>
      </c>
      <c r="L92" s="1" t="str">
        <f t="shared" si="61"/>
        <v/>
      </c>
    </row>
    <row r="93" spans="1:12">
      <c r="A93" t="s">
        <v>32</v>
      </c>
      <c r="B93">
        <v>19</v>
      </c>
      <c r="C93" t="str">
        <f t="shared" si="55"/>
        <v>test.Base64_19_</v>
      </c>
      <c r="D93">
        <v>41</v>
      </c>
      <c r="E93">
        <v>0.9727757813350757</v>
      </c>
      <c r="F93">
        <v>0.72916875000000003</v>
      </c>
      <c r="G93" s="1" t="str">
        <f t="shared" si="56"/>
        <v/>
      </c>
      <c r="H93" s="1" t="str">
        <f t="shared" si="57"/>
        <v/>
      </c>
      <c r="I93" s="1" t="str">
        <f t="shared" si="58"/>
        <v/>
      </c>
      <c r="J93" s="1">
        <f t="shared" si="59"/>
        <v>0.9727757813350757</v>
      </c>
      <c r="K93" s="1" t="str">
        <f t="shared" si="60"/>
        <v/>
      </c>
      <c r="L93" s="1" t="str">
        <f t="shared" si="61"/>
        <v/>
      </c>
    </row>
    <row r="94" spans="1:12">
      <c r="A94" t="s">
        <v>32</v>
      </c>
      <c r="B94">
        <v>19</v>
      </c>
      <c r="C94" t="str">
        <f t="shared" si="55"/>
        <v>test.Base64_19_</v>
      </c>
      <c r="D94">
        <v>42</v>
      </c>
      <c r="E94">
        <v>0.9727757813350757</v>
      </c>
      <c r="F94">
        <v>0.75</v>
      </c>
      <c r="G94" s="1" t="str">
        <f t="shared" si="56"/>
        <v/>
      </c>
      <c r="H94" s="1" t="str">
        <f t="shared" si="57"/>
        <v/>
      </c>
      <c r="I94" s="1" t="str">
        <f t="shared" si="58"/>
        <v/>
      </c>
      <c r="J94" s="1">
        <f t="shared" si="59"/>
        <v>0.9727757813350757</v>
      </c>
      <c r="K94" s="1" t="str">
        <f t="shared" si="60"/>
        <v/>
      </c>
      <c r="L94" s="1" t="str">
        <f t="shared" si="61"/>
        <v/>
      </c>
    </row>
    <row r="95" spans="1:12">
      <c r="A95" t="s">
        <v>32</v>
      </c>
      <c r="B95">
        <v>19</v>
      </c>
      <c r="C95" t="str">
        <f t="shared" si="55"/>
        <v>test.Base64_19_</v>
      </c>
      <c r="D95">
        <v>43</v>
      </c>
      <c r="E95">
        <v>0.97462702820429059</v>
      </c>
      <c r="F95">
        <v>0.77083333333333337</v>
      </c>
      <c r="G95" s="1" t="str">
        <f t="shared" si="56"/>
        <v/>
      </c>
      <c r="H95" s="1" t="str">
        <f t="shared" si="57"/>
        <v/>
      </c>
      <c r="I95" s="1" t="str">
        <f t="shared" si="58"/>
        <v/>
      </c>
      <c r="J95" s="1">
        <f t="shared" si="59"/>
        <v>0.97462702820429059</v>
      </c>
      <c r="K95" s="1" t="str">
        <f t="shared" si="60"/>
        <v/>
      </c>
      <c r="L95" s="1" t="str">
        <f t="shared" si="61"/>
        <v/>
      </c>
    </row>
    <row r="96" spans="1:12">
      <c r="A96" t="s">
        <v>32</v>
      </c>
      <c r="B96">
        <v>19</v>
      </c>
      <c r="C96" t="str">
        <f t="shared" si="55"/>
        <v>test.Base64_19_</v>
      </c>
      <c r="D96">
        <v>44</v>
      </c>
      <c r="E96">
        <v>0.99967330937602095</v>
      </c>
      <c r="F96">
        <v>0.77083541666666677</v>
      </c>
      <c r="G96" s="1" t="str">
        <f t="shared" si="56"/>
        <v/>
      </c>
      <c r="H96" s="1" t="str">
        <f t="shared" si="57"/>
        <v/>
      </c>
      <c r="I96" s="1" t="str">
        <f t="shared" si="58"/>
        <v/>
      </c>
      <c r="J96" s="1">
        <f t="shared" si="59"/>
        <v>0.99967330937602095</v>
      </c>
      <c r="K96" s="1" t="str">
        <f t="shared" si="60"/>
        <v/>
      </c>
      <c r="L96" s="1" t="str">
        <f t="shared" si="61"/>
        <v/>
      </c>
    </row>
    <row r="97" spans="1:12">
      <c r="A97" t="s">
        <v>32</v>
      </c>
      <c r="B97">
        <v>19</v>
      </c>
      <c r="C97" t="str">
        <f t="shared" si="55"/>
        <v>test.Base64_19_</v>
      </c>
      <c r="D97">
        <v>45</v>
      </c>
      <c r="E97">
        <v>0.99967330937602095</v>
      </c>
      <c r="F97">
        <v>0.77083749999999995</v>
      </c>
      <c r="G97" s="1" t="str">
        <f t="shared" si="56"/>
        <v/>
      </c>
      <c r="H97" s="1" t="str">
        <f t="shared" si="57"/>
        <v/>
      </c>
      <c r="I97" s="1" t="str">
        <f t="shared" si="58"/>
        <v/>
      </c>
      <c r="J97" s="1">
        <f t="shared" si="59"/>
        <v>0.99967330937602095</v>
      </c>
      <c r="K97" s="1" t="str">
        <f t="shared" si="60"/>
        <v/>
      </c>
      <c r="L97" s="1" t="str">
        <f t="shared" si="61"/>
        <v/>
      </c>
    </row>
    <row r="98" spans="1:12">
      <c r="A98" t="s">
        <v>32</v>
      </c>
      <c r="B98">
        <v>19</v>
      </c>
      <c r="C98" t="str">
        <f t="shared" si="55"/>
        <v>test.Base64_19_</v>
      </c>
      <c r="D98">
        <v>46</v>
      </c>
      <c r="E98">
        <v>0.99967330937602095</v>
      </c>
      <c r="F98">
        <v>0.79166666666666663</v>
      </c>
      <c r="G98" s="1" t="str">
        <f t="shared" si="56"/>
        <v/>
      </c>
      <c r="H98" s="1" t="str">
        <f t="shared" si="57"/>
        <v/>
      </c>
      <c r="I98" s="1" t="str">
        <f t="shared" si="58"/>
        <v/>
      </c>
      <c r="J98" s="1">
        <f t="shared" si="59"/>
        <v>0.99967330937602095</v>
      </c>
      <c r="K98" s="1" t="str">
        <f t="shared" si="60"/>
        <v/>
      </c>
      <c r="L98" s="1" t="str">
        <f t="shared" si="61"/>
        <v/>
      </c>
    </row>
    <row r="99" spans="1:12">
      <c r="A99" t="s">
        <v>32</v>
      </c>
      <c r="B99">
        <v>19</v>
      </c>
      <c r="C99" t="str">
        <f t="shared" si="55"/>
        <v>test.Base64_19_</v>
      </c>
      <c r="D99">
        <v>1</v>
      </c>
      <c r="E99">
        <v>1</v>
      </c>
      <c r="F99">
        <v>0.79166875000000003</v>
      </c>
      <c r="G99" s="1" t="str">
        <f t="shared" si="56"/>
        <v/>
      </c>
      <c r="H99" s="1" t="str">
        <f t="shared" si="57"/>
        <v/>
      </c>
      <c r="I99" s="1" t="str">
        <f t="shared" si="58"/>
        <v/>
      </c>
      <c r="J99" s="1">
        <f t="shared" si="59"/>
        <v>1</v>
      </c>
      <c r="K99" s="1" t="str">
        <f t="shared" si="60"/>
        <v/>
      </c>
      <c r="L99" s="1" t="str">
        <f t="shared" si="61"/>
        <v/>
      </c>
    </row>
    <row r="100" spans="1:12">
      <c r="A100" t="s">
        <v>32</v>
      </c>
      <c r="B100">
        <v>19</v>
      </c>
      <c r="C100" t="str">
        <f t="shared" si="55"/>
        <v>test.Base64_19_</v>
      </c>
      <c r="D100">
        <v>2</v>
      </c>
      <c r="E100">
        <v>1</v>
      </c>
      <c r="F100">
        <v>0.8125</v>
      </c>
      <c r="G100" s="1" t="str">
        <f t="shared" si="56"/>
        <v/>
      </c>
      <c r="H100" s="1" t="str">
        <f t="shared" si="57"/>
        <v/>
      </c>
      <c r="I100" s="1" t="str">
        <f t="shared" si="58"/>
        <v/>
      </c>
      <c r="J100" s="1" t="str">
        <f t="shared" si="59"/>
        <v/>
      </c>
      <c r="K100" s="1">
        <f t="shared" si="60"/>
        <v>1</v>
      </c>
      <c r="L100" s="1" t="str">
        <f t="shared" si="61"/>
        <v/>
      </c>
    </row>
    <row r="101" spans="1:12">
      <c r="A101" t="s">
        <v>32</v>
      </c>
      <c r="B101">
        <v>19</v>
      </c>
      <c r="C101" t="str">
        <f t="shared" si="55"/>
        <v>test.Base64_19_</v>
      </c>
      <c r="D101">
        <v>3</v>
      </c>
      <c r="E101">
        <v>1</v>
      </c>
      <c r="F101">
        <v>0.8125020833333334</v>
      </c>
      <c r="G101" s="1" t="str">
        <f t="shared" si="56"/>
        <v/>
      </c>
      <c r="H101" s="1" t="str">
        <f t="shared" si="57"/>
        <v/>
      </c>
      <c r="I101" s="1" t="str">
        <f t="shared" si="58"/>
        <v/>
      </c>
      <c r="J101" s="1" t="str">
        <f t="shared" si="59"/>
        <v/>
      </c>
      <c r="K101" s="1">
        <f t="shared" si="60"/>
        <v>1</v>
      </c>
      <c r="L101" s="1" t="str">
        <f t="shared" si="61"/>
        <v/>
      </c>
    </row>
    <row r="102" spans="1:12">
      <c r="A102" t="s">
        <v>32</v>
      </c>
      <c r="B102">
        <v>19</v>
      </c>
      <c r="C102" t="str">
        <f t="shared" si="55"/>
        <v>test.Base64_19_</v>
      </c>
      <c r="D102">
        <v>4</v>
      </c>
      <c r="E102">
        <v>1</v>
      </c>
      <c r="F102">
        <v>0.83333333333333337</v>
      </c>
      <c r="G102" s="1" t="str">
        <f t="shared" si="56"/>
        <v/>
      </c>
      <c r="H102" s="1" t="str">
        <f t="shared" si="57"/>
        <v/>
      </c>
      <c r="I102" s="1" t="str">
        <f t="shared" si="58"/>
        <v/>
      </c>
      <c r="J102" s="1" t="str">
        <f t="shared" si="59"/>
        <v/>
      </c>
      <c r="K102" s="1">
        <f t="shared" si="60"/>
        <v>1</v>
      </c>
      <c r="L102" s="1" t="str">
        <f t="shared" si="61"/>
        <v/>
      </c>
    </row>
    <row r="103" spans="1:12">
      <c r="A103" t="s">
        <v>32</v>
      </c>
      <c r="B103">
        <v>19</v>
      </c>
      <c r="C103" t="str">
        <f t="shared" si="55"/>
        <v>test.Base64_19_</v>
      </c>
      <c r="D103">
        <v>5</v>
      </c>
      <c r="E103">
        <v>1</v>
      </c>
      <c r="F103">
        <v>0.83333541666666677</v>
      </c>
      <c r="G103" s="1" t="str">
        <f t="shared" si="56"/>
        <v/>
      </c>
      <c r="H103" s="1" t="str">
        <f t="shared" si="57"/>
        <v/>
      </c>
      <c r="I103" s="1" t="str">
        <f t="shared" si="58"/>
        <v/>
      </c>
      <c r="J103" s="1" t="str">
        <f t="shared" si="59"/>
        <v/>
      </c>
      <c r="K103" s="1">
        <f t="shared" si="60"/>
        <v>1</v>
      </c>
      <c r="L103" s="1" t="str">
        <f t="shared" si="61"/>
        <v/>
      </c>
    </row>
    <row r="104" spans="1:12">
      <c r="A104" t="s">
        <v>32</v>
      </c>
      <c r="B104">
        <v>20</v>
      </c>
      <c r="C104" t="str">
        <f t="shared" si="55"/>
        <v>test.Base64_20_</v>
      </c>
      <c r="D104">
        <v>6</v>
      </c>
      <c r="E104">
        <v>0.49992630803242449</v>
      </c>
      <c r="F104">
        <v>1.25</v>
      </c>
      <c r="G104" s="1" t="str">
        <f t="shared" si="56"/>
        <v/>
      </c>
      <c r="H104" s="1" t="str">
        <f t="shared" si="57"/>
        <v/>
      </c>
      <c r="I104" s="1" t="str">
        <f t="shared" si="58"/>
        <v/>
      </c>
      <c r="J104" s="1" t="str">
        <f t="shared" si="59"/>
        <v/>
      </c>
      <c r="K104" s="1" t="str">
        <f t="shared" si="60"/>
        <v/>
      </c>
      <c r="L104" s="1">
        <f t="shared" si="61"/>
        <v>0.49992630803242449</v>
      </c>
    </row>
    <row r="105" spans="1:12">
      <c r="A105" t="s">
        <v>32</v>
      </c>
      <c r="B105">
        <v>20</v>
      </c>
      <c r="C105" t="str">
        <f t="shared" si="55"/>
        <v>test.Base64_20_</v>
      </c>
      <c r="D105">
        <v>7</v>
      </c>
      <c r="E105">
        <v>0.5574060427413412</v>
      </c>
      <c r="F105">
        <v>1.250005</v>
      </c>
      <c r="G105" s="1" t="str">
        <f t="shared" si="56"/>
        <v/>
      </c>
      <c r="H105" s="1" t="str">
        <f t="shared" si="57"/>
        <v/>
      </c>
      <c r="I105" s="1" t="str">
        <f t="shared" si="58"/>
        <v/>
      </c>
      <c r="J105" s="1" t="str">
        <f t="shared" si="59"/>
        <v/>
      </c>
      <c r="K105" s="1" t="str">
        <f t="shared" si="60"/>
        <v/>
      </c>
      <c r="L105" s="1">
        <f t="shared" si="61"/>
        <v>0.5574060427413412</v>
      </c>
    </row>
    <row r="106" spans="1:12">
      <c r="A106" t="s">
        <v>32</v>
      </c>
      <c r="B106">
        <v>20</v>
      </c>
      <c r="C106" t="str">
        <f t="shared" si="55"/>
        <v>test.Base64_20_</v>
      </c>
      <c r="D106">
        <v>8</v>
      </c>
      <c r="E106">
        <v>0.55843773028739863</v>
      </c>
      <c r="F106">
        <v>1.2500099</v>
      </c>
      <c r="G106" s="1" t="str">
        <f t="shared" si="56"/>
        <v/>
      </c>
      <c r="H106" s="1" t="str">
        <f t="shared" si="57"/>
        <v/>
      </c>
      <c r="I106" s="1" t="str">
        <f t="shared" si="58"/>
        <v/>
      </c>
      <c r="J106" s="1" t="str">
        <f t="shared" si="59"/>
        <v/>
      </c>
      <c r="K106" s="1" t="str">
        <f t="shared" si="60"/>
        <v/>
      </c>
      <c r="L106" s="1">
        <f t="shared" si="61"/>
        <v>0.55843773028739863</v>
      </c>
    </row>
    <row r="107" spans="1:12">
      <c r="A107" t="s">
        <v>32</v>
      </c>
      <c r="B107">
        <v>20</v>
      </c>
      <c r="C107" t="str">
        <f t="shared" si="55"/>
        <v>test.Base64_20_</v>
      </c>
      <c r="D107">
        <v>9</v>
      </c>
      <c r="E107">
        <v>0.55843773028739863</v>
      </c>
      <c r="F107">
        <v>1.3</v>
      </c>
      <c r="G107" s="1" t="str">
        <f t="shared" si="56"/>
        <v/>
      </c>
      <c r="H107" s="1" t="str">
        <f t="shared" si="57"/>
        <v/>
      </c>
      <c r="I107" s="1" t="str">
        <f t="shared" si="58"/>
        <v/>
      </c>
      <c r="J107" s="1" t="str">
        <f t="shared" si="59"/>
        <v/>
      </c>
      <c r="K107" s="1" t="str">
        <f t="shared" si="60"/>
        <v/>
      </c>
      <c r="L107" s="1">
        <f t="shared" si="61"/>
        <v>0.55843773028739863</v>
      </c>
    </row>
    <row r="108" spans="1:12">
      <c r="A108" t="s">
        <v>32</v>
      </c>
      <c r="B108">
        <v>20</v>
      </c>
      <c r="C108" t="str">
        <f t="shared" si="55"/>
        <v>test.Base64_20_</v>
      </c>
      <c r="D108">
        <v>10</v>
      </c>
      <c r="E108">
        <v>0.61871775976418575</v>
      </c>
      <c r="F108">
        <v>1.3000050000000001</v>
      </c>
      <c r="G108" s="1" t="str">
        <f t="shared" si="56"/>
        <v/>
      </c>
      <c r="H108" s="1" t="str">
        <f t="shared" si="57"/>
        <v/>
      </c>
      <c r="I108" s="1" t="str">
        <f t="shared" si="58"/>
        <v/>
      </c>
      <c r="J108" s="1" t="str">
        <f t="shared" si="59"/>
        <v/>
      </c>
      <c r="K108" s="1" t="str">
        <f t="shared" si="60"/>
        <v/>
      </c>
      <c r="L108" s="1">
        <f t="shared" si="61"/>
        <v>0.61871775976418575</v>
      </c>
    </row>
    <row r="109" spans="1:12">
      <c r="A109" t="s">
        <v>32</v>
      </c>
      <c r="B109">
        <v>20</v>
      </c>
      <c r="C109" t="str">
        <f t="shared" si="55"/>
        <v>test.Base64_20_</v>
      </c>
      <c r="D109">
        <v>11</v>
      </c>
      <c r="E109">
        <v>0.61871775976418575</v>
      </c>
      <c r="F109">
        <v>1.3000099000000001</v>
      </c>
      <c r="G109" s="1" t="str">
        <f t="shared" si="56"/>
        <v/>
      </c>
      <c r="H109" s="1" t="str">
        <f t="shared" si="57"/>
        <v/>
      </c>
      <c r="I109" s="1" t="str">
        <f t="shared" si="58"/>
        <v/>
      </c>
      <c r="J109" s="1" t="str">
        <f t="shared" si="59"/>
        <v/>
      </c>
      <c r="K109" s="1" t="str">
        <f t="shared" si="60"/>
        <v/>
      </c>
      <c r="L109" s="1">
        <f t="shared" si="61"/>
        <v>0.61871775976418575</v>
      </c>
    </row>
    <row r="110" spans="1:12">
      <c r="A110" t="s">
        <v>32</v>
      </c>
      <c r="B110">
        <v>20</v>
      </c>
      <c r="C110" t="str">
        <f t="shared" si="55"/>
        <v>test.Base64_20_</v>
      </c>
      <c r="D110">
        <v>12</v>
      </c>
      <c r="E110">
        <v>0.61871775976418575</v>
      </c>
      <c r="F110">
        <v>1.3000149000000001</v>
      </c>
      <c r="G110" s="1" t="str">
        <f t="shared" si="56"/>
        <v/>
      </c>
      <c r="H110" s="1" t="str">
        <f t="shared" si="57"/>
        <v/>
      </c>
      <c r="I110" s="1" t="str">
        <f t="shared" si="58"/>
        <v/>
      </c>
      <c r="J110" s="1" t="str">
        <f t="shared" si="59"/>
        <v/>
      </c>
      <c r="K110" s="1" t="str">
        <f t="shared" si="60"/>
        <v/>
      </c>
      <c r="L110" s="1">
        <f t="shared" si="61"/>
        <v>0.61871775976418575</v>
      </c>
    </row>
    <row r="111" spans="1:12">
      <c r="A111" t="s">
        <v>32</v>
      </c>
      <c r="B111">
        <v>20</v>
      </c>
      <c r="C111" t="str">
        <f t="shared" si="55"/>
        <v>test.Base64_20_</v>
      </c>
      <c r="D111">
        <v>13</v>
      </c>
      <c r="E111">
        <v>0.62004421518054531</v>
      </c>
      <c r="F111">
        <v>1.35</v>
      </c>
      <c r="G111" s="1" t="str">
        <f t="shared" si="56"/>
        <v/>
      </c>
      <c r="H111" s="1" t="str">
        <f t="shared" si="57"/>
        <v/>
      </c>
      <c r="I111" s="1" t="str">
        <f t="shared" si="58"/>
        <v/>
      </c>
      <c r="J111" s="1" t="str">
        <f t="shared" si="59"/>
        <v/>
      </c>
      <c r="K111" s="1" t="str">
        <f t="shared" si="60"/>
        <v/>
      </c>
      <c r="L111" s="1">
        <f t="shared" si="61"/>
        <v>0.62004421518054531</v>
      </c>
    </row>
    <row r="112" spans="1:12">
      <c r="A112" t="s">
        <v>32</v>
      </c>
      <c r="B112">
        <v>20</v>
      </c>
      <c r="C112" t="str">
        <f t="shared" si="55"/>
        <v>test.Base64_20_</v>
      </c>
      <c r="D112">
        <v>14</v>
      </c>
      <c r="E112">
        <v>0.62004421518054531</v>
      </c>
      <c r="F112">
        <v>1.3500049999999999</v>
      </c>
      <c r="G112" s="1" t="str">
        <f t="shared" si="56"/>
        <v/>
      </c>
      <c r="H112" s="1" t="str">
        <f t="shared" si="57"/>
        <v/>
      </c>
      <c r="I112" s="1" t="str">
        <f t="shared" si="58"/>
        <v/>
      </c>
      <c r="J112" s="1" t="str">
        <f t="shared" si="59"/>
        <v/>
      </c>
      <c r="K112" s="1" t="str">
        <f t="shared" si="60"/>
        <v/>
      </c>
      <c r="L112" s="1">
        <f t="shared" si="61"/>
        <v>0.62004421518054531</v>
      </c>
    </row>
    <row r="113" spans="1:12">
      <c r="A113" t="s">
        <v>32</v>
      </c>
      <c r="B113">
        <v>20</v>
      </c>
      <c r="C113" t="str">
        <f t="shared" si="55"/>
        <v>test.Base64_20_</v>
      </c>
      <c r="D113">
        <v>15</v>
      </c>
      <c r="E113">
        <v>0.68179808400884301</v>
      </c>
      <c r="F113">
        <v>1.3500099000000001</v>
      </c>
      <c r="G113" s="1" t="str">
        <f t="shared" si="56"/>
        <v/>
      </c>
      <c r="H113" s="1" t="str">
        <f t="shared" si="57"/>
        <v/>
      </c>
      <c r="I113" s="1" t="str">
        <f t="shared" si="58"/>
        <v/>
      </c>
      <c r="J113" s="1" t="str">
        <f t="shared" si="59"/>
        <v/>
      </c>
      <c r="K113" s="1" t="str">
        <f t="shared" si="60"/>
        <v/>
      </c>
      <c r="L113" s="1">
        <f t="shared" si="61"/>
        <v>0.68179808400884301</v>
      </c>
    </row>
    <row r="114" spans="1:12">
      <c r="A114" t="s">
        <v>32</v>
      </c>
      <c r="B114">
        <v>20</v>
      </c>
      <c r="C114" t="str">
        <f t="shared" si="55"/>
        <v>test.Base64_20_</v>
      </c>
      <c r="D114">
        <v>16</v>
      </c>
      <c r="E114">
        <v>0.68282977155490054</v>
      </c>
      <c r="F114">
        <v>1.4</v>
      </c>
      <c r="G114" s="1" t="str">
        <f t="shared" si="56"/>
        <v/>
      </c>
      <c r="H114" s="1" t="str">
        <f t="shared" si="57"/>
        <v/>
      </c>
      <c r="I114" s="1" t="str">
        <f t="shared" si="58"/>
        <v/>
      </c>
      <c r="J114" s="1" t="str">
        <f t="shared" si="59"/>
        <v/>
      </c>
      <c r="K114" s="1" t="str">
        <f t="shared" si="60"/>
        <v/>
      </c>
      <c r="L114" s="1">
        <f t="shared" si="61"/>
        <v>0.68282977155490054</v>
      </c>
    </row>
    <row r="115" spans="1:12">
      <c r="A115" t="s">
        <v>32</v>
      </c>
      <c r="B115">
        <v>20</v>
      </c>
      <c r="C115" t="str">
        <f t="shared" si="55"/>
        <v>test.Base64_20_</v>
      </c>
      <c r="D115">
        <v>17</v>
      </c>
      <c r="E115">
        <v>0.81208548268238767</v>
      </c>
      <c r="F115">
        <v>1.45</v>
      </c>
      <c r="G115" s="1" t="str">
        <f t="shared" si="56"/>
        <v/>
      </c>
      <c r="H115" s="1" t="str">
        <f t="shared" si="57"/>
        <v/>
      </c>
      <c r="I115" s="1" t="str">
        <f t="shared" si="58"/>
        <v/>
      </c>
      <c r="J115" s="1" t="str">
        <f t="shared" si="59"/>
        <v/>
      </c>
      <c r="K115" s="1" t="str">
        <f t="shared" si="60"/>
        <v/>
      </c>
      <c r="L115" s="1">
        <f t="shared" si="61"/>
        <v>0.81208548268238767</v>
      </c>
    </row>
    <row r="116" spans="1:12">
      <c r="A116" t="s">
        <v>32</v>
      </c>
      <c r="B116">
        <v>20</v>
      </c>
      <c r="C116" t="str">
        <f t="shared" si="55"/>
        <v>test.Base64_20_</v>
      </c>
      <c r="D116">
        <v>18</v>
      </c>
      <c r="E116">
        <v>0.81208548268238767</v>
      </c>
      <c r="F116">
        <v>1.5</v>
      </c>
      <c r="G116" s="1" t="str">
        <f t="shared" si="56"/>
        <v/>
      </c>
      <c r="H116" s="1" t="str">
        <f t="shared" si="57"/>
        <v/>
      </c>
      <c r="I116" s="1" t="str">
        <f t="shared" si="58"/>
        <v/>
      </c>
      <c r="J116" s="1" t="str">
        <f t="shared" si="59"/>
        <v/>
      </c>
      <c r="K116" s="1" t="str">
        <f t="shared" si="60"/>
        <v/>
      </c>
      <c r="L116" s="1">
        <f t="shared" si="61"/>
        <v>0.81208548268238767</v>
      </c>
    </row>
    <row r="117" spans="1:12">
      <c r="A117" t="s">
        <v>32</v>
      </c>
      <c r="B117">
        <v>20</v>
      </c>
      <c r="C117" t="str">
        <f t="shared" si="55"/>
        <v>test.Base64_20_</v>
      </c>
      <c r="D117">
        <v>19</v>
      </c>
      <c r="E117">
        <v>0.81208548268238767</v>
      </c>
      <c r="F117">
        <v>1.500005</v>
      </c>
      <c r="G117" s="1" t="str">
        <f t="shared" si="56"/>
        <v/>
      </c>
      <c r="H117" s="1" t="str">
        <f t="shared" si="57"/>
        <v/>
      </c>
      <c r="I117" s="1" t="str">
        <f t="shared" si="58"/>
        <v/>
      </c>
      <c r="J117" s="1" t="str">
        <f t="shared" si="59"/>
        <v/>
      </c>
      <c r="K117" s="1" t="str">
        <f t="shared" si="60"/>
        <v/>
      </c>
      <c r="L117" s="1">
        <f t="shared" si="61"/>
        <v>0.81208548268238767</v>
      </c>
    </row>
    <row r="118" spans="1:12">
      <c r="A118" t="s">
        <v>32</v>
      </c>
      <c r="B118">
        <v>20</v>
      </c>
      <c r="C118" t="str">
        <f t="shared" si="55"/>
        <v>test.Base64_20_</v>
      </c>
      <c r="D118">
        <v>20</v>
      </c>
      <c r="E118">
        <v>0.81208548268238767</v>
      </c>
      <c r="F118">
        <v>1.5000099</v>
      </c>
      <c r="G118" s="1" t="str">
        <f t="shared" si="56"/>
        <v/>
      </c>
      <c r="H118" s="1" t="str">
        <f t="shared" si="57"/>
        <v/>
      </c>
      <c r="I118" s="1" t="str">
        <f t="shared" si="58"/>
        <v/>
      </c>
      <c r="J118" s="1" t="str">
        <f t="shared" si="59"/>
        <v/>
      </c>
      <c r="K118" s="1" t="str">
        <f t="shared" si="60"/>
        <v/>
      </c>
      <c r="L118" s="1">
        <f t="shared" si="61"/>
        <v>0.81208548268238767</v>
      </c>
    </row>
    <row r="119" spans="1:12">
      <c r="A119" t="s">
        <v>32</v>
      </c>
      <c r="B119">
        <v>20</v>
      </c>
      <c r="C119" t="str">
        <f t="shared" si="55"/>
        <v>test.Base64_20_</v>
      </c>
      <c r="D119">
        <v>21</v>
      </c>
      <c r="E119">
        <v>0.81252763448784082</v>
      </c>
      <c r="F119">
        <v>1.55</v>
      </c>
      <c r="G119" s="1" t="str">
        <f t="shared" si="56"/>
        <v/>
      </c>
      <c r="H119" s="1" t="str">
        <f t="shared" si="57"/>
        <v/>
      </c>
      <c r="I119" s="1" t="str">
        <f t="shared" si="58"/>
        <v/>
      </c>
      <c r="J119" s="1" t="str">
        <f t="shared" si="59"/>
        <v/>
      </c>
      <c r="K119" s="1" t="str">
        <f t="shared" si="60"/>
        <v/>
      </c>
      <c r="L119" s="1">
        <f t="shared" si="61"/>
        <v>0.81252763448784082</v>
      </c>
    </row>
    <row r="120" spans="1:12">
      <c r="A120" t="s">
        <v>32</v>
      </c>
      <c r="B120">
        <v>20</v>
      </c>
      <c r="C120" t="str">
        <f t="shared" si="55"/>
        <v>test.Base64_20_</v>
      </c>
      <c r="D120">
        <v>22</v>
      </c>
      <c r="E120">
        <v>0.81252763448784082</v>
      </c>
      <c r="F120">
        <v>1.5500050000000001</v>
      </c>
      <c r="G120" s="1" t="str">
        <f t="shared" si="56"/>
        <v/>
      </c>
      <c r="H120" s="1" t="str">
        <f t="shared" si="57"/>
        <v/>
      </c>
      <c r="I120" s="1" t="str">
        <f t="shared" si="58"/>
        <v/>
      </c>
      <c r="J120" s="1" t="str">
        <f t="shared" si="59"/>
        <v/>
      </c>
      <c r="K120" s="1" t="str">
        <f t="shared" si="60"/>
        <v/>
      </c>
      <c r="L120" s="1">
        <f t="shared" si="61"/>
        <v>0.81252763448784082</v>
      </c>
    </row>
    <row r="121" spans="1:12">
      <c r="A121" t="s">
        <v>32</v>
      </c>
      <c r="B121">
        <v>20</v>
      </c>
      <c r="C121" t="str">
        <f t="shared" si="55"/>
        <v>test.Base64_20_</v>
      </c>
      <c r="D121">
        <v>23</v>
      </c>
      <c r="E121">
        <v>0.81252763448784082</v>
      </c>
      <c r="F121">
        <v>1.5500099000000001</v>
      </c>
      <c r="G121" s="1" t="str">
        <f t="shared" si="56"/>
        <v/>
      </c>
      <c r="H121" s="1" t="str">
        <f t="shared" si="57"/>
        <v/>
      </c>
      <c r="I121" s="1" t="str">
        <f t="shared" si="58"/>
        <v/>
      </c>
      <c r="J121" s="1" t="str">
        <f t="shared" si="59"/>
        <v/>
      </c>
      <c r="K121" s="1" t="str">
        <f t="shared" si="60"/>
        <v/>
      </c>
      <c r="L121" s="1">
        <f t="shared" si="61"/>
        <v>0.81252763448784082</v>
      </c>
    </row>
    <row r="122" spans="1:12">
      <c r="A122" t="s">
        <v>32</v>
      </c>
      <c r="B122">
        <v>20</v>
      </c>
      <c r="C122" t="str">
        <f t="shared" si="55"/>
        <v>test.Base64_20_</v>
      </c>
      <c r="D122">
        <v>24</v>
      </c>
      <c r="E122">
        <v>0.81252763448784082</v>
      </c>
      <c r="F122">
        <v>1.65</v>
      </c>
      <c r="G122" s="1" t="str">
        <f t="shared" si="56"/>
        <v/>
      </c>
      <c r="H122" s="1" t="str">
        <f t="shared" si="57"/>
        <v/>
      </c>
      <c r="I122" s="1" t="str">
        <f t="shared" si="58"/>
        <v/>
      </c>
      <c r="J122" s="1" t="str">
        <f t="shared" si="59"/>
        <v/>
      </c>
      <c r="K122" s="1" t="str">
        <f t="shared" si="60"/>
        <v/>
      </c>
      <c r="L122" s="1">
        <f t="shared" si="61"/>
        <v>0.81252763448784082</v>
      </c>
    </row>
    <row r="123" spans="1:12">
      <c r="A123" t="s">
        <v>32</v>
      </c>
      <c r="B123">
        <v>20</v>
      </c>
      <c r="C123" t="str">
        <f t="shared" si="55"/>
        <v>test.Base64_20_</v>
      </c>
      <c r="D123">
        <v>25</v>
      </c>
      <c r="E123">
        <v>1</v>
      </c>
      <c r="F123">
        <v>1.6500050000000002</v>
      </c>
      <c r="G123" s="1" t="str">
        <f t="shared" si="56"/>
        <v/>
      </c>
      <c r="H123" s="1" t="str">
        <f t="shared" si="57"/>
        <v/>
      </c>
      <c r="I123" s="1" t="str">
        <f t="shared" si="58"/>
        <v/>
      </c>
      <c r="J123" s="1" t="str">
        <f t="shared" si="59"/>
        <v/>
      </c>
      <c r="K123" s="1" t="str">
        <f t="shared" si="60"/>
        <v/>
      </c>
      <c r="L123" s="1">
        <f t="shared" si="61"/>
        <v>1</v>
      </c>
    </row>
    <row r="124" spans="1:12">
      <c r="A124" t="s">
        <v>32</v>
      </c>
      <c r="B124">
        <v>20</v>
      </c>
      <c r="C124" t="str">
        <f t="shared" si="55"/>
        <v>test.Base64_20_</v>
      </c>
      <c r="D124">
        <v>26</v>
      </c>
      <c r="E124">
        <v>1</v>
      </c>
      <c r="F124">
        <v>1.65001</v>
      </c>
      <c r="G124" s="1" t="str">
        <f t="shared" si="56"/>
        <v/>
      </c>
      <c r="H124" s="1" t="str">
        <f t="shared" si="57"/>
        <v/>
      </c>
      <c r="I124" s="1" t="str">
        <f t="shared" si="58"/>
        <v/>
      </c>
      <c r="J124" s="1" t="str">
        <f t="shared" si="59"/>
        <v/>
      </c>
      <c r="K124" s="1" t="str">
        <f t="shared" si="60"/>
        <v/>
      </c>
      <c r="L124" s="1">
        <f t="shared" si="61"/>
        <v>1</v>
      </c>
    </row>
    <row r="125" spans="1:12">
      <c r="A125" t="s">
        <v>56</v>
      </c>
      <c r="B125">
        <v>10</v>
      </c>
      <c r="C125" t="str">
        <f t="shared" si="55"/>
        <v>test.Class11_10_</v>
      </c>
      <c r="D125">
        <v>27</v>
      </c>
      <c r="E125">
        <v>3.3561943674303228E-2</v>
      </c>
      <c r="F125">
        <v>0.25925925925925924</v>
      </c>
      <c r="G125" s="1" t="str">
        <f t="shared" si="56"/>
        <v/>
      </c>
      <c r="H125" s="1">
        <f t="shared" si="57"/>
        <v>3.3561943674303228E-2</v>
      </c>
      <c r="I125" s="1" t="str">
        <f t="shared" si="58"/>
        <v/>
      </c>
      <c r="J125" s="1" t="str">
        <f t="shared" si="59"/>
        <v/>
      </c>
      <c r="K125" s="1" t="str">
        <f t="shared" si="60"/>
        <v/>
      </c>
      <c r="L125" s="1" t="str">
        <f t="shared" si="61"/>
        <v/>
      </c>
    </row>
    <row r="126" spans="1:12">
      <c r="A126" t="s">
        <v>56</v>
      </c>
      <c r="B126">
        <v>10</v>
      </c>
      <c r="C126" t="str">
        <f t="shared" si="55"/>
        <v>test.Class11_10_</v>
      </c>
      <c r="D126">
        <v>28</v>
      </c>
      <c r="E126">
        <v>5.3115423901940753E-2</v>
      </c>
      <c r="F126">
        <v>0.25926111111111111</v>
      </c>
      <c r="G126" s="1" t="str">
        <f t="shared" si="56"/>
        <v/>
      </c>
      <c r="H126" s="1">
        <f t="shared" si="57"/>
        <v>5.3115423901940753E-2</v>
      </c>
      <c r="I126" s="1" t="str">
        <f t="shared" si="58"/>
        <v/>
      </c>
      <c r="J126" s="1" t="str">
        <f t="shared" si="59"/>
        <v/>
      </c>
      <c r="K126" s="1" t="str">
        <f t="shared" si="60"/>
        <v/>
      </c>
      <c r="L126" s="1" t="str">
        <f t="shared" si="61"/>
        <v/>
      </c>
    </row>
    <row r="127" spans="1:12">
      <c r="A127" t="s">
        <v>56</v>
      </c>
      <c r="B127">
        <v>10</v>
      </c>
      <c r="C127" t="str">
        <f t="shared" si="55"/>
        <v>test.Class11_10_</v>
      </c>
      <c r="D127">
        <v>1</v>
      </c>
      <c r="E127">
        <v>6.5883554647599596E-2</v>
      </c>
      <c r="F127">
        <v>0.27777777777777779</v>
      </c>
      <c r="G127" s="1" t="str">
        <f t="shared" si="56"/>
        <v/>
      </c>
      <c r="H127" s="1">
        <f t="shared" si="57"/>
        <v>6.5883554647599596E-2</v>
      </c>
      <c r="I127" s="1" t="str">
        <f t="shared" si="58"/>
        <v/>
      </c>
      <c r="J127" s="1" t="str">
        <f t="shared" si="59"/>
        <v/>
      </c>
      <c r="K127" s="1" t="str">
        <f t="shared" si="60"/>
        <v/>
      </c>
      <c r="L127" s="1" t="str">
        <f t="shared" si="61"/>
        <v/>
      </c>
    </row>
    <row r="128" spans="1:12">
      <c r="A128" t="s">
        <v>56</v>
      </c>
      <c r="B128">
        <v>10</v>
      </c>
      <c r="C128" t="str">
        <f t="shared" si="55"/>
        <v>test.Class11_10_</v>
      </c>
      <c r="D128">
        <v>2</v>
      </c>
      <c r="E128">
        <v>7.8651685393258425E-2</v>
      </c>
      <c r="F128">
        <v>0.2777796296296296</v>
      </c>
      <c r="G128" s="1" t="str">
        <f t="shared" si="56"/>
        <v/>
      </c>
      <c r="H128" s="1">
        <f t="shared" si="57"/>
        <v>7.8651685393258425E-2</v>
      </c>
      <c r="I128" s="1" t="str">
        <f t="shared" si="58"/>
        <v/>
      </c>
      <c r="J128" s="1" t="str">
        <f t="shared" si="59"/>
        <v/>
      </c>
      <c r="K128" s="1" t="str">
        <f t="shared" si="60"/>
        <v/>
      </c>
      <c r="L128" s="1" t="str">
        <f t="shared" si="61"/>
        <v/>
      </c>
    </row>
    <row r="129" spans="1:12">
      <c r="A129" t="s">
        <v>56</v>
      </c>
      <c r="B129">
        <v>10</v>
      </c>
      <c r="C129" t="str">
        <f t="shared" si="55"/>
        <v>test.Class11_10_</v>
      </c>
      <c r="D129">
        <v>3</v>
      </c>
      <c r="E129">
        <v>0.15599007733839196</v>
      </c>
      <c r="F129">
        <v>0.31481481481481483</v>
      </c>
      <c r="G129" s="1" t="str">
        <f t="shared" si="56"/>
        <v/>
      </c>
      <c r="H129" s="1">
        <f t="shared" si="57"/>
        <v>0.15599007733839196</v>
      </c>
      <c r="I129" s="1" t="str">
        <f t="shared" si="58"/>
        <v/>
      </c>
      <c r="J129" s="1" t="str">
        <f t="shared" si="59"/>
        <v/>
      </c>
      <c r="K129" s="1" t="str">
        <f t="shared" si="60"/>
        <v/>
      </c>
      <c r="L129" s="1" t="str">
        <f t="shared" si="61"/>
        <v/>
      </c>
    </row>
    <row r="130" spans="1:12">
      <c r="A130" t="s">
        <v>56</v>
      </c>
      <c r="B130">
        <v>10</v>
      </c>
      <c r="C130" t="str">
        <f t="shared" si="55"/>
        <v>test.Class11_10_</v>
      </c>
      <c r="D130">
        <v>4</v>
      </c>
      <c r="E130">
        <v>0.15599007733839196</v>
      </c>
      <c r="F130">
        <v>0.31481666666666669</v>
      </c>
      <c r="G130" s="1" t="str">
        <f t="shared" si="56"/>
        <v/>
      </c>
      <c r="H130" s="1">
        <f t="shared" si="57"/>
        <v>0.15599007733839196</v>
      </c>
      <c r="I130" s="1" t="str">
        <f t="shared" si="58"/>
        <v/>
      </c>
      <c r="J130" s="1" t="str">
        <f t="shared" si="59"/>
        <v/>
      </c>
      <c r="K130" s="1" t="str">
        <f t="shared" si="60"/>
        <v/>
      </c>
      <c r="L130" s="1" t="str">
        <f t="shared" si="61"/>
        <v/>
      </c>
    </row>
    <row r="131" spans="1:12">
      <c r="A131" t="s">
        <v>56</v>
      </c>
      <c r="B131">
        <v>10</v>
      </c>
      <c r="C131" t="str">
        <f t="shared" ref="C131:C194" si="62">CONCATENATE(A131, "_",B131,"_")</f>
        <v>test.Class11_10_</v>
      </c>
      <c r="D131">
        <v>5</v>
      </c>
      <c r="E131">
        <v>0.16430760250984969</v>
      </c>
      <c r="F131">
        <v>0.33333333333333331</v>
      </c>
      <c r="G131" s="1" t="str">
        <f t="shared" ref="G131:G194" si="63">IF($F131 &lt;= 0.2,$E131,"")</f>
        <v/>
      </c>
      <c r="H131" s="1">
        <f t="shared" ref="H131:H194" si="64">IF(AND($F131 &gt; 0.2,$F131 &lt;= 0.4),$E131,"")</f>
        <v>0.16430760250984969</v>
      </c>
      <c r="I131" s="1" t="str">
        <f t="shared" ref="I131:I194" si="65">IF(AND($F131 &gt; 0.4,$F131 &lt;= 0.6),$E131,"")</f>
        <v/>
      </c>
      <c r="J131" s="1" t="str">
        <f t="shared" ref="J131:J194" si="66">IF(AND($F131 &gt; 0.6,$F131 &lt;= 0.8),$E131,"")</f>
        <v/>
      </c>
      <c r="K131" s="1" t="str">
        <f t="shared" ref="K131:K194" si="67">IF(AND($F131 &gt; 0.8, $F131 &lt;=1.1),$E131,"")</f>
        <v/>
      </c>
      <c r="L131" s="1" t="str">
        <f t="shared" ref="L131:L194" si="68">IF(AND($F131 &gt; 1.1),$E131,"")</f>
        <v/>
      </c>
    </row>
    <row r="132" spans="1:12">
      <c r="A132" t="s">
        <v>56</v>
      </c>
      <c r="B132">
        <v>10</v>
      </c>
      <c r="C132" t="str">
        <f t="shared" si="62"/>
        <v>test.Class11_10_</v>
      </c>
      <c r="D132">
        <v>6</v>
      </c>
      <c r="E132">
        <v>0.16985261929082154</v>
      </c>
      <c r="F132">
        <v>0.33333518518518518</v>
      </c>
      <c r="G132" s="1" t="str">
        <f t="shared" si="63"/>
        <v/>
      </c>
      <c r="H132" s="1">
        <f t="shared" si="64"/>
        <v>0.16985261929082154</v>
      </c>
      <c r="I132" s="1" t="str">
        <f t="shared" si="65"/>
        <v/>
      </c>
      <c r="J132" s="1" t="str">
        <f t="shared" si="66"/>
        <v/>
      </c>
      <c r="K132" s="1" t="str">
        <f t="shared" si="67"/>
        <v/>
      </c>
      <c r="L132" s="1" t="str">
        <f t="shared" si="68"/>
        <v/>
      </c>
    </row>
    <row r="133" spans="1:12">
      <c r="A133" t="s">
        <v>56</v>
      </c>
      <c r="B133">
        <v>10</v>
      </c>
      <c r="C133" t="str">
        <f t="shared" si="62"/>
        <v>test.Class11_10_</v>
      </c>
      <c r="D133">
        <v>7</v>
      </c>
      <c r="E133">
        <v>0.17262512768130744</v>
      </c>
      <c r="F133">
        <v>0.33333699999999999</v>
      </c>
      <c r="G133" s="1" t="str">
        <f t="shared" si="63"/>
        <v/>
      </c>
      <c r="H133" s="1">
        <f t="shared" si="64"/>
        <v>0.17262512768130744</v>
      </c>
      <c r="I133" s="1" t="str">
        <f t="shared" si="65"/>
        <v/>
      </c>
      <c r="J133" s="1" t="str">
        <f t="shared" si="66"/>
        <v/>
      </c>
      <c r="K133" s="1" t="str">
        <f t="shared" si="67"/>
        <v/>
      </c>
      <c r="L133" s="1" t="str">
        <f t="shared" si="68"/>
        <v/>
      </c>
    </row>
    <row r="134" spans="1:12">
      <c r="A134" t="s">
        <v>56</v>
      </c>
      <c r="B134">
        <v>10</v>
      </c>
      <c r="C134" t="str">
        <f t="shared" si="62"/>
        <v>test.Class11_10_</v>
      </c>
      <c r="D134">
        <v>8</v>
      </c>
      <c r="E134">
        <v>0.1809426528527652</v>
      </c>
      <c r="F134">
        <v>0.33333885185185186</v>
      </c>
      <c r="G134" s="1" t="str">
        <f t="shared" si="63"/>
        <v/>
      </c>
      <c r="H134" s="1">
        <f t="shared" si="64"/>
        <v>0.1809426528527652</v>
      </c>
      <c r="I134" s="1" t="str">
        <f t="shared" si="65"/>
        <v/>
      </c>
      <c r="J134" s="1" t="str">
        <f t="shared" si="66"/>
        <v/>
      </c>
      <c r="K134" s="1" t="str">
        <f t="shared" si="67"/>
        <v/>
      </c>
      <c r="L134" s="1" t="str">
        <f t="shared" si="68"/>
        <v/>
      </c>
    </row>
    <row r="135" spans="1:12">
      <c r="A135" t="s">
        <v>56</v>
      </c>
      <c r="B135">
        <v>10</v>
      </c>
      <c r="C135" t="str">
        <f t="shared" si="62"/>
        <v>test.Class11_10_</v>
      </c>
      <c r="D135">
        <v>9</v>
      </c>
      <c r="E135">
        <v>0.1809426528527652</v>
      </c>
      <c r="F135">
        <v>0.33334068518518517</v>
      </c>
      <c r="G135" s="1" t="str">
        <f t="shared" si="63"/>
        <v/>
      </c>
      <c r="H135" s="1">
        <f t="shared" si="64"/>
        <v>0.1809426528527652</v>
      </c>
      <c r="I135" s="1" t="str">
        <f t="shared" si="65"/>
        <v/>
      </c>
      <c r="J135" s="1" t="str">
        <f t="shared" si="66"/>
        <v/>
      </c>
      <c r="K135" s="1" t="str">
        <f t="shared" si="67"/>
        <v/>
      </c>
      <c r="L135" s="1" t="str">
        <f t="shared" si="68"/>
        <v/>
      </c>
    </row>
    <row r="136" spans="1:12">
      <c r="A136" t="s">
        <v>56</v>
      </c>
      <c r="B136">
        <v>10</v>
      </c>
      <c r="C136" t="str">
        <f t="shared" si="62"/>
        <v>test.Class11_10_</v>
      </c>
      <c r="D136">
        <v>10</v>
      </c>
      <c r="E136">
        <v>0.1809426528527652</v>
      </c>
      <c r="F136">
        <v>0.35185185185185186</v>
      </c>
      <c r="G136" s="1" t="str">
        <f t="shared" si="63"/>
        <v/>
      </c>
      <c r="H136" s="1">
        <f t="shared" si="64"/>
        <v>0.1809426528527652</v>
      </c>
      <c r="I136" s="1" t="str">
        <f t="shared" si="65"/>
        <v/>
      </c>
      <c r="J136" s="1" t="str">
        <f t="shared" si="66"/>
        <v/>
      </c>
      <c r="K136" s="1" t="str">
        <f t="shared" si="67"/>
        <v/>
      </c>
      <c r="L136" s="1" t="str">
        <f t="shared" si="68"/>
        <v/>
      </c>
    </row>
    <row r="137" spans="1:12">
      <c r="A137" t="s">
        <v>56</v>
      </c>
      <c r="B137">
        <v>10</v>
      </c>
      <c r="C137" t="str">
        <f t="shared" si="62"/>
        <v>test.Class11_10_</v>
      </c>
      <c r="D137">
        <v>11</v>
      </c>
      <c r="E137">
        <v>0.18634174813950094</v>
      </c>
      <c r="F137">
        <v>0.35185370370370372</v>
      </c>
      <c r="G137" s="1" t="str">
        <f t="shared" si="63"/>
        <v/>
      </c>
      <c r="H137" s="1">
        <f t="shared" si="64"/>
        <v>0.18634174813950094</v>
      </c>
      <c r="I137" s="1" t="str">
        <f t="shared" si="65"/>
        <v/>
      </c>
      <c r="J137" s="1" t="str">
        <f t="shared" si="66"/>
        <v/>
      </c>
      <c r="K137" s="1" t="str">
        <f t="shared" si="67"/>
        <v/>
      </c>
      <c r="L137" s="1" t="str">
        <f t="shared" si="68"/>
        <v/>
      </c>
    </row>
    <row r="138" spans="1:12">
      <c r="A138" t="s">
        <v>56</v>
      </c>
      <c r="B138">
        <v>10</v>
      </c>
      <c r="C138" t="str">
        <f t="shared" si="62"/>
        <v>test.Class11_10_</v>
      </c>
      <c r="D138">
        <v>12</v>
      </c>
      <c r="E138">
        <v>0.19743178170144463</v>
      </c>
      <c r="F138">
        <v>0.35185551851851854</v>
      </c>
      <c r="G138" s="1" t="str">
        <f t="shared" si="63"/>
        <v/>
      </c>
      <c r="H138" s="1">
        <f t="shared" si="64"/>
        <v>0.19743178170144463</v>
      </c>
      <c r="I138" s="1" t="str">
        <f t="shared" si="65"/>
        <v/>
      </c>
      <c r="J138" s="1" t="str">
        <f t="shared" si="66"/>
        <v/>
      </c>
      <c r="K138" s="1" t="str">
        <f t="shared" si="67"/>
        <v/>
      </c>
      <c r="L138" s="1" t="str">
        <f t="shared" si="68"/>
        <v/>
      </c>
    </row>
    <row r="139" spans="1:12">
      <c r="A139" t="s">
        <v>56</v>
      </c>
      <c r="B139">
        <v>10</v>
      </c>
      <c r="C139" t="str">
        <f t="shared" si="62"/>
        <v>test.Class11_10_</v>
      </c>
      <c r="D139">
        <v>13</v>
      </c>
      <c r="E139">
        <v>0.20852181526338831</v>
      </c>
      <c r="F139">
        <v>0.3518573703703704</v>
      </c>
      <c r="G139" s="1" t="str">
        <f t="shared" si="63"/>
        <v/>
      </c>
      <c r="H139" s="1">
        <f t="shared" si="64"/>
        <v>0.20852181526338831</v>
      </c>
      <c r="I139" s="1" t="str">
        <f t="shared" si="65"/>
        <v/>
      </c>
      <c r="J139" s="1" t="str">
        <f t="shared" si="66"/>
        <v/>
      </c>
      <c r="K139" s="1" t="str">
        <f t="shared" si="67"/>
        <v/>
      </c>
      <c r="L139" s="1" t="str">
        <f t="shared" si="68"/>
        <v/>
      </c>
    </row>
    <row r="140" spans="1:12">
      <c r="A140" t="s">
        <v>56</v>
      </c>
      <c r="B140">
        <v>10</v>
      </c>
      <c r="C140" t="str">
        <f t="shared" si="62"/>
        <v>test.Class11_10_</v>
      </c>
      <c r="D140">
        <v>14</v>
      </c>
      <c r="E140">
        <v>0.24288632715599007</v>
      </c>
      <c r="F140">
        <v>0.37037037037037035</v>
      </c>
      <c r="G140" s="1" t="str">
        <f t="shared" si="63"/>
        <v/>
      </c>
      <c r="H140" s="1">
        <f t="shared" si="64"/>
        <v>0.24288632715599007</v>
      </c>
      <c r="I140" s="1" t="str">
        <f t="shared" si="65"/>
        <v/>
      </c>
      <c r="J140" s="1" t="str">
        <f t="shared" si="66"/>
        <v/>
      </c>
      <c r="K140" s="1" t="str">
        <f t="shared" si="67"/>
        <v/>
      </c>
      <c r="L140" s="1" t="str">
        <f t="shared" si="68"/>
        <v/>
      </c>
    </row>
    <row r="141" spans="1:12">
      <c r="A141" t="s">
        <v>56</v>
      </c>
      <c r="B141">
        <v>10</v>
      </c>
      <c r="C141" t="str">
        <f t="shared" si="62"/>
        <v>test.Class11_10_</v>
      </c>
      <c r="D141">
        <v>15</v>
      </c>
      <c r="E141">
        <v>0.24551291405223991</v>
      </c>
      <c r="F141">
        <v>0.37037222222222221</v>
      </c>
      <c r="G141" s="1" t="str">
        <f t="shared" si="63"/>
        <v/>
      </c>
      <c r="H141" s="1">
        <f t="shared" si="64"/>
        <v>0.24551291405223991</v>
      </c>
      <c r="I141" s="1" t="str">
        <f t="shared" si="65"/>
        <v/>
      </c>
      <c r="J141" s="1" t="str">
        <f t="shared" si="66"/>
        <v/>
      </c>
      <c r="K141" s="1" t="str">
        <f t="shared" si="67"/>
        <v/>
      </c>
      <c r="L141" s="1" t="str">
        <f t="shared" si="68"/>
        <v/>
      </c>
    </row>
    <row r="142" spans="1:12">
      <c r="A142" t="s">
        <v>56</v>
      </c>
      <c r="B142">
        <v>10</v>
      </c>
      <c r="C142" t="str">
        <f t="shared" si="62"/>
        <v>test.Class11_10_</v>
      </c>
      <c r="D142">
        <v>16</v>
      </c>
      <c r="E142">
        <v>0.24551291405223991</v>
      </c>
      <c r="F142">
        <v>0.37037403703703703</v>
      </c>
      <c r="G142" s="1" t="str">
        <f t="shared" si="63"/>
        <v/>
      </c>
      <c r="H142" s="1">
        <f t="shared" si="64"/>
        <v>0.24551291405223991</v>
      </c>
      <c r="I142" s="1" t="str">
        <f t="shared" si="65"/>
        <v/>
      </c>
      <c r="J142" s="1" t="str">
        <f t="shared" si="66"/>
        <v/>
      </c>
      <c r="K142" s="1" t="str">
        <f t="shared" si="67"/>
        <v/>
      </c>
      <c r="L142" s="1" t="str">
        <f t="shared" si="68"/>
        <v/>
      </c>
    </row>
    <row r="143" spans="1:12">
      <c r="A143" t="s">
        <v>56</v>
      </c>
      <c r="B143">
        <v>10</v>
      </c>
      <c r="C143" t="str">
        <f t="shared" si="62"/>
        <v>test.Class11_10_</v>
      </c>
      <c r="D143">
        <v>17</v>
      </c>
      <c r="E143">
        <v>0.26798482416459946</v>
      </c>
      <c r="F143">
        <v>0.37037588888888889</v>
      </c>
      <c r="G143" s="1" t="str">
        <f t="shared" si="63"/>
        <v/>
      </c>
      <c r="H143" s="1">
        <f t="shared" si="64"/>
        <v>0.26798482416459946</v>
      </c>
      <c r="I143" s="1" t="str">
        <f t="shared" si="65"/>
        <v/>
      </c>
      <c r="J143" s="1" t="str">
        <f t="shared" si="66"/>
        <v/>
      </c>
      <c r="K143" s="1" t="str">
        <f t="shared" si="67"/>
        <v/>
      </c>
      <c r="L143" s="1" t="str">
        <f t="shared" si="68"/>
        <v/>
      </c>
    </row>
    <row r="144" spans="1:12">
      <c r="A144" t="s">
        <v>56</v>
      </c>
      <c r="B144">
        <v>10</v>
      </c>
      <c r="C144" t="str">
        <f t="shared" si="62"/>
        <v>test.Class11_10_</v>
      </c>
      <c r="D144">
        <v>18</v>
      </c>
      <c r="E144">
        <v>0.27557274186487668</v>
      </c>
      <c r="F144">
        <v>0.37037772222222221</v>
      </c>
      <c r="G144" s="1" t="str">
        <f t="shared" si="63"/>
        <v/>
      </c>
      <c r="H144" s="1">
        <f t="shared" si="64"/>
        <v>0.27557274186487668</v>
      </c>
      <c r="I144" s="1" t="str">
        <f t="shared" si="65"/>
        <v/>
      </c>
      <c r="J144" s="1" t="str">
        <f t="shared" si="66"/>
        <v/>
      </c>
      <c r="K144" s="1" t="str">
        <f t="shared" si="67"/>
        <v/>
      </c>
      <c r="L144" s="1" t="str">
        <f t="shared" si="68"/>
        <v/>
      </c>
    </row>
    <row r="145" spans="1:12">
      <c r="A145" t="s">
        <v>56</v>
      </c>
      <c r="B145">
        <v>10</v>
      </c>
      <c r="C145" t="str">
        <f t="shared" si="62"/>
        <v>test.Class11_10_</v>
      </c>
      <c r="D145">
        <v>19</v>
      </c>
      <c r="E145">
        <v>0.30380855099956222</v>
      </c>
      <c r="F145">
        <v>0.37037955555555552</v>
      </c>
      <c r="G145" s="1" t="str">
        <f t="shared" si="63"/>
        <v/>
      </c>
      <c r="H145" s="1">
        <f t="shared" si="64"/>
        <v>0.30380855099956222</v>
      </c>
      <c r="I145" s="1" t="str">
        <f t="shared" si="65"/>
        <v/>
      </c>
      <c r="J145" s="1" t="str">
        <f t="shared" si="66"/>
        <v/>
      </c>
      <c r="K145" s="1" t="str">
        <f t="shared" si="67"/>
        <v/>
      </c>
      <c r="L145" s="1" t="str">
        <f t="shared" si="68"/>
        <v/>
      </c>
    </row>
    <row r="146" spans="1:12">
      <c r="A146" t="s">
        <v>56</v>
      </c>
      <c r="B146">
        <v>10</v>
      </c>
      <c r="C146" t="str">
        <f t="shared" si="62"/>
        <v>test.Class11_10_</v>
      </c>
      <c r="D146">
        <v>20</v>
      </c>
      <c r="E146">
        <v>0.30380855099956222</v>
      </c>
      <c r="F146">
        <v>0.37038138888888889</v>
      </c>
      <c r="G146" s="1" t="str">
        <f t="shared" si="63"/>
        <v/>
      </c>
      <c r="H146" s="1">
        <f t="shared" si="64"/>
        <v>0.30380855099956222</v>
      </c>
      <c r="I146" s="1" t="str">
        <f t="shared" si="65"/>
        <v/>
      </c>
      <c r="J146" s="1" t="str">
        <f t="shared" si="66"/>
        <v/>
      </c>
      <c r="K146" s="1" t="str">
        <f t="shared" si="67"/>
        <v/>
      </c>
      <c r="L146" s="1" t="str">
        <f t="shared" si="68"/>
        <v/>
      </c>
    </row>
    <row r="147" spans="1:12">
      <c r="A147" t="s">
        <v>56</v>
      </c>
      <c r="B147">
        <v>10</v>
      </c>
      <c r="C147" t="str">
        <f t="shared" si="62"/>
        <v>test.Class11_10_</v>
      </c>
      <c r="D147">
        <v>21</v>
      </c>
      <c r="E147">
        <v>0.33386837881219905</v>
      </c>
      <c r="F147">
        <v>0.3888888888888889</v>
      </c>
      <c r="G147" s="1" t="str">
        <f t="shared" si="63"/>
        <v/>
      </c>
      <c r="H147" s="1">
        <f t="shared" si="64"/>
        <v>0.33386837881219905</v>
      </c>
      <c r="I147" s="1" t="str">
        <f t="shared" si="65"/>
        <v/>
      </c>
      <c r="J147" s="1" t="str">
        <f t="shared" si="66"/>
        <v/>
      </c>
      <c r="K147" s="1" t="str">
        <f t="shared" si="67"/>
        <v/>
      </c>
      <c r="L147" s="1" t="str">
        <f t="shared" si="68"/>
        <v/>
      </c>
    </row>
    <row r="148" spans="1:12">
      <c r="A148" t="s">
        <v>56</v>
      </c>
      <c r="B148">
        <v>10</v>
      </c>
      <c r="C148" t="str">
        <f t="shared" si="62"/>
        <v>test.Class11_10_</v>
      </c>
      <c r="D148">
        <v>22</v>
      </c>
      <c r="E148">
        <v>0.33386837881219905</v>
      </c>
      <c r="F148">
        <v>0.38889074074074076</v>
      </c>
      <c r="G148" s="1" t="str">
        <f t="shared" si="63"/>
        <v/>
      </c>
      <c r="H148" s="1">
        <f t="shared" si="64"/>
        <v>0.33386837881219905</v>
      </c>
      <c r="I148" s="1" t="str">
        <f t="shared" si="65"/>
        <v/>
      </c>
      <c r="J148" s="1" t="str">
        <f t="shared" si="66"/>
        <v/>
      </c>
      <c r="K148" s="1" t="str">
        <f t="shared" si="67"/>
        <v/>
      </c>
      <c r="L148" s="1" t="str">
        <f t="shared" si="68"/>
        <v/>
      </c>
    </row>
    <row r="149" spans="1:12">
      <c r="A149" t="s">
        <v>56</v>
      </c>
      <c r="B149">
        <v>10</v>
      </c>
      <c r="C149" t="str">
        <f t="shared" si="62"/>
        <v>test.Class11_10_</v>
      </c>
      <c r="D149">
        <v>23</v>
      </c>
      <c r="E149">
        <v>0.33386837881219905</v>
      </c>
      <c r="F149">
        <v>0.40740740740740738</v>
      </c>
      <c r="G149" s="1" t="str">
        <f t="shared" si="63"/>
        <v/>
      </c>
      <c r="H149" s="1" t="str">
        <f t="shared" si="64"/>
        <v/>
      </c>
      <c r="I149" s="1">
        <f t="shared" si="65"/>
        <v>0.33386837881219905</v>
      </c>
      <c r="J149" s="1" t="str">
        <f t="shared" si="66"/>
        <v/>
      </c>
      <c r="K149" s="1" t="str">
        <f t="shared" si="67"/>
        <v/>
      </c>
      <c r="L149" s="1" t="str">
        <f t="shared" si="68"/>
        <v/>
      </c>
    </row>
    <row r="150" spans="1:12">
      <c r="A150" t="s">
        <v>56</v>
      </c>
      <c r="B150">
        <v>10</v>
      </c>
      <c r="C150" t="str">
        <f t="shared" si="62"/>
        <v>test.Class11_10_</v>
      </c>
      <c r="D150">
        <v>24</v>
      </c>
      <c r="E150">
        <v>0.35962352254487084</v>
      </c>
      <c r="F150">
        <v>0.40740925925925925</v>
      </c>
      <c r="G150" s="1" t="str">
        <f t="shared" si="63"/>
        <v/>
      </c>
      <c r="H150" s="1" t="str">
        <f t="shared" si="64"/>
        <v/>
      </c>
      <c r="I150" s="1">
        <f t="shared" si="65"/>
        <v>0.35962352254487084</v>
      </c>
      <c r="J150" s="1" t="str">
        <f t="shared" si="66"/>
        <v/>
      </c>
      <c r="K150" s="1" t="str">
        <f t="shared" si="67"/>
        <v/>
      </c>
      <c r="L150" s="1" t="str">
        <f t="shared" si="68"/>
        <v/>
      </c>
    </row>
    <row r="151" spans="1:12">
      <c r="A151" t="s">
        <v>56</v>
      </c>
      <c r="B151">
        <v>10</v>
      </c>
      <c r="C151" t="str">
        <f t="shared" si="62"/>
        <v>test.Class11_10_</v>
      </c>
      <c r="D151">
        <v>25</v>
      </c>
      <c r="E151">
        <v>0.38537866627754269</v>
      </c>
      <c r="F151">
        <v>0.40741107407407412</v>
      </c>
      <c r="G151" s="1" t="str">
        <f t="shared" si="63"/>
        <v/>
      </c>
      <c r="H151" s="1" t="str">
        <f t="shared" si="64"/>
        <v/>
      </c>
      <c r="I151" s="1">
        <f t="shared" si="65"/>
        <v>0.38537866627754269</v>
      </c>
      <c r="J151" s="1" t="str">
        <f t="shared" si="66"/>
        <v/>
      </c>
      <c r="K151" s="1" t="str">
        <f t="shared" si="67"/>
        <v/>
      </c>
      <c r="L151" s="1" t="str">
        <f t="shared" si="68"/>
        <v/>
      </c>
    </row>
    <row r="152" spans="1:12">
      <c r="A152" t="s">
        <v>56</v>
      </c>
      <c r="B152">
        <v>10</v>
      </c>
      <c r="C152" t="str">
        <f t="shared" si="62"/>
        <v>test.Class11_10_</v>
      </c>
      <c r="D152">
        <v>26</v>
      </c>
      <c r="E152">
        <v>0.38785933167955639</v>
      </c>
      <c r="F152">
        <v>0.42592592592592593</v>
      </c>
      <c r="G152" s="1" t="str">
        <f t="shared" si="63"/>
        <v/>
      </c>
      <c r="H152" s="1" t="str">
        <f t="shared" si="64"/>
        <v/>
      </c>
      <c r="I152" s="1">
        <f t="shared" si="65"/>
        <v>0.38785933167955639</v>
      </c>
      <c r="J152" s="1" t="str">
        <f t="shared" si="66"/>
        <v/>
      </c>
      <c r="K152" s="1" t="str">
        <f t="shared" si="67"/>
        <v/>
      </c>
      <c r="L152" s="1" t="str">
        <f t="shared" si="68"/>
        <v/>
      </c>
    </row>
    <row r="153" spans="1:12">
      <c r="A153" t="s">
        <v>56</v>
      </c>
      <c r="B153">
        <v>10</v>
      </c>
      <c r="C153" t="str">
        <f t="shared" si="62"/>
        <v>test.Class11_10_</v>
      </c>
      <c r="D153">
        <v>27</v>
      </c>
      <c r="E153">
        <v>0.54056617539763607</v>
      </c>
      <c r="F153">
        <v>0.72222222222222221</v>
      </c>
      <c r="G153" s="1" t="str">
        <f t="shared" si="63"/>
        <v/>
      </c>
      <c r="H153" s="1" t="str">
        <f t="shared" si="64"/>
        <v/>
      </c>
      <c r="I153" s="1" t="str">
        <f t="shared" si="65"/>
        <v/>
      </c>
      <c r="J153" s="1">
        <f t="shared" si="66"/>
        <v>0.54056617539763607</v>
      </c>
      <c r="K153" s="1" t="str">
        <f t="shared" si="67"/>
        <v/>
      </c>
      <c r="L153" s="1" t="str">
        <f t="shared" si="68"/>
        <v/>
      </c>
    </row>
    <row r="154" spans="1:12">
      <c r="A154" t="s">
        <v>56</v>
      </c>
      <c r="B154">
        <v>10</v>
      </c>
      <c r="C154" t="str">
        <f t="shared" si="62"/>
        <v>test.Class11_10_</v>
      </c>
      <c r="D154">
        <v>28</v>
      </c>
      <c r="E154">
        <v>0.69334597986283375</v>
      </c>
      <c r="F154">
        <v>0.81481481481481477</v>
      </c>
      <c r="G154" s="1" t="str">
        <f t="shared" si="63"/>
        <v/>
      </c>
      <c r="H154" s="1" t="str">
        <f t="shared" si="64"/>
        <v/>
      </c>
      <c r="I154" s="1" t="str">
        <f t="shared" si="65"/>
        <v/>
      </c>
      <c r="J154" s="1" t="str">
        <f t="shared" si="66"/>
        <v/>
      </c>
      <c r="K154" s="1">
        <f t="shared" si="67"/>
        <v>0.69334597986283375</v>
      </c>
      <c r="L154" s="1" t="str">
        <f t="shared" si="68"/>
        <v/>
      </c>
    </row>
    <row r="155" spans="1:12">
      <c r="A155" t="s">
        <v>56</v>
      </c>
      <c r="B155">
        <v>10</v>
      </c>
      <c r="C155" t="str">
        <f t="shared" si="62"/>
        <v>test.Class11_10_</v>
      </c>
      <c r="D155">
        <v>29</v>
      </c>
      <c r="E155">
        <v>0.99883262804611117</v>
      </c>
      <c r="F155">
        <v>0.85185185185185186</v>
      </c>
      <c r="G155" s="1" t="str">
        <f t="shared" si="63"/>
        <v/>
      </c>
      <c r="H155" s="1" t="str">
        <f t="shared" si="64"/>
        <v/>
      </c>
      <c r="I155" s="1" t="str">
        <f t="shared" si="65"/>
        <v/>
      </c>
      <c r="J155" s="1" t="str">
        <f t="shared" si="66"/>
        <v/>
      </c>
      <c r="K155" s="1">
        <f t="shared" si="67"/>
        <v>0.99883262804611117</v>
      </c>
      <c r="L155" s="1" t="str">
        <f t="shared" si="68"/>
        <v/>
      </c>
    </row>
    <row r="156" spans="1:12">
      <c r="A156" t="s">
        <v>56</v>
      </c>
      <c r="B156">
        <v>10</v>
      </c>
      <c r="C156" t="str">
        <f t="shared" si="62"/>
        <v>test.Class11_10_</v>
      </c>
      <c r="D156">
        <v>30</v>
      </c>
      <c r="E156">
        <v>1</v>
      </c>
      <c r="F156">
        <v>1.462962962962963</v>
      </c>
      <c r="G156" s="1" t="str">
        <f t="shared" si="63"/>
        <v/>
      </c>
      <c r="H156" s="1" t="str">
        <f t="shared" si="64"/>
        <v/>
      </c>
      <c r="I156" s="1" t="str">
        <f t="shared" si="65"/>
        <v/>
      </c>
      <c r="J156" s="1" t="str">
        <f t="shared" si="66"/>
        <v/>
      </c>
      <c r="K156" s="1" t="str">
        <f t="shared" si="67"/>
        <v/>
      </c>
      <c r="L156" s="1">
        <f t="shared" si="68"/>
        <v>1</v>
      </c>
    </row>
    <row r="157" spans="1:12">
      <c r="A157" t="s">
        <v>56</v>
      </c>
      <c r="B157">
        <v>11</v>
      </c>
      <c r="C157" t="str">
        <f t="shared" si="62"/>
        <v>test.Class11_11_</v>
      </c>
      <c r="D157">
        <v>31</v>
      </c>
      <c r="E157">
        <v>1.3948256467941508E-2</v>
      </c>
      <c r="F157">
        <v>0.53333333333333333</v>
      </c>
      <c r="G157" s="1" t="str">
        <f t="shared" si="63"/>
        <v/>
      </c>
      <c r="H157" s="1" t="str">
        <f t="shared" si="64"/>
        <v/>
      </c>
      <c r="I157" s="1">
        <f t="shared" si="65"/>
        <v>1.3948256467941508E-2</v>
      </c>
      <c r="J157" s="1" t="str">
        <f t="shared" si="66"/>
        <v/>
      </c>
      <c r="K157" s="1" t="str">
        <f t="shared" si="67"/>
        <v/>
      </c>
      <c r="L157" s="1" t="str">
        <f t="shared" si="68"/>
        <v/>
      </c>
    </row>
    <row r="158" spans="1:12">
      <c r="A158" t="s">
        <v>56</v>
      </c>
      <c r="B158">
        <v>11</v>
      </c>
      <c r="C158" t="str">
        <f t="shared" si="62"/>
        <v>test.Class11_11_</v>
      </c>
      <c r="D158">
        <v>32</v>
      </c>
      <c r="E158">
        <v>0.29628796400449942</v>
      </c>
      <c r="F158">
        <v>1.0666666666666667</v>
      </c>
      <c r="G158" s="1" t="str">
        <f t="shared" si="63"/>
        <v/>
      </c>
      <c r="H158" s="1" t="str">
        <f t="shared" si="64"/>
        <v/>
      </c>
      <c r="I158" s="1" t="str">
        <f t="shared" si="65"/>
        <v/>
      </c>
      <c r="J158" s="1" t="str">
        <f t="shared" si="66"/>
        <v/>
      </c>
      <c r="K158" s="1">
        <f t="shared" si="67"/>
        <v>0.29628796400449942</v>
      </c>
      <c r="L158" s="1" t="str">
        <f t="shared" si="68"/>
        <v/>
      </c>
    </row>
    <row r="159" spans="1:12">
      <c r="A159" t="s">
        <v>56</v>
      </c>
      <c r="B159">
        <v>11</v>
      </c>
      <c r="C159" t="str">
        <f t="shared" si="62"/>
        <v>test.Class11_11_</v>
      </c>
      <c r="D159">
        <v>33</v>
      </c>
      <c r="E159">
        <v>0.29988751406074243</v>
      </c>
      <c r="F159">
        <v>1.0666733333333334</v>
      </c>
      <c r="G159" s="1" t="str">
        <f t="shared" si="63"/>
        <v/>
      </c>
      <c r="H159" s="1" t="str">
        <f t="shared" si="64"/>
        <v/>
      </c>
      <c r="I159" s="1" t="str">
        <f t="shared" si="65"/>
        <v/>
      </c>
      <c r="J159" s="1" t="str">
        <f t="shared" si="66"/>
        <v/>
      </c>
      <c r="K159" s="1">
        <f t="shared" si="67"/>
        <v>0.29988751406074243</v>
      </c>
      <c r="L159" s="1" t="str">
        <f t="shared" si="68"/>
        <v/>
      </c>
    </row>
    <row r="160" spans="1:12">
      <c r="A160" t="s">
        <v>56</v>
      </c>
      <c r="B160">
        <v>11</v>
      </c>
      <c r="C160" t="str">
        <f t="shared" si="62"/>
        <v>test.Class11_11_</v>
      </c>
      <c r="D160">
        <v>1</v>
      </c>
      <c r="E160">
        <v>0.47401574803149604</v>
      </c>
      <c r="F160">
        <v>1.1333333333333333</v>
      </c>
      <c r="G160" s="1" t="str">
        <f t="shared" si="63"/>
        <v/>
      </c>
      <c r="H160" s="1" t="str">
        <f t="shared" si="64"/>
        <v/>
      </c>
      <c r="I160" s="1" t="str">
        <f t="shared" si="65"/>
        <v/>
      </c>
      <c r="J160" s="1" t="str">
        <f t="shared" si="66"/>
        <v/>
      </c>
      <c r="K160" s="1" t="str">
        <f t="shared" si="67"/>
        <v/>
      </c>
      <c r="L160" s="1">
        <f t="shared" si="68"/>
        <v>0.47401574803149604</v>
      </c>
    </row>
    <row r="161" spans="1:12">
      <c r="A161" t="s">
        <v>56</v>
      </c>
      <c r="B161">
        <v>11</v>
      </c>
      <c r="C161" t="str">
        <f t="shared" si="62"/>
        <v>test.Class11_11_</v>
      </c>
      <c r="D161">
        <v>2</v>
      </c>
      <c r="E161">
        <v>0.64814398200224976</v>
      </c>
      <c r="F161">
        <v>1.13334</v>
      </c>
      <c r="G161" s="1" t="str">
        <f t="shared" si="63"/>
        <v/>
      </c>
      <c r="H161" s="1" t="str">
        <f t="shared" si="64"/>
        <v/>
      </c>
      <c r="I161" s="1" t="str">
        <f t="shared" si="65"/>
        <v/>
      </c>
      <c r="J161" s="1" t="str">
        <f t="shared" si="66"/>
        <v/>
      </c>
      <c r="K161" s="1" t="str">
        <f t="shared" si="67"/>
        <v/>
      </c>
      <c r="L161" s="1">
        <f t="shared" si="68"/>
        <v>0.64814398200224976</v>
      </c>
    </row>
    <row r="162" spans="1:12">
      <c r="A162" t="s">
        <v>56</v>
      </c>
      <c r="B162">
        <v>11</v>
      </c>
      <c r="C162" t="str">
        <f t="shared" si="62"/>
        <v>test.Class11_11_</v>
      </c>
      <c r="D162">
        <v>3</v>
      </c>
      <c r="E162">
        <v>0.82227221597300337</v>
      </c>
      <c r="F162">
        <v>1.2666666666666666</v>
      </c>
      <c r="G162" s="1" t="str">
        <f t="shared" si="63"/>
        <v/>
      </c>
      <c r="H162" s="1" t="str">
        <f t="shared" si="64"/>
        <v/>
      </c>
      <c r="I162" s="1" t="str">
        <f t="shared" si="65"/>
        <v/>
      </c>
      <c r="J162" s="1" t="str">
        <f t="shared" si="66"/>
        <v/>
      </c>
      <c r="K162" s="1" t="str">
        <f t="shared" si="67"/>
        <v/>
      </c>
      <c r="L162" s="1">
        <f t="shared" si="68"/>
        <v>0.82227221597300337</v>
      </c>
    </row>
    <row r="163" spans="1:12">
      <c r="A163" t="s">
        <v>56</v>
      </c>
      <c r="B163">
        <v>11</v>
      </c>
      <c r="C163" t="str">
        <f t="shared" si="62"/>
        <v>test.Class11_11_</v>
      </c>
      <c r="D163">
        <v>1</v>
      </c>
      <c r="E163">
        <v>0.82227221597300337</v>
      </c>
      <c r="F163">
        <v>1.2666733333333333</v>
      </c>
      <c r="G163" s="1" t="str">
        <f t="shared" si="63"/>
        <v/>
      </c>
      <c r="H163" s="1" t="str">
        <f t="shared" si="64"/>
        <v/>
      </c>
      <c r="I163" s="1" t="str">
        <f t="shared" si="65"/>
        <v/>
      </c>
      <c r="J163" s="1" t="str">
        <f t="shared" si="66"/>
        <v/>
      </c>
      <c r="K163" s="1" t="str">
        <f t="shared" si="67"/>
        <v/>
      </c>
      <c r="L163" s="1">
        <f t="shared" si="68"/>
        <v>0.82227221597300337</v>
      </c>
    </row>
    <row r="164" spans="1:12">
      <c r="A164" t="s">
        <v>56</v>
      </c>
      <c r="B164">
        <v>11</v>
      </c>
      <c r="C164" t="str">
        <f t="shared" si="62"/>
        <v>test.Class11_11_</v>
      </c>
      <c r="D164">
        <v>2</v>
      </c>
      <c r="E164">
        <v>0.82227221597300337</v>
      </c>
      <c r="F164">
        <v>1.2666798666666668</v>
      </c>
      <c r="G164" s="1" t="str">
        <f t="shared" si="63"/>
        <v/>
      </c>
      <c r="H164" s="1" t="str">
        <f t="shared" si="64"/>
        <v/>
      </c>
      <c r="I164" s="1" t="str">
        <f t="shared" si="65"/>
        <v/>
      </c>
      <c r="J164" s="1" t="str">
        <f t="shared" si="66"/>
        <v/>
      </c>
      <c r="K164" s="1" t="str">
        <f t="shared" si="67"/>
        <v/>
      </c>
      <c r="L164" s="1">
        <f t="shared" si="68"/>
        <v>0.82227221597300337</v>
      </c>
    </row>
    <row r="165" spans="1:12">
      <c r="A165" t="s">
        <v>56</v>
      </c>
      <c r="B165">
        <v>11</v>
      </c>
      <c r="C165" t="str">
        <f t="shared" si="62"/>
        <v>test.Class11_11_</v>
      </c>
      <c r="D165">
        <v>1</v>
      </c>
      <c r="E165">
        <v>0.82227221597300337</v>
      </c>
      <c r="F165">
        <v>1.2666865333333335</v>
      </c>
      <c r="G165" s="1" t="str">
        <f t="shared" si="63"/>
        <v/>
      </c>
      <c r="H165" s="1" t="str">
        <f t="shared" si="64"/>
        <v/>
      </c>
      <c r="I165" s="1" t="str">
        <f t="shared" si="65"/>
        <v/>
      </c>
      <c r="J165" s="1" t="str">
        <f t="shared" si="66"/>
        <v/>
      </c>
      <c r="K165" s="1" t="str">
        <f t="shared" si="67"/>
        <v/>
      </c>
      <c r="L165" s="1">
        <f t="shared" si="68"/>
        <v>0.82227221597300337</v>
      </c>
    </row>
    <row r="166" spans="1:12">
      <c r="A166" t="s">
        <v>56</v>
      </c>
      <c r="B166">
        <v>11</v>
      </c>
      <c r="C166" t="str">
        <f t="shared" si="62"/>
        <v>test.Class11_11_</v>
      </c>
      <c r="D166">
        <v>2</v>
      </c>
      <c r="E166">
        <v>0.99640044994375698</v>
      </c>
      <c r="F166">
        <v>1.3333333333333333</v>
      </c>
      <c r="G166" s="1" t="str">
        <f t="shared" si="63"/>
        <v/>
      </c>
      <c r="H166" s="1" t="str">
        <f t="shared" si="64"/>
        <v/>
      </c>
      <c r="I166" s="1" t="str">
        <f t="shared" si="65"/>
        <v/>
      </c>
      <c r="J166" s="1" t="str">
        <f t="shared" si="66"/>
        <v/>
      </c>
      <c r="K166" s="1" t="str">
        <f t="shared" si="67"/>
        <v/>
      </c>
      <c r="L166" s="1">
        <f t="shared" si="68"/>
        <v>0.99640044994375698</v>
      </c>
    </row>
    <row r="167" spans="1:12">
      <c r="A167" t="s">
        <v>56</v>
      </c>
      <c r="B167">
        <v>11</v>
      </c>
      <c r="C167" t="str">
        <f t="shared" si="62"/>
        <v>test.Class11_11_</v>
      </c>
      <c r="D167">
        <v>1</v>
      </c>
      <c r="E167">
        <v>0.99640044994375698</v>
      </c>
      <c r="F167">
        <v>1.33334</v>
      </c>
      <c r="G167" s="1" t="str">
        <f t="shared" si="63"/>
        <v/>
      </c>
      <c r="H167" s="1" t="str">
        <f t="shared" si="64"/>
        <v/>
      </c>
      <c r="I167" s="1" t="str">
        <f t="shared" si="65"/>
        <v/>
      </c>
      <c r="J167" s="1" t="str">
        <f t="shared" si="66"/>
        <v/>
      </c>
      <c r="K167" s="1" t="str">
        <f t="shared" si="67"/>
        <v/>
      </c>
      <c r="L167" s="1">
        <f t="shared" si="68"/>
        <v>0.99640044994375698</v>
      </c>
    </row>
    <row r="168" spans="1:12">
      <c r="A168" t="s">
        <v>56</v>
      </c>
      <c r="B168">
        <v>11</v>
      </c>
      <c r="C168" t="str">
        <f t="shared" si="62"/>
        <v>test.Class11_11_</v>
      </c>
      <c r="D168">
        <v>2</v>
      </c>
      <c r="E168">
        <v>1</v>
      </c>
      <c r="F168">
        <v>2</v>
      </c>
      <c r="G168" s="1" t="str">
        <f t="shared" si="63"/>
        <v/>
      </c>
      <c r="H168" s="1" t="str">
        <f t="shared" si="64"/>
        <v/>
      </c>
      <c r="I168" s="1" t="str">
        <f t="shared" si="65"/>
        <v/>
      </c>
      <c r="J168" s="1" t="str">
        <f t="shared" si="66"/>
        <v/>
      </c>
      <c r="K168" s="1" t="str">
        <f t="shared" si="67"/>
        <v/>
      </c>
      <c r="L168" s="1">
        <f t="shared" si="68"/>
        <v>1</v>
      </c>
    </row>
    <row r="169" spans="1:12">
      <c r="A169" t="s">
        <v>56</v>
      </c>
      <c r="B169">
        <v>12</v>
      </c>
      <c r="C169" t="str">
        <f t="shared" si="62"/>
        <v>test.Class11_12_</v>
      </c>
      <c r="D169">
        <v>3</v>
      </c>
      <c r="E169">
        <v>3.1705227077977724E-2</v>
      </c>
      <c r="F169">
        <v>0.6</v>
      </c>
      <c r="G169" s="1" t="str">
        <f t="shared" si="63"/>
        <v/>
      </c>
      <c r="H169" s="1" t="str">
        <f t="shared" si="64"/>
        <v/>
      </c>
      <c r="I169" s="1">
        <f t="shared" si="65"/>
        <v>3.1705227077977724E-2</v>
      </c>
      <c r="J169" s="1" t="str">
        <f t="shared" si="66"/>
        <v/>
      </c>
      <c r="K169" s="1" t="str">
        <f t="shared" si="67"/>
        <v/>
      </c>
      <c r="L169" s="1" t="str">
        <f t="shared" si="68"/>
        <v/>
      </c>
    </row>
    <row r="170" spans="1:12">
      <c r="A170" t="s">
        <v>56</v>
      </c>
      <c r="B170">
        <v>12</v>
      </c>
      <c r="C170" t="str">
        <f t="shared" si="62"/>
        <v>test.Class11_12_</v>
      </c>
      <c r="D170">
        <v>4</v>
      </c>
      <c r="E170">
        <v>0.26006855184233074</v>
      </c>
      <c r="F170">
        <v>1.1000000000000001</v>
      </c>
      <c r="G170" s="1" t="str">
        <f t="shared" si="63"/>
        <v/>
      </c>
      <c r="H170" s="1" t="str">
        <f t="shared" si="64"/>
        <v/>
      </c>
      <c r="I170" s="1" t="str">
        <f t="shared" si="65"/>
        <v/>
      </c>
      <c r="J170" s="1" t="str">
        <f t="shared" si="66"/>
        <v/>
      </c>
      <c r="K170" s="1">
        <f t="shared" si="67"/>
        <v>0.26006855184233074</v>
      </c>
      <c r="L170" s="1" t="str">
        <f t="shared" si="68"/>
        <v/>
      </c>
    </row>
    <row r="171" spans="1:12">
      <c r="A171" t="s">
        <v>56</v>
      </c>
      <c r="B171">
        <v>12</v>
      </c>
      <c r="C171" t="str">
        <f t="shared" si="62"/>
        <v>test.Class11_12_</v>
      </c>
      <c r="D171">
        <v>5</v>
      </c>
      <c r="E171">
        <v>0.36889460154241643</v>
      </c>
      <c r="F171">
        <v>1.2</v>
      </c>
      <c r="G171" s="1" t="str">
        <f t="shared" si="63"/>
        <v/>
      </c>
      <c r="H171" s="1" t="str">
        <f t="shared" si="64"/>
        <v/>
      </c>
      <c r="I171" s="1" t="str">
        <f t="shared" si="65"/>
        <v/>
      </c>
      <c r="J171" s="1" t="str">
        <f t="shared" si="66"/>
        <v/>
      </c>
      <c r="K171" s="1" t="str">
        <f t="shared" si="67"/>
        <v/>
      </c>
      <c r="L171" s="1">
        <f t="shared" si="68"/>
        <v>0.36889460154241643</v>
      </c>
    </row>
    <row r="172" spans="1:12">
      <c r="A172" t="s">
        <v>56</v>
      </c>
      <c r="B172">
        <v>12</v>
      </c>
      <c r="C172" t="str">
        <f t="shared" si="62"/>
        <v>test.Class11_12_</v>
      </c>
      <c r="D172">
        <v>6</v>
      </c>
      <c r="E172">
        <v>0.44001713796058267</v>
      </c>
      <c r="F172">
        <v>1.20001</v>
      </c>
      <c r="G172" s="1" t="str">
        <f t="shared" si="63"/>
        <v/>
      </c>
      <c r="H172" s="1" t="str">
        <f t="shared" si="64"/>
        <v/>
      </c>
      <c r="I172" s="1" t="str">
        <f t="shared" si="65"/>
        <v/>
      </c>
      <c r="J172" s="1" t="str">
        <f t="shared" si="66"/>
        <v/>
      </c>
      <c r="K172" s="1" t="str">
        <f t="shared" si="67"/>
        <v/>
      </c>
      <c r="L172" s="1">
        <f t="shared" si="68"/>
        <v>0.44001713796058267</v>
      </c>
    </row>
    <row r="173" spans="1:12">
      <c r="A173" t="s">
        <v>56</v>
      </c>
      <c r="B173">
        <v>12</v>
      </c>
      <c r="C173" t="str">
        <f t="shared" si="62"/>
        <v>test.Class11_12_</v>
      </c>
      <c r="D173">
        <v>7</v>
      </c>
      <c r="E173">
        <v>0.44001713796058267</v>
      </c>
      <c r="F173">
        <v>1.2000199999999999</v>
      </c>
      <c r="G173" s="1" t="str">
        <f t="shared" si="63"/>
        <v/>
      </c>
      <c r="H173" s="1" t="str">
        <f t="shared" si="64"/>
        <v/>
      </c>
      <c r="I173" s="1" t="str">
        <f t="shared" si="65"/>
        <v/>
      </c>
      <c r="J173" s="1" t="str">
        <f t="shared" si="66"/>
        <v/>
      </c>
      <c r="K173" s="1" t="str">
        <f t="shared" si="67"/>
        <v/>
      </c>
      <c r="L173" s="1">
        <f t="shared" si="68"/>
        <v>0.44001713796058267</v>
      </c>
    </row>
    <row r="174" spans="1:12">
      <c r="A174" t="s">
        <v>56</v>
      </c>
      <c r="B174">
        <v>12</v>
      </c>
      <c r="C174" t="str">
        <f t="shared" si="62"/>
        <v>test.Class11_12_</v>
      </c>
      <c r="D174">
        <v>8</v>
      </c>
      <c r="E174">
        <v>0.44001713796058267</v>
      </c>
      <c r="F174">
        <v>1.2000299999999999</v>
      </c>
      <c r="G174" s="1" t="str">
        <f t="shared" si="63"/>
        <v/>
      </c>
      <c r="H174" s="1" t="str">
        <f t="shared" si="64"/>
        <v/>
      </c>
      <c r="I174" s="1" t="str">
        <f t="shared" si="65"/>
        <v/>
      </c>
      <c r="J174" s="1" t="str">
        <f t="shared" si="66"/>
        <v/>
      </c>
      <c r="K174" s="1" t="str">
        <f t="shared" si="67"/>
        <v/>
      </c>
      <c r="L174" s="1">
        <f t="shared" si="68"/>
        <v>0.44001713796058267</v>
      </c>
    </row>
    <row r="175" spans="1:12">
      <c r="A175" t="s">
        <v>56</v>
      </c>
      <c r="B175">
        <v>12</v>
      </c>
      <c r="C175" t="str">
        <f t="shared" si="62"/>
        <v>test.Class11_12_</v>
      </c>
      <c r="D175">
        <v>9</v>
      </c>
      <c r="E175">
        <v>0.44001713796058267</v>
      </c>
      <c r="F175">
        <v>1.3</v>
      </c>
      <c r="G175" s="1" t="str">
        <f t="shared" si="63"/>
        <v/>
      </c>
      <c r="H175" s="1" t="str">
        <f t="shared" si="64"/>
        <v/>
      </c>
      <c r="I175" s="1" t="str">
        <f t="shared" si="65"/>
        <v/>
      </c>
      <c r="J175" s="1" t="str">
        <f t="shared" si="66"/>
        <v/>
      </c>
      <c r="K175" s="1" t="str">
        <f t="shared" si="67"/>
        <v/>
      </c>
      <c r="L175" s="1">
        <f t="shared" si="68"/>
        <v>0.44001713796058267</v>
      </c>
    </row>
    <row r="176" spans="1:12">
      <c r="A176" t="s">
        <v>56</v>
      </c>
      <c r="B176">
        <v>12</v>
      </c>
      <c r="C176" t="str">
        <f t="shared" si="62"/>
        <v>test.Class11_12_</v>
      </c>
      <c r="D176">
        <v>10</v>
      </c>
      <c r="E176">
        <v>0.4473007712082262</v>
      </c>
      <c r="F176">
        <v>1.4</v>
      </c>
      <c r="G176" s="1" t="str">
        <f t="shared" si="63"/>
        <v/>
      </c>
      <c r="H176" s="1" t="str">
        <f t="shared" si="64"/>
        <v/>
      </c>
      <c r="I176" s="1" t="str">
        <f t="shared" si="65"/>
        <v/>
      </c>
      <c r="J176" s="1" t="str">
        <f t="shared" si="66"/>
        <v/>
      </c>
      <c r="K176" s="1" t="str">
        <f t="shared" si="67"/>
        <v/>
      </c>
      <c r="L176" s="1">
        <f t="shared" si="68"/>
        <v>0.4473007712082262</v>
      </c>
    </row>
    <row r="177" spans="1:12">
      <c r="A177" t="s">
        <v>56</v>
      </c>
      <c r="B177">
        <v>12</v>
      </c>
      <c r="C177" t="str">
        <f t="shared" si="62"/>
        <v>test.Class11_12_</v>
      </c>
      <c r="D177">
        <v>11</v>
      </c>
      <c r="E177">
        <v>0.4473007712082262</v>
      </c>
      <c r="F177">
        <v>1.40001</v>
      </c>
      <c r="G177" s="1" t="str">
        <f t="shared" si="63"/>
        <v/>
      </c>
      <c r="H177" s="1" t="str">
        <f t="shared" si="64"/>
        <v/>
      </c>
      <c r="I177" s="1" t="str">
        <f t="shared" si="65"/>
        <v/>
      </c>
      <c r="J177" s="1" t="str">
        <f t="shared" si="66"/>
        <v/>
      </c>
      <c r="K177" s="1" t="str">
        <f t="shared" si="67"/>
        <v/>
      </c>
      <c r="L177" s="1">
        <f t="shared" si="68"/>
        <v>0.4473007712082262</v>
      </c>
    </row>
    <row r="178" spans="1:12">
      <c r="A178" t="s">
        <v>56</v>
      </c>
      <c r="B178">
        <v>12</v>
      </c>
      <c r="C178" t="str">
        <f t="shared" si="62"/>
        <v>test.Class11_12_</v>
      </c>
      <c r="D178">
        <v>12</v>
      </c>
      <c r="E178">
        <v>0.67823479005998288</v>
      </c>
      <c r="F178">
        <v>1.5</v>
      </c>
      <c r="G178" s="1" t="str">
        <f t="shared" si="63"/>
        <v/>
      </c>
      <c r="H178" s="1" t="str">
        <f t="shared" si="64"/>
        <v/>
      </c>
      <c r="I178" s="1" t="str">
        <f t="shared" si="65"/>
        <v/>
      </c>
      <c r="J178" s="1" t="str">
        <f t="shared" si="66"/>
        <v/>
      </c>
      <c r="K178" s="1" t="str">
        <f t="shared" si="67"/>
        <v/>
      </c>
      <c r="L178" s="1">
        <f t="shared" si="68"/>
        <v>0.67823479005998288</v>
      </c>
    </row>
    <row r="179" spans="1:12">
      <c r="A179" t="s">
        <v>56</v>
      </c>
      <c r="B179">
        <v>12</v>
      </c>
      <c r="C179" t="str">
        <f t="shared" si="62"/>
        <v>test.Class11_12_</v>
      </c>
      <c r="D179">
        <v>13</v>
      </c>
      <c r="E179">
        <v>1</v>
      </c>
      <c r="F179">
        <v>1.9</v>
      </c>
      <c r="G179" s="1" t="str">
        <f t="shared" si="63"/>
        <v/>
      </c>
      <c r="H179" s="1" t="str">
        <f t="shared" si="64"/>
        <v/>
      </c>
      <c r="I179" s="1" t="str">
        <f t="shared" si="65"/>
        <v/>
      </c>
      <c r="J179" s="1" t="str">
        <f t="shared" si="66"/>
        <v/>
      </c>
      <c r="K179" s="1" t="str">
        <f t="shared" si="67"/>
        <v/>
      </c>
      <c r="L179" s="1">
        <f t="shared" si="68"/>
        <v>1</v>
      </c>
    </row>
    <row r="180" spans="1:12">
      <c r="A180" t="s">
        <v>56</v>
      </c>
      <c r="B180">
        <v>12</v>
      </c>
      <c r="C180" t="str">
        <f t="shared" si="62"/>
        <v>test.Class11_12_</v>
      </c>
      <c r="D180">
        <v>14</v>
      </c>
      <c r="E180">
        <v>1</v>
      </c>
      <c r="F180">
        <v>2</v>
      </c>
      <c r="G180" s="1" t="str">
        <f t="shared" si="63"/>
        <v/>
      </c>
      <c r="H180" s="1" t="str">
        <f t="shared" si="64"/>
        <v/>
      </c>
      <c r="I180" s="1" t="str">
        <f t="shared" si="65"/>
        <v/>
      </c>
      <c r="J180" s="1" t="str">
        <f t="shared" si="66"/>
        <v/>
      </c>
      <c r="K180" s="1" t="str">
        <f t="shared" si="67"/>
        <v/>
      </c>
      <c r="L180" s="1">
        <f t="shared" si="68"/>
        <v>1</v>
      </c>
    </row>
    <row r="181" spans="1:12">
      <c r="A181" t="s">
        <v>65</v>
      </c>
      <c r="B181">
        <v>1</v>
      </c>
      <c r="C181" t="str">
        <f t="shared" si="62"/>
        <v>test.client_1_</v>
      </c>
      <c r="D181">
        <v>15</v>
      </c>
      <c r="E181">
        <v>7.1806030463164444E-2</v>
      </c>
      <c r="F181">
        <v>0.66666666666666663</v>
      </c>
      <c r="G181" s="1" t="str">
        <f t="shared" si="63"/>
        <v/>
      </c>
      <c r="H181" s="1" t="str">
        <f t="shared" si="64"/>
        <v/>
      </c>
      <c r="I181" s="1" t="str">
        <f t="shared" si="65"/>
        <v/>
      </c>
      <c r="J181" s="1">
        <f t="shared" si="66"/>
        <v>7.1806030463164444E-2</v>
      </c>
      <c r="K181" s="1" t="str">
        <f t="shared" si="67"/>
        <v/>
      </c>
      <c r="L181" s="1" t="str">
        <f t="shared" si="68"/>
        <v/>
      </c>
    </row>
    <row r="182" spans="1:12">
      <c r="A182" t="s">
        <v>65</v>
      </c>
      <c r="B182">
        <v>1</v>
      </c>
      <c r="C182" t="str">
        <f t="shared" si="62"/>
        <v>test.client_1_</v>
      </c>
      <c r="D182">
        <v>16</v>
      </c>
      <c r="E182">
        <v>0.25147653092943734</v>
      </c>
      <c r="F182">
        <v>0.8666666666666667</v>
      </c>
      <c r="G182" s="1" t="str">
        <f t="shared" si="63"/>
        <v/>
      </c>
      <c r="H182" s="1" t="str">
        <f t="shared" si="64"/>
        <v/>
      </c>
      <c r="I182" s="1" t="str">
        <f t="shared" si="65"/>
        <v/>
      </c>
      <c r="J182" s="1" t="str">
        <f t="shared" si="66"/>
        <v/>
      </c>
      <c r="K182" s="1">
        <f t="shared" si="67"/>
        <v>0.25147653092943734</v>
      </c>
      <c r="L182" s="1" t="str">
        <f t="shared" si="68"/>
        <v/>
      </c>
    </row>
    <row r="183" spans="1:12">
      <c r="A183" t="s">
        <v>65</v>
      </c>
      <c r="B183">
        <v>1</v>
      </c>
      <c r="C183" t="str">
        <f t="shared" si="62"/>
        <v>test.client_1_</v>
      </c>
      <c r="D183">
        <v>17</v>
      </c>
      <c r="E183">
        <v>0.25240907677960833</v>
      </c>
      <c r="F183">
        <v>0.93333333333333335</v>
      </c>
      <c r="G183" s="1" t="str">
        <f t="shared" si="63"/>
        <v/>
      </c>
      <c r="H183" s="1" t="str">
        <f t="shared" si="64"/>
        <v/>
      </c>
      <c r="I183" s="1" t="str">
        <f t="shared" si="65"/>
        <v/>
      </c>
      <c r="J183" s="1" t="str">
        <f t="shared" si="66"/>
        <v/>
      </c>
      <c r="K183" s="1">
        <f t="shared" si="67"/>
        <v>0.25240907677960833</v>
      </c>
      <c r="L183" s="1" t="str">
        <f t="shared" si="68"/>
        <v/>
      </c>
    </row>
    <row r="184" spans="1:12">
      <c r="A184" t="s">
        <v>65</v>
      </c>
      <c r="B184">
        <v>1</v>
      </c>
      <c r="C184" t="str">
        <f t="shared" si="62"/>
        <v>test.client_1_</v>
      </c>
      <c r="D184">
        <v>18</v>
      </c>
      <c r="E184">
        <v>0.86447000310848621</v>
      </c>
      <c r="F184">
        <v>1.4</v>
      </c>
      <c r="G184" s="1" t="str">
        <f t="shared" si="63"/>
        <v/>
      </c>
      <c r="H184" s="1" t="str">
        <f t="shared" si="64"/>
        <v/>
      </c>
      <c r="I184" s="1" t="str">
        <f t="shared" si="65"/>
        <v/>
      </c>
      <c r="J184" s="1" t="str">
        <f t="shared" si="66"/>
        <v/>
      </c>
      <c r="K184" s="1" t="str">
        <f t="shared" si="67"/>
        <v/>
      </c>
      <c r="L184" s="1">
        <f t="shared" si="68"/>
        <v>0.86447000310848621</v>
      </c>
    </row>
    <row r="185" spans="1:12">
      <c r="A185" t="s">
        <v>65</v>
      </c>
      <c r="B185">
        <v>1</v>
      </c>
      <c r="C185" t="str">
        <f t="shared" si="62"/>
        <v>test.client_1_</v>
      </c>
      <c r="D185">
        <v>19</v>
      </c>
      <c r="E185">
        <v>0.91607087348461302</v>
      </c>
      <c r="F185">
        <v>1.5333333333333334</v>
      </c>
      <c r="G185" s="1" t="str">
        <f t="shared" si="63"/>
        <v/>
      </c>
      <c r="H185" s="1" t="str">
        <f t="shared" si="64"/>
        <v/>
      </c>
      <c r="I185" s="1" t="str">
        <f t="shared" si="65"/>
        <v/>
      </c>
      <c r="J185" s="1" t="str">
        <f t="shared" si="66"/>
        <v/>
      </c>
      <c r="K185" s="1" t="str">
        <f t="shared" si="67"/>
        <v/>
      </c>
      <c r="L185" s="1">
        <f t="shared" si="68"/>
        <v>0.91607087348461302</v>
      </c>
    </row>
    <row r="186" spans="1:12">
      <c r="A186" t="s">
        <v>65</v>
      </c>
      <c r="B186">
        <v>1</v>
      </c>
      <c r="C186" t="str">
        <f t="shared" si="62"/>
        <v>test.client_1_</v>
      </c>
      <c r="D186">
        <v>20</v>
      </c>
      <c r="E186">
        <v>0.94560149207336031</v>
      </c>
      <c r="F186">
        <v>1.5333399999999999</v>
      </c>
      <c r="G186" s="1" t="str">
        <f t="shared" si="63"/>
        <v/>
      </c>
      <c r="H186" s="1" t="str">
        <f t="shared" si="64"/>
        <v/>
      </c>
      <c r="I186" s="1" t="str">
        <f t="shared" si="65"/>
        <v/>
      </c>
      <c r="J186" s="1" t="str">
        <f t="shared" si="66"/>
        <v/>
      </c>
      <c r="K186" s="1" t="str">
        <f t="shared" si="67"/>
        <v/>
      </c>
      <c r="L186" s="1">
        <f t="shared" si="68"/>
        <v>0.94560149207336031</v>
      </c>
    </row>
    <row r="187" spans="1:12">
      <c r="A187" t="s">
        <v>65</v>
      </c>
      <c r="B187">
        <v>1</v>
      </c>
      <c r="C187" t="str">
        <f t="shared" si="62"/>
        <v>test.client_1_</v>
      </c>
      <c r="D187">
        <v>21</v>
      </c>
      <c r="E187">
        <v>1</v>
      </c>
      <c r="F187">
        <v>1.6</v>
      </c>
      <c r="G187" s="1" t="str">
        <f t="shared" si="63"/>
        <v/>
      </c>
      <c r="H187" s="1" t="str">
        <f t="shared" si="64"/>
        <v/>
      </c>
      <c r="I187" s="1" t="str">
        <f t="shared" si="65"/>
        <v/>
      </c>
      <c r="J187" s="1" t="str">
        <f t="shared" si="66"/>
        <v/>
      </c>
      <c r="K187" s="1" t="str">
        <f t="shared" si="67"/>
        <v/>
      </c>
      <c r="L187" s="1">
        <f t="shared" si="68"/>
        <v>1</v>
      </c>
    </row>
    <row r="188" spans="1:12">
      <c r="A188" t="s">
        <v>65</v>
      </c>
      <c r="B188">
        <v>3</v>
      </c>
      <c r="C188" t="str">
        <f t="shared" si="62"/>
        <v>test.client_3_</v>
      </c>
      <c r="D188">
        <v>22</v>
      </c>
      <c r="E188">
        <v>0.8412745949507352</v>
      </c>
      <c r="F188">
        <v>1.4631147540983607</v>
      </c>
      <c r="G188" s="1" t="str">
        <f t="shared" si="63"/>
        <v/>
      </c>
      <c r="H188" s="1" t="str">
        <f t="shared" si="64"/>
        <v/>
      </c>
      <c r="I188" s="1" t="str">
        <f t="shared" si="65"/>
        <v/>
      </c>
      <c r="J188" s="1" t="str">
        <f t="shared" si="66"/>
        <v/>
      </c>
      <c r="K188" s="1" t="str">
        <f t="shared" si="67"/>
        <v/>
      </c>
      <c r="L188" s="1">
        <f t="shared" si="68"/>
        <v>0.8412745949507352</v>
      </c>
    </row>
    <row r="189" spans="1:12">
      <c r="A189" t="s">
        <v>65</v>
      </c>
      <c r="B189">
        <v>3</v>
      </c>
      <c r="C189" t="str">
        <f t="shared" si="62"/>
        <v>test.client_3_</v>
      </c>
      <c r="D189">
        <v>23</v>
      </c>
      <c r="E189">
        <v>0.99251295259201577</v>
      </c>
      <c r="F189">
        <v>1.4651639344262295</v>
      </c>
      <c r="G189" s="1" t="str">
        <f t="shared" si="63"/>
        <v/>
      </c>
      <c r="H189" s="1" t="str">
        <f t="shared" si="64"/>
        <v/>
      </c>
      <c r="I189" s="1" t="str">
        <f t="shared" si="65"/>
        <v/>
      </c>
      <c r="J189" s="1" t="str">
        <f t="shared" si="66"/>
        <v/>
      </c>
      <c r="K189" s="1" t="str">
        <f t="shared" si="67"/>
        <v/>
      </c>
      <c r="L189" s="1">
        <f t="shared" si="68"/>
        <v>0.99251295259201577</v>
      </c>
    </row>
    <row r="190" spans="1:12">
      <c r="A190" t="s">
        <v>65</v>
      </c>
      <c r="B190">
        <v>3</v>
      </c>
      <c r="C190" t="str">
        <f t="shared" si="62"/>
        <v>test.client_3_</v>
      </c>
      <c r="D190">
        <v>24</v>
      </c>
      <c r="E190">
        <v>1</v>
      </c>
      <c r="F190">
        <v>1.4897540983606556</v>
      </c>
      <c r="G190" s="1" t="str">
        <f t="shared" si="63"/>
        <v/>
      </c>
      <c r="H190" s="1" t="str">
        <f t="shared" si="64"/>
        <v/>
      </c>
      <c r="I190" s="1" t="str">
        <f t="shared" si="65"/>
        <v/>
      </c>
      <c r="J190" s="1" t="str">
        <f t="shared" si="66"/>
        <v/>
      </c>
      <c r="K190" s="1" t="str">
        <f t="shared" si="67"/>
        <v/>
      </c>
      <c r="L190" s="1">
        <f t="shared" si="68"/>
        <v>1</v>
      </c>
    </row>
    <row r="191" spans="1:12">
      <c r="A191" t="s">
        <v>65</v>
      </c>
      <c r="B191">
        <v>4</v>
      </c>
      <c r="C191" t="str">
        <f t="shared" si="62"/>
        <v>test.client_4_</v>
      </c>
      <c r="D191">
        <v>25</v>
      </c>
      <c r="E191">
        <v>0.69755178907721282</v>
      </c>
      <c r="F191">
        <v>1.4347826086956521</v>
      </c>
      <c r="G191" s="1" t="str">
        <f t="shared" si="63"/>
        <v/>
      </c>
      <c r="H191" s="1" t="str">
        <f t="shared" si="64"/>
        <v/>
      </c>
      <c r="I191" s="1" t="str">
        <f t="shared" si="65"/>
        <v/>
      </c>
      <c r="J191" s="1" t="str">
        <f t="shared" si="66"/>
        <v/>
      </c>
      <c r="K191" s="1" t="str">
        <f t="shared" si="67"/>
        <v/>
      </c>
      <c r="L191" s="1">
        <f t="shared" si="68"/>
        <v>0.69755178907721282</v>
      </c>
    </row>
    <row r="192" spans="1:12">
      <c r="A192" t="s">
        <v>65</v>
      </c>
      <c r="B192">
        <v>4</v>
      </c>
      <c r="C192" t="str">
        <f t="shared" si="62"/>
        <v>test.client_4_</v>
      </c>
      <c r="D192">
        <v>26</v>
      </c>
      <c r="E192">
        <v>0.76949152542372878</v>
      </c>
      <c r="F192">
        <v>1.4782608695652173</v>
      </c>
      <c r="G192" s="1" t="str">
        <f t="shared" si="63"/>
        <v/>
      </c>
      <c r="H192" s="1" t="str">
        <f t="shared" si="64"/>
        <v/>
      </c>
      <c r="I192" s="1" t="str">
        <f t="shared" si="65"/>
        <v/>
      </c>
      <c r="J192" s="1" t="str">
        <f t="shared" si="66"/>
        <v/>
      </c>
      <c r="K192" s="1" t="str">
        <f t="shared" si="67"/>
        <v/>
      </c>
      <c r="L192" s="1">
        <f t="shared" si="68"/>
        <v>0.76949152542372878</v>
      </c>
    </row>
    <row r="193" spans="1:12">
      <c r="A193" t="s">
        <v>65</v>
      </c>
      <c r="B193">
        <v>4</v>
      </c>
      <c r="C193" t="str">
        <f t="shared" si="62"/>
        <v>test.client_4_</v>
      </c>
      <c r="D193">
        <v>27</v>
      </c>
      <c r="E193">
        <v>0.83954802259887007</v>
      </c>
      <c r="F193">
        <v>1.4782652173913045</v>
      </c>
      <c r="G193" s="1" t="str">
        <f t="shared" si="63"/>
        <v/>
      </c>
      <c r="H193" s="1" t="str">
        <f t="shared" si="64"/>
        <v/>
      </c>
      <c r="I193" s="1" t="str">
        <f t="shared" si="65"/>
        <v/>
      </c>
      <c r="J193" s="1" t="str">
        <f t="shared" si="66"/>
        <v/>
      </c>
      <c r="K193" s="1" t="str">
        <f t="shared" si="67"/>
        <v/>
      </c>
      <c r="L193" s="1">
        <f t="shared" si="68"/>
        <v>0.83954802259887007</v>
      </c>
    </row>
    <row r="194" spans="1:12">
      <c r="A194" t="s">
        <v>65</v>
      </c>
      <c r="B194">
        <v>4</v>
      </c>
      <c r="C194" t="str">
        <f t="shared" si="62"/>
        <v>test.client_4_</v>
      </c>
      <c r="D194">
        <v>28</v>
      </c>
      <c r="E194">
        <v>0.90960451977401124</v>
      </c>
      <c r="F194">
        <v>1.4782695652173914</v>
      </c>
      <c r="G194" s="1" t="str">
        <f t="shared" si="63"/>
        <v/>
      </c>
      <c r="H194" s="1" t="str">
        <f t="shared" si="64"/>
        <v/>
      </c>
      <c r="I194" s="1" t="str">
        <f t="shared" si="65"/>
        <v/>
      </c>
      <c r="J194" s="1" t="str">
        <f t="shared" si="66"/>
        <v/>
      </c>
      <c r="K194" s="1" t="str">
        <f t="shared" si="67"/>
        <v/>
      </c>
      <c r="L194" s="1">
        <f t="shared" si="68"/>
        <v>0.90960451977401124</v>
      </c>
    </row>
    <row r="195" spans="1:12">
      <c r="A195" t="s">
        <v>65</v>
      </c>
      <c r="B195">
        <v>4</v>
      </c>
      <c r="C195" t="str">
        <f t="shared" ref="C195:C258" si="69">CONCATENATE(A195, "_",B195,"_")</f>
        <v>test.client_4_</v>
      </c>
      <c r="D195">
        <v>29</v>
      </c>
      <c r="E195">
        <v>0.91299435028248588</v>
      </c>
      <c r="F195">
        <v>1.4782738260869566</v>
      </c>
      <c r="G195" s="1" t="str">
        <f t="shared" ref="G195:G258" si="70">IF($F195 &lt;= 0.2,$E195,"")</f>
        <v/>
      </c>
      <c r="H195" s="1" t="str">
        <f t="shared" ref="H195:H258" si="71">IF(AND($F195 &gt; 0.2,$F195 &lt;= 0.4),$E195,"")</f>
        <v/>
      </c>
      <c r="I195" s="1" t="str">
        <f t="shared" ref="I195:I258" si="72">IF(AND($F195 &gt; 0.4,$F195 &lt;= 0.6),$E195,"")</f>
        <v/>
      </c>
      <c r="J195" s="1" t="str">
        <f t="shared" ref="J195:J258" si="73">IF(AND($F195 &gt; 0.6,$F195 &lt;= 0.8),$E195,"")</f>
        <v/>
      </c>
      <c r="K195" s="1" t="str">
        <f t="shared" ref="K195:K258" si="74">IF(AND($F195 &gt; 0.8, $F195 &lt;=1.1),$E195,"")</f>
        <v/>
      </c>
      <c r="L195" s="1">
        <f t="shared" ref="L195:L258" si="75">IF(AND($F195 &gt; 1.1),$E195,"")</f>
        <v>0.91299435028248588</v>
      </c>
    </row>
    <row r="196" spans="1:12">
      <c r="A196" t="s">
        <v>65</v>
      </c>
      <c r="B196">
        <v>4</v>
      </c>
      <c r="C196" t="str">
        <f t="shared" si="69"/>
        <v>test.client_4_</v>
      </c>
      <c r="D196">
        <v>30</v>
      </c>
      <c r="E196">
        <v>0.98248587570621471</v>
      </c>
      <c r="F196">
        <v>1.5217391304347827</v>
      </c>
      <c r="G196" s="1" t="str">
        <f t="shared" si="70"/>
        <v/>
      </c>
      <c r="H196" s="1" t="str">
        <f t="shared" si="71"/>
        <v/>
      </c>
      <c r="I196" s="1" t="str">
        <f t="shared" si="72"/>
        <v/>
      </c>
      <c r="J196" s="1" t="str">
        <f t="shared" si="73"/>
        <v/>
      </c>
      <c r="K196" s="1" t="str">
        <f t="shared" si="74"/>
        <v/>
      </c>
      <c r="L196" s="1">
        <f t="shared" si="75"/>
        <v>0.98248587570621471</v>
      </c>
    </row>
    <row r="197" spans="1:12">
      <c r="A197" t="s">
        <v>65</v>
      </c>
      <c r="B197">
        <v>4</v>
      </c>
      <c r="C197" t="str">
        <f t="shared" si="69"/>
        <v>test.client_4_</v>
      </c>
      <c r="D197">
        <v>31</v>
      </c>
      <c r="E197">
        <v>0.98587570621468923</v>
      </c>
      <c r="F197">
        <v>1.5217434782608696</v>
      </c>
      <c r="G197" s="1" t="str">
        <f t="shared" si="70"/>
        <v/>
      </c>
      <c r="H197" s="1" t="str">
        <f t="shared" si="71"/>
        <v/>
      </c>
      <c r="I197" s="1" t="str">
        <f t="shared" si="72"/>
        <v/>
      </c>
      <c r="J197" s="1" t="str">
        <f t="shared" si="73"/>
        <v/>
      </c>
      <c r="K197" s="1" t="str">
        <f t="shared" si="74"/>
        <v/>
      </c>
      <c r="L197" s="1">
        <f t="shared" si="75"/>
        <v>0.98587570621468923</v>
      </c>
    </row>
    <row r="198" spans="1:12">
      <c r="A198" t="s">
        <v>65</v>
      </c>
      <c r="B198">
        <v>4</v>
      </c>
      <c r="C198" t="str">
        <f t="shared" si="69"/>
        <v>test.client_4_</v>
      </c>
      <c r="D198">
        <v>32</v>
      </c>
      <c r="E198">
        <v>0.98813559322033895</v>
      </c>
      <c r="F198">
        <v>1.5217478260869566</v>
      </c>
      <c r="G198" s="1" t="str">
        <f t="shared" si="70"/>
        <v/>
      </c>
      <c r="H198" s="1" t="str">
        <f t="shared" si="71"/>
        <v/>
      </c>
      <c r="I198" s="1" t="str">
        <f t="shared" si="72"/>
        <v/>
      </c>
      <c r="J198" s="1" t="str">
        <f t="shared" si="73"/>
        <v/>
      </c>
      <c r="K198" s="1" t="str">
        <f t="shared" si="74"/>
        <v/>
      </c>
      <c r="L198" s="1">
        <f t="shared" si="75"/>
        <v>0.98813559322033895</v>
      </c>
    </row>
    <row r="199" spans="1:12">
      <c r="A199" t="s">
        <v>65</v>
      </c>
      <c r="B199">
        <v>4</v>
      </c>
      <c r="C199" t="str">
        <f t="shared" si="69"/>
        <v>test.client_4_</v>
      </c>
      <c r="D199">
        <v>1</v>
      </c>
      <c r="E199">
        <v>0.99209039548022604</v>
      </c>
      <c r="F199">
        <v>1.5652173913043479</v>
      </c>
      <c r="G199" s="1" t="str">
        <f t="shared" si="70"/>
        <v/>
      </c>
      <c r="H199" s="1" t="str">
        <f t="shared" si="71"/>
        <v/>
      </c>
      <c r="I199" s="1" t="str">
        <f t="shared" si="72"/>
        <v/>
      </c>
      <c r="J199" s="1" t="str">
        <f t="shared" si="73"/>
        <v/>
      </c>
      <c r="K199" s="1" t="str">
        <f t="shared" si="74"/>
        <v/>
      </c>
      <c r="L199" s="1">
        <f t="shared" si="75"/>
        <v>0.99209039548022604</v>
      </c>
    </row>
    <row r="200" spans="1:12">
      <c r="A200" t="s">
        <v>65</v>
      </c>
      <c r="B200">
        <v>4</v>
      </c>
      <c r="C200" t="str">
        <f t="shared" si="69"/>
        <v>test.client_4_</v>
      </c>
      <c r="D200">
        <v>2</v>
      </c>
      <c r="E200">
        <v>0.99604519774011302</v>
      </c>
      <c r="F200">
        <v>1.5652217391304348</v>
      </c>
      <c r="G200" s="1" t="str">
        <f t="shared" si="70"/>
        <v/>
      </c>
      <c r="H200" s="1" t="str">
        <f t="shared" si="71"/>
        <v/>
      </c>
      <c r="I200" s="1" t="str">
        <f t="shared" si="72"/>
        <v/>
      </c>
      <c r="J200" s="1" t="str">
        <f t="shared" si="73"/>
        <v/>
      </c>
      <c r="K200" s="1" t="str">
        <f t="shared" si="74"/>
        <v/>
      </c>
      <c r="L200" s="1">
        <f t="shared" si="75"/>
        <v>0.99604519774011302</v>
      </c>
    </row>
    <row r="201" spans="1:12">
      <c r="A201" t="s">
        <v>65</v>
      </c>
      <c r="B201">
        <v>4</v>
      </c>
      <c r="C201" t="str">
        <f t="shared" si="69"/>
        <v>test.client_4_</v>
      </c>
      <c r="D201">
        <v>3</v>
      </c>
      <c r="E201">
        <v>1</v>
      </c>
      <c r="F201">
        <v>1.6086956521739131</v>
      </c>
      <c r="G201" s="1" t="str">
        <f t="shared" si="70"/>
        <v/>
      </c>
      <c r="H201" s="1" t="str">
        <f t="shared" si="71"/>
        <v/>
      </c>
      <c r="I201" s="1" t="str">
        <f t="shared" si="72"/>
        <v/>
      </c>
      <c r="J201" s="1" t="str">
        <f t="shared" si="73"/>
        <v/>
      </c>
      <c r="K201" s="1" t="str">
        <f t="shared" si="74"/>
        <v/>
      </c>
      <c r="L201" s="1">
        <f t="shared" si="75"/>
        <v>1</v>
      </c>
    </row>
    <row r="202" spans="1:12">
      <c r="A202" t="s">
        <v>65</v>
      </c>
      <c r="B202">
        <v>4</v>
      </c>
      <c r="C202" t="str">
        <f t="shared" si="69"/>
        <v>test.client_4_</v>
      </c>
      <c r="D202">
        <v>4</v>
      </c>
      <c r="E202">
        <v>1</v>
      </c>
      <c r="F202">
        <v>1.6087000000000002</v>
      </c>
      <c r="G202" s="1" t="str">
        <f t="shared" si="70"/>
        <v/>
      </c>
      <c r="H202" s="1" t="str">
        <f t="shared" si="71"/>
        <v/>
      </c>
      <c r="I202" s="1" t="str">
        <f t="shared" si="72"/>
        <v/>
      </c>
      <c r="J202" s="1" t="str">
        <f t="shared" si="73"/>
        <v/>
      </c>
      <c r="K202" s="1" t="str">
        <f t="shared" si="74"/>
        <v/>
      </c>
      <c r="L202" s="1">
        <f t="shared" si="75"/>
        <v>1</v>
      </c>
    </row>
    <row r="203" spans="1:12">
      <c r="A203" t="s">
        <v>65</v>
      </c>
      <c r="B203">
        <v>4</v>
      </c>
      <c r="C203" t="str">
        <f t="shared" si="69"/>
        <v>test.client_4_</v>
      </c>
      <c r="D203">
        <v>5</v>
      </c>
      <c r="E203">
        <v>1</v>
      </c>
      <c r="F203">
        <v>1.6521739130434783</v>
      </c>
      <c r="G203" s="1" t="str">
        <f t="shared" si="70"/>
        <v/>
      </c>
      <c r="H203" s="1" t="str">
        <f t="shared" si="71"/>
        <v/>
      </c>
      <c r="I203" s="1" t="str">
        <f t="shared" si="72"/>
        <v/>
      </c>
      <c r="J203" s="1" t="str">
        <f t="shared" si="73"/>
        <v/>
      </c>
      <c r="K203" s="1" t="str">
        <f t="shared" si="74"/>
        <v/>
      </c>
      <c r="L203" s="1">
        <f t="shared" si="75"/>
        <v>1</v>
      </c>
    </row>
    <row r="204" spans="1:12">
      <c r="A204" t="s">
        <v>65</v>
      </c>
      <c r="B204">
        <v>4</v>
      </c>
      <c r="C204" t="str">
        <f t="shared" si="69"/>
        <v>test.client_4_</v>
      </c>
      <c r="D204">
        <v>6</v>
      </c>
      <c r="E204">
        <v>1</v>
      </c>
      <c r="F204">
        <v>1.6521782608695654</v>
      </c>
      <c r="G204" s="1" t="str">
        <f t="shared" si="70"/>
        <v/>
      </c>
      <c r="H204" s="1" t="str">
        <f t="shared" si="71"/>
        <v/>
      </c>
      <c r="I204" s="1" t="str">
        <f t="shared" si="72"/>
        <v/>
      </c>
      <c r="J204" s="1" t="str">
        <f t="shared" si="73"/>
        <v/>
      </c>
      <c r="K204" s="1" t="str">
        <f t="shared" si="74"/>
        <v/>
      </c>
      <c r="L204" s="1">
        <f t="shared" si="75"/>
        <v>1</v>
      </c>
    </row>
    <row r="205" spans="1:12">
      <c r="A205" t="s">
        <v>65</v>
      </c>
      <c r="B205">
        <v>4</v>
      </c>
      <c r="C205" t="str">
        <f t="shared" si="69"/>
        <v>test.client_4_</v>
      </c>
      <c r="D205">
        <v>7</v>
      </c>
      <c r="E205">
        <v>1</v>
      </c>
      <c r="F205">
        <v>1.6956521739130435</v>
      </c>
      <c r="G205" s="1" t="str">
        <f t="shared" si="70"/>
        <v/>
      </c>
      <c r="H205" s="1" t="str">
        <f t="shared" si="71"/>
        <v/>
      </c>
      <c r="I205" s="1" t="str">
        <f t="shared" si="72"/>
        <v/>
      </c>
      <c r="J205" s="1" t="str">
        <f t="shared" si="73"/>
        <v/>
      </c>
      <c r="K205" s="1" t="str">
        <f t="shared" si="74"/>
        <v/>
      </c>
      <c r="L205" s="1">
        <f t="shared" si="75"/>
        <v>1</v>
      </c>
    </row>
    <row r="206" spans="1:12">
      <c r="A206" t="s">
        <v>65</v>
      </c>
      <c r="B206">
        <v>4</v>
      </c>
      <c r="C206" t="str">
        <f t="shared" si="69"/>
        <v>test.client_4_</v>
      </c>
      <c r="D206">
        <v>8</v>
      </c>
      <c r="E206">
        <v>1</v>
      </c>
      <c r="F206">
        <v>1.826086956521739</v>
      </c>
      <c r="G206" s="1" t="str">
        <f t="shared" si="70"/>
        <v/>
      </c>
      <c r="H206" s="1" t="str">
        <f t="shared" si="71"/>
        <v/>
      </c>
      <c r="I206" s="1" t="str">
        <f t="shared" si="72"/>
        <v/>
      </c>
      <c r="J206" s="1" t="str">
        <f t="shared" si="73"/>
        <v/>
      </c>
      <c r="K206" s="1" t="str">
        <f t="shared" si="74"/>
        <v/>
      </c>
      <c r="L206" s="1">
        <f t="shared" si="75"/>
        <v>1</v>
      </c>
    </row>
    <row r="207" spans="1:12">
      <c r="A207" t="s">
        <v>65</v>
      </c>
      <c r="B207">
        <v>6</v>
      </c>
      <c r="C207" t="str">
        <f t="shared" si="69"/>
        <v>test.client_6_</v>
      </c>
      <c r="D207">
        <v>9</v>
      </c>
      <c r="E207">
        <v>0.6175569921742089</v>
      </c>
      <c r="F207">
        <v>1.3076923076923077</v>
      </c>
      <c r="G207" s="1" t="str">
        <f t="shared" si="70"/>
        <v/>
      </c>
      <c r="H207" s="1" t="str">
        <f t="shared" si="71"/>
        <v/>
      </c>
      <c r="I207" s="1" t="str">
        <f t="shared" si="72"/>
        <v/>
      </c>
      <c r="J207" s="1" t="str">
        <f t="shared" si="73"/>
        <v/>
      </c>
      <c r="K207" s="1" t="str">
        <f t="shared" si="74"/>
        <v/>
      </c>
      <c r="L207" s="1">
        <f t="shared" si="75"/>
        <v>0.6175569921742089</v>
      </c>
    </row>
    <row r="208" spans="1:12">
      <c r="A208" t="s">
        <v>65</v>
      </c>
      <c r="B208">
        <v>6</v>
      </c>
      <c r="C208" t="str">
        <f t="shared" si="69"/>
        <v>test.client_6_</v>
      </c>
      <c r="D208">
        <v>10</v>
      </c>
      <c r="E208">
        <v>1</v>
      </c>
      <c r="F208">
        <v>1.307696153846154</v>
      </c>
      <c r="G208" s="1" t="str">
        <f t="shared" si="70"/>
        <v/>
      </c>
      <c r="H208" s="1" t="str">
        <f t="shared" si="71"/>
        <v/>
      </c>
      <c r="I208" s="1" t="str">
        <f t="shared" si="72"/>
        <v/>
      </c>
      <c r="J208" s="1" t="str">
        <f t="shared" si="73"/>
        <v/>
      </c>
      <c r="K208" s="1" t="str">
        <f t="shared" si="74"/>
        <v/>
      </c>
      <c r="L208" s="1">
        <f t="shared" si="75"/>
        <v>1</v>
      </c>
    </row>
    <row r="209" spans="1:12">
      <c r="A209" t="s">
        <v>65</v>
      </c>
      <c r="B209">
        <v>7</v>
      </c>
      <c r="C209" t="str">
        <f t="shared" si="69"/>
        <v>test.client_7_</v>
      </c>
      <c r="D209">
        <v>11</v>
      </c>
      <c r="E209">
        <v>8.4112149532710276E-2</v>
      </c>
      <c r="F209">
        <v>1</v>
      </c>
      <c r="G209" s="1" t="str">
        <f t="shared" si="70"/>
        <v/>
      </c>
      <c r="H209" s="1" t="str">
        <f t="shared" si="71"/>
        <v/>
      </c>
      <c r="I209" s="1" t="str">
        <f t="shared" si="72"/>
        <v/>
      </c>
      <c r="J209" s="1" t="str">
        <f t="shared" si="73"/>
        <v/>
      </c>
      <c r="K209" s="1">
        <f t="shared" si="74"/>
        <v>8.4112149532710276E-2</v>
      </c>
      <c r="L209" s="1" t="str">
        <f t="shared" si="75"/>
        <v/>
      </c>
    </row>
    <row r="210" spans="1:12">
      <c r="A210" t="s">
        <v>65</v>
      </c>
      <c r="B210">
        <v>7</v>
      </c>
      <c r="C210" t="str">
        <f t="shared" si="69"/>
        <v>test.client_7_</v>
      </c>
      <c r="D210">
        <v>12</v>
      </c>
      <c r="E210">
        <v>9.5327102803738323E-2</v>
      </c>
      <c r="F210">
        <v>1.1666666666666667</v>
      </c>
      <c r="G210" s="1" t="str">
        <f t="shared" si="70"/>
        <v/>
      </c>
      <c r="H210" s="1" t="str">
        <f t="shared" si="71"/>
        <v/>
      </c>
      <c r="I210" s="1" t="str">
        <f t="shared" si="72"/>
        <v/>
      </c>
      <c r="J210" s="1" t="str">
        <f t="shared" si="73"/>
        <v/>
      </c>
      <c r="K210" s="1" t="str">
        <f t="shared" si="74"/>
        <v/>
      </c>
      <c r="L210" s="1">
        <f t="shared" si="75"/>
        <v>9.5327102803738323E-2</v>
      </c>
    </row>
    <row r="211" spans="1:12">
      <c r="A211" t="s">
        <v>65</v>
      </c>
      <c r="B211">
        <v>7</v>
      </c>
      <c r="C211" t="str">
        <f t="shared" si="69"/>
        <v>test.client_7_</v>
      </c>
      <c r="D211">
        <v>13</v>
      </c>
      <c r="E211">
        <v>0.11775700934579439</v>
      </c>
      <c r="F211">
        <v>1.1666833333333333</v>
      </c>
      <c r="G211" s="1" t="str">
        <f t="shared" si="70"/>
        <v/>
      </c>
      <c r="H211" s="1" t="str">
        <f t="shared" si="71"/>
        <v/>
      </c>
      <c r="I211" s="1" t="str">
        <f t="shared" si="72"/>
        <v/>
      </c>
      <c r="J211" s="1" t="str">
        <f t="shared" si="73"/>
        <v/>
      </c>
      <c r="K211" s="1" t="str">
        <f t="shared" si="74"/>
        <v/>
      </c>
      <c r="L211" s="1">
        <f t="shared" si="75"/>
        <v>0.11775700934579439</v>
      </c>
    </row>
    <row r="212" spans="1:12">
      <c r="A212" t="s">
        <v>65</v>
      </c>
      <c r="B212">
        <v>7</v>
      </c>
      <c r="C212" t="str">
        <f t="shared" si="69"/>
        <v>test.client_7_</v>
      </c>
      <c r="D212">
        <v>1</v>
      </c>
      <c r="E212">
        <v>0.11775700934579439</v>
      </c>
      <c r="F212">
        <v>1.16670005</v>
      </c>
      <c r="G212" s="1" t="str">
        <f t="shared" si="70"/>
        <v/>
      </c>
      <c r="H212" s="1" t="str">
        <f t="shared" si="71"/>
        <v/>
      </c>
      <c r="I212" s="1" t="str">
        <f t="shared" si="72"/>
        <v/>
      </c>
      <c r="J212" s="1" t="str">
        <f t="shared" si="73"/>
        <v/>
      </c>
      <c r="K212" s="1" t="str">
        <f t="shared" si="74"/>
        <v/>
      </c>
      <c r="L212" s="1">
        <f t="shared" si="75"/>
        <v>0.11775700934579439</v>
      </c>
    </row>
    <row r="213" spans="1:12">
      <c r="A213" t="s">
        <v>65</v>
      </c>
      <c r="B213">
        <v>7</v>
      </c>
      <c r="C213" t="str">
        <f t="shared" si="69"/>
        <v>test.client_7_</v>
      </c>
      <c r="D213">
        <v>2</v>
      </c>
      <c r="E213">
        <v>1</v>
      </c>
      <c r="F213">
        <v>2.1666666666666665</v>
      </c>
      <c r="G213" s="1" t="str">
        <f t="shared" si="70"/>
        <v/>
      </c>
      <c r="H213" s="1" t="str">
        <f t="shared" si="71"/>
        <v/>
      </c>
      <c r="I213" s="1" t="str">
        <f t="shared" si="72"/>
        <v/>
      </c>
      <c r="J213" s="1" t="str">
        <f t="shared" si="73"/>
        <v/>
      </c>
      <c r="K213" s="1" t="str">
        <f t="shared" si="74"/>
        <v/>
      </c>
      <c r="L213" s="1">
        <f t="shared" si="75"/>
        <v>1</v>
      </c>
    </row>
    <row r="214" spans="1:12">
      <c r="A214" t="s">
        <v>65</v>
      </c>
      <c r="B214">
        <v>7</v>
      </c>
      <c r="C214" t="str">
        <f t="shared" si="69"/>
        <v>test.client_7_</v>
      </c>
      <c r="D214">
        <v>3</v>
      </c>
      <c r="E214">
        <v>1</v>
      </c>
      <c r="F214">
        <v>2.1666833333333333</v>
      </c>
      <c r="G214" s="1" t="str">
        <f t="shared" si="70"/>
        <v/>
      </c>
      <c r="H214" s="1" t="str">
        <f t="shared" si="71"/>
        <v/>
      </c>
      <c r="I214" s="1" t="str">
        <f t="shared" si="72"/>
        <v/>
      </c>
      <c r="J214" s="1" t="str">
        <f t="shared" si="73"/>
        <v/>
      </c>
      <c r="K214" s="1" t="str">
        <f t="shared" si="74"/>
        <v/>
      </c>
      <c r="L214" s="1">
        <f t="shared" si="75"/>
        <v>1</v>
      </c>
    </row>
    <row r="215" spans="1:12">
      <c r="A215" t="s">
        <v>71</v>
      </c>
      <c r="B215">
        <v>3</v>
      </c>
      <c r="C215" t="str">
        <f t="shared" si="69"/>
        <v>test.GeoEngine_3_</v>
      </c>
      <c r="D215">
        <v>4</v>
      </c>
      <c r="E215">
        <v>4.4161358811040337E-2</v>
      </c>
      <c r="F215">
        <v>0.58333333333333337</v>
      </c>
      <c r="G215" s="1" t="str">
        <f t="shared" si="70"/>
        <v/>
      </c>
      <c r="H215" s="1" t="str">
        <f t="shared" si="71"/>
        <v/>
      </c>
      <c r="I215" s="1">
        <f t="shared" si="72"/>
        <v>4.4161358811040337E-2</v>
      </c>
      <c r="J215" s="1" t="str">
        <f t="shared" si="73"/>
        <v/>
      </c>
      <c r="K215" s="1" t="str">
        <f t="shared" si="74"/>
        <v/>
      </c>
      <c r="L215" s="1" t="str">
        <f t="shared" si="75"/>
        <v/>
      </c>
    </row>
    <row r="216" spans="1:12">
      <c r="A216" t="s">
        <v>71</v>
      </c>
      <c r="B216">
        <v>3</v>
      </c>
      <c r="C216" t="str">
        <f t="shared" si="69"/>
        <v>test.GeoEngine_3_</v>
      </c>
      <c r="D216">
        <v>5</v>
      </c>
      <c r="E216">
        <v>0.70276008492568998</v>
      </c>
      <c r="F216">
        <v>1.4166666666666667</v>
      </c>
      <c r="G216" s="1" t="str">
        <f t="shared" si="70"/>
        <v/>
      </c>
      <c r="H216" s="1" t="str">
        <f t="shared" si="71"/>
        <v/>
      </c>
      <c r="I216" s="1" t="str">
        <f t="shared" si="72"/>
        <v/>
      </c>
      <c r="J216" s="1" t="str">
        <f t="shared" si="73"/>
        <v/>
      </c>
      <c r="K216" s="1" t="str">
        <f t="shared" si="74"/>
        <v/>
      </c>
      <c r="L216" s="1">
        <f t="shared" si="75"/>
        <v>0.70276008492568998</v>
      </c>
    </row>
    <row r="217" spans="1:12">
      <c r="A217" t="s">
        <v>71</v>
      </c>
      <c r="B217">
        <v>3</v>
      </c>
      <c r="C217" t="str">
        <f t="shared" si="69"/>
        <v>test.GeoEngine_3_</v>
      </c>
      <c r="D217">
        <v>6</v>
      </c>
      <c r="E217">
        <v>1</v>
      </c>
      <c r="F217">
        <v>1.4166749999999999</v>
      </c>
      <c r="G217" s="1" t="str">
        <f t="shared" si="70"/>
        <v/>
      </c>
      <c r="H217" s="1" t="str">
        <f t="shared" si="71"/>
        <v/>
      </c>
      <c r="I217" s="1" t="str">
        <f t="shared" si="72"/>
        <v/>
      </c>
      <c r="J217" s="1" t="str">
        <f t="shared" si="73"/>
        <v/>
      </c>
      <c r="K217" s="1" t="str">
        <f t="shared" si="74"/>
        <v/>
      </c>
      <c r="L217" s="1">
        <f t="shared" si="75"/>
        <v>1</v>
      </c>
    </row>
    <row r="218" spans="1:12">
      <c r="A218" t="s">
        <v>71</v>
      </c>
      <c r="B218">
        <v>7</v>
      </c>
      <c r="C218" t="str">
        <f t="shared" si="69"/>
        <v>test.GeoEngine_7_</v>
      </c>
      <c r="D218">
        <v>7</v>
      </c>
      <c r="E218">
        <v>7.4448529411764705E-2</v>
      </c>
      <c r="F218">
        <v>0.61538461538461542</v>
      </c>
      <c r="G218" s="1" t="str">
        <f t="shared" si="70"/>
        <v/>
      </c>
      <c r="H218" s="1" t="str">
        <f t="shared" si="71"/>
        <v/>
      </c>
      <c r="I218" s="1" t="str">
        <f t="shared" si="72"/>
        <v/>
      </c>
      <c r="J218" s="1">
        <f t="shared" si="73"/>
        <v>7.4448529411764705E-2</v>
      </c>
      <c r="K218" s="1" t="str">
        <f t="shared" si="74"/>
        <v/>
      </c>
      <c r="L218" s="1" t="str">
        <f t="shared" si="75"/>
        <v/>
      </c>
    </row>
    <row r="219" spans="1:12">
      <c r="A219" t="s">
        <v>71</v>
      </c>
      <c r="B219">
        <v>7</v>
      </c>
      <c r="C219" t="str">
        <f t="shared" si="69"/>
        <v>test.GeoEngine_7_</v>
      </c>
      <c r="D219">
        <v>8</v>
      </c>
      <c r="E219">
        <v>0.11795343137254902</v>
      </c>
      <c r="F219">
        <v>0.69230769230769229</v>
      </c>
      <c r="G219" s="1" t="str">
        <f t="shared" si="70"/>
        <v/>
      </c>
      <c r="H219" s="1" t="str">
        <f t="shared" si="71"/>
        <v/>
      </c>
      <c r="I219" s="1" t="str">
        <f t="shared" si="72"/>
        <v/>
      </c>
      <c r="J219" s="1">
        <f t="shared" si="73"/>
        <v>0.11795343137254902</v>
      </c>
      <c r="K219" s="1" t="str">
        <f t="shared" si="74"/>
        <v/>
      </c>
      <c r="L219" s="1" t="str">
        <f t="shared" si="75"/>
        <v/>
      </c>
    </row>
    <row r="220" spans="1:12">
      <c r="A220" t="s">
        <v>71</v>
      </c>
      <c r="B220">
        <v>7</v>
      </c>
      <c r="C220" t="str">
        <f t="shared" si="69"/>
        <v>test.GeoEngine_7_</v>
      </c>
      <c r="D220">
        <v>9</v>
      </c>
      <c r="E220">
        <v>0.11917892156862746</v>
      </c>
      <c r="F220">
        <v>0.69231538461538455</v>
      </c>
      <c r="G220" s="1" t="str">
        <f t="shared" si="70"/>
        <v/>
      </c>
      <c r="H220" s="1" t="str">
        <f t="shared" si="71"/>
        <v/>
      </c>
      <c r="I220" s="1" t="str">
        <f t="shared" si="72"/>
        <v/>
      </c>
      <c r="J220" s="1">
        <f t="shared" si="73"/>
        <v>0.11917892156862746</v>
      </c>
      <c r="K220" s="1" t="str">
        <f t="shared" si="74"/>
        <v/>
      </c>
      <c r="L220" s="1" t="str">
        <f t="shared" si="75"/>
        <v/>
      </c>
    </row>
    <row r="221" spans="1:12">
      <c r="A221" t="s">
        <v>71</v>
      </c>
      <c r="B221">
        <v>7</v>
      </c>
      <c r="C221" t="str">
        <f t="shared" si="69"/>
        <v>test.GeoEngine_7_</v>
      </c>
      <c r="D221">
        <v>10</v>
      </c>
      <c r="E221">
        <v>0.12285539215686274</v>
      </c>
      <c r="F221">
        <v>0.76923076923076927</v>
      </c>
      <c r="G221" s="1" t="str">
        <f t="shared" si="70"/>
        <v/>
      </c>
      <c r="H221" s="1" t="str">
        <f t="shared" si="71"/>
        <v/>
      </c>
      <c r="I221" s="1" t="str">
        <f t="shared" si="72"/>
        <v/>
      </c>
      <c r="J221" s="1">
        <f t="shared" si="73"/>
        <v>0.12285539215686274</v>
      </c>
      <c r="K221" s="1" t="str">
        <f t="shared" si="74"/>
        <v/>
      </c>
      <c r="L221" s="1" t="str">
        <f t="shared" si="75"/>
        <v/>
      </c>
    </row>
    <row r="222" spans="1:12">
      <c r="A222" t="s">
        <v>71</v>
      </c>
      <c r="B222">
        <v>7</v>
      </c>
      <c r="C222" t="str">
        <f t="shared" si="69"/>
        <v>test.GeoEngine_7_</v>
      </c>
      <c r="D222">
        <v>11</v>
      </c>
      <c r="E222">
        <v>0.27879901960784315</v>
      </c>
      <c r="F222">
        <v>0.76923846153846154</v>
      </c>
      <c r="G222" s="1" t="str">
        <f t="shared" si="70"/>
        <v/>
      </c>
      <c r="H222" s="1" t="str">
        <f t="shared" si="71"/>
        <v/>
      </c>
      <c r="I222" s="1" t="str">
        <f t="shared" si="72"/>
        <v/>
      </c>
      <c r="J222" s="1">
        <f t="shared" si="73"/>
        <v>0.27879901960784315</v>
      </c>
      <c r="K222" s="1" t="str">
        <f t="shared" si="74"/>
        <v/>
      </c>
      <c r="L222" s="1" t="str">
        <f t="shared" si="75"/>
        <v/>
      </c>
    </row>
    <row r="223" spans="1:12">
      <c r="A223" t="s">
        <v>71</v>
      </c>
      <c r="B223">
        <v>7</v>
      </c>
      <c r="C223" t="str">
        <f t="shared" si="69"/>
        <v>test.GeoEngine_7_</v>
      </c>
      <c r="D223">
        <v>12</v>
      </c>
      <c r="E223">
        <v>0.29626225490196079</v>
      </c>
      <c r="F223">
        <v>0.84615384615384615</v>
      </c>
      <c r="G223" s="1" t="str">
        <f t="shared" si="70"/>
        <v/>
      </c>
      <c r="H223" s="1" t="str">
        <f t="shared" si="71"/>
        <v/>
      </c>
      <c r="I223" s="1" t="str">
        <f t="shared" si="72"/>
        <v/>
      </c>
      <c r="J223" s="1" t="str">
        <f t="shared" si="73"/>
        <v/>
      </c>
      <c r="K223" s="1">
        <f t="shared" si="74"/>
        <v>0.29626225490196079</v>
      </c>
      <c r="L223" s="1" t="str">
        <f t="shared" si="75"/>
        <v/>
      </c>
    </row>
    <row r="224" spans="1:12">
      <c r="A224" t="s">
        <v>71</v>
      </c>
      <c r="B224">
        <v>7</v>
      </c>
      <c r="C224" t="str">
        <f t="shared" si="69"/>
        <v>test.GeoEngine_7_</v>
      </c>
      <c r="D224">
        <v>13</v>
      </c>
      <c r="E224">
        <v>0.59497549019607843</v>
      </c>
      <c r="F224">
        <v>1.0769230769230769</v>
      </c>
      <c r="G224" s="1" t="str">
        <f t="shared" si="70"/>
        <v/>
      </c>
      <c r="H224" s="1" t="str">
        <f t="shared" si="71"/>
        <v/>
      </c>
      <c r="I224" s="1" t="str">
        <f t="shared" si="72"/>
        <v/>
      </c>
      <c r="J224" s="1" t="str">
        <f t="shared" si="73"/>
        <v/>
      </c>
      <c r="K224" s="1">
        <f t="shared" si="74"/>
        <v>0.59497549019607843</v>
      </c>
      <c r="L224" s="1" t="str">
        <f t="shared" si="75"/>
        <v/>
      </c>
    </row>
    <row r="225" spans="1:12">
      <c r="A225" t="s">
        <v>71</v>
      </c>
      <c r="B225">
        <v>7</v>
      </c>
      <c r="C225" t="str">
        <f t="shared" si="69"/>
        <v>test.GeoEngine_7_</v>
      </c>
      <c r="D225">
        <v>14</v>
      </c>
      <c r="E225">
        <v>0.62438725490196079</v>
      </c>
      <c r="F225">
        <v>1.2307692307692308</v>
      </c>
      <c r="G225" s="1" t="str">
        <f t="shared" si="70"/>
        <v/>
      </c>
      <c r="H225" s="1" t="str">
        <f t="shared" si="71"/>
        <v/>
      </c>
      <c r="I225" s="1" t="str">
        <f t="shared" si="72"/>
        <v/>
      </c>
      <c r="J225" s="1" t="str">
        <f t="shared" si="73"/>
        <v/>
      </c>
      <c r="K225" s="1" t="str">
        <f t="shared" si="74"/>
        <v/>
      </c>
      <c r="L225" s="1">
        <f t="shared" si="75"/>
        <v>0.62438725490196079</v>
      </c>
    </row>
    <row r="226" spans="1:12">
      <c r="A226" t="s">
        <v>71</v>
      </c>
      <c r="B226">
        <v>7</v>
      </c>
      <c r="C226" t="str">
        <f t="shared" si="69"/>
        <v>test.GeoEngine_7_</v>
      </c>
      <c r="D226">
        <v>15</v>
      </c>
      <c r="E226">
        <v>0.97610294117647056</v>
      </c>
      <c r="F226">
        <v>1.4615384615384615</v>
      </c>
      <c r="G226" s="1" t="str">
        <f t="shared" si="70"/>
        <v/>
      </c>
      <c r="H226" s="1" t="str">
        <f t="shared" si="71"/>
        <v/>
      </c>
      <c r="I226" s="1" t="str">
        <f t="shared" si="72"/>
        <v/>
      </c>
      <c r="J226" s="1" t="str">
        <f t="shared" si="73"/>
        <v/>
      </c>
      <c r="K226" s="1" t="str">
        <f t="shared" si="74"/>
        <v/>
      </c>
      <c r="L226" s="1">
        <f t="shared" si="75"/>
        <v>0.97610294117647056</v>
      </c>
    </row>
    <row r="227" spans="1:12">
      <c r="A227" t="s">
        <v>71</v>
      </c>
      <c r="B227">
        <v>7</v>
      </c>
      <c r="C227" t="str">
        <f t="shared" si="69"/>
        <v>test.GeoEngine_7_</v>
      </c>
      <c r="D227">
        <v>16</v>
      </c>
      <c r="E227">
        <v>1</v>
      </c>
      <c r="F227">
        <v>1.5384615384615385</v>
      </c>
      <c r="G227" s="1" t="str">
        <f t="shared" si="70"/>
        <v/>
      </c>
      <c r="H227" s="1" t="str">
        <f t="shared" si="71"/>
        <v/>
      </c>
      <c r="I227" s="1" t="str">
        <f t="shared" si="72"/>
        <v/>
      </c>
      <c r="J227" s="1" t="str">
        <f t="shared" si="73"/>
        <v/>
      </c>
      <c r="K227" s="1" t="str">
        <f t="shared" si="74"/>
        <v/>
      </c>
      <c r="L227" s="1">
        <f t="shared" si="75"/>
        <v>1</v>
      </c>
    </row>
    <row r="228" spans="1:12">
      <c r="A228" t="s">
        <v>71</v>
      </c>
      <c r="B228">
        <v>8</v>
      </c>
      <c r="C228" t="str">
        <f t="shared" si="69"/>
        <v>test.GeoEngine_8_</v>
      </c>
      <c r="D228">
        <v>17</v>
      </c>
      <c r="E228">
        <v>4.0228245363766048E-2</v>
      </c>
      <c r="F228">
        <v>0.66666666666666663</v>
      </c>
      <c r="G228" s="1" t="str">
        <f t="shared" si="70"/>
        <v/>
      </c>
      <c r="H228" s="1" t="str">
        <f t="shared" si="71"/>
        <v/>
      </c>
      <c r="I228" s="1" t="str">
        <f t="shared" si="72"/>
        <v/>
      </c>
      <c r="J228" s="1">
        <f t="shared" si="73"/>
        <v>4.0228245363766048E-2</v>
      </c>
      <c r="K228" s="1" t="str">
        <f t="shared" si="74"/>
        <v/>
      </c>
      <c r="L228" s="1" t="str">
        <f t="shared" si="75"/>
        <v/>
      </c>
    </row>
    <row r="229" spans="1:12">
      <c r="A229" t="s">
        <v>71</v>
      </c>
      <c r="B229">
        <v>8</v>
      </c>
      <c r="C229" t="str">
        <f t="shared" si="69"/>
        <v>test.GeoEngine_8_</v>
      </c>
      <c r="D229">
        <v>1</v>
      </c>
      <c r="E229">
        <v>0.14208273894436518</v>
      </c>
      <c r="F229">
        <v>0.75</v>
      </c>
      <c r="G229" s="1" t="str">
        <f t="shared" si="70"/>
        <v/>
      </c>
      <c r="H229" s="1" t="str">
        <f t="shared" si="71"/>
        <v/>
      </c>
      <c r="I229" s="1" t="str">
        <f t="shared" si="72"/>
        <v/>
      </c>
      <c r="J229" s="1">
        <f t="shared" si="73"/>
        <v>0.14208273894436518</v>
      </c>
      <c r="K229" s="1" t="str">
        <f t="shared" si="74"/>
        <v/>
      </c>
      <c r="L229" s="1" t="str">
        <f t="shared" si="75"/>
        <v/>
      </c>
    </row>
    <row r="230" spans="1:12">
      <c r="A230" t="s">
        <v>71</v>
      </c>
      <c r="B230">
        <v>8</v>
      </c>
      <c r="C230" t="str">
        <f t="shared" si="69"/>
        <v>test.GeoEngine_8_</v>
      </c>
      <c r="D230">
        <v>2</v>
      </c>
      <c r="E230">
        <v>0.17574893009985734</v>
      </c>
      <c r="F230">
        <v>0.83333333333333337</v>
      </c>
      <c r="G230" s="1" t="str">
        <f t="shared" si="70"/>
        <v/>
      </c>
      <c r="H230" s="1" t="str">
        <f t="shared" si="71"/>
        <v/>
      </c>
      <c r="I230" s="1" t="str">
        <f t="shared" si="72"/>
        <v/>
      </c>
      <c r="J230" s="1" t="str">
        <f t="shared" si="73"/>
        <v/>
      </c>
      <c r="K230" s="1">
        <f t="shared" si="74"/>
        <v>0.17574893009985734</v>
      </c>
      <c r="L230" s="1" t="str">
        <f t="shared" si="75"/>
        <v/>
      </c>
    </row>
    <row r="231" spans="1:12">
      <c r="A231" t="s">
        <v>71</v>
      </c>
      <c r="B231">
        <v>8</v>
      </c>
      <c r="C231" t="str">
        <f t="shared" si="69"/>
        <v>test.GeoEngine_8_</v>
      </c>
      <c r="D231">
        <v>3</v>
      </c>
      <c r="E231">
        <v>0.37517831669044222</v>
      </c>
      <c r="F231">
        <v>1</v>
      </c>
      <c r="G231" s="1" t="str">
        <f t="shared" si="70"/>
        <v/>
      </c>
      <c r="H231" s="1" t="str">
        <f t="shared" si="71"/>
        <v/>
      </c>
      <c r="I231" s="1" t="str">
        <f t="shared" si="72"/>
        <v/>
      </c>
      <c r="J231" s="1" t="str">
        <f t="shared" si="73"/>
        <v/>
      </c>
      <c r="K231" s="1">
        <f t="shared" si="74"/>
        <v>0.37517831669044222</v>
      </c>
      <c r="L231" s="1" t="str">
        <f t="shared" si="75"/>
        <v/>
      </c>
    </row>
    <row r="232" spans="1:12">
      <c r="A232" t="s">
        <v>71</v>
      </c>
      <c r="B232">
        <v>8</v>
      </c>
      <c r="C232" t="str">
        <f t="shared" si="69"/>
        <v>test.GeoEngine_8_</v>
      </c>
      <c r="D232">
        <v>4</v>
      </c>
      <c r="E232">
        <v>0.37517831669044222</v>
      </c>
      <c r="F232">
        <v>1.1666666666666667</v>
      </c>
      <c r="G232" s="1" t="str">
        <f t="shared" si="70"/>
        <v/>
      </c>
      <c r="H232" s="1" t="str">
        <f t="shared" si="71"/>
        <v/>
      </c>
      <c r="I232" s="1" t="str">
        <f t="shared" si="72"/>
        <v/>
      </c>
      <c r="J232" s="1" t="str">
        <f t="shared" si="73"/>
        <v/>
      </c>
      <c r="K232" s="1" t="str">
        <f t="shared" si="74"/>
        <v/>
      </c>
      <c r="L232" s="1">
        <f t="shared" si="75"/>
        <v>0.37517831669044222</v>
      </c>
    </row>
    <row r="233" spans="1:12">
      <c r="A233" t="s">
        <v>71</v>
      </c>
      <c r="B233">
        <v>8</v>
      </c>
      <c r="C233" t="str">
        <f t="shared" si="69"/>
        <v>test.GeoEngine_8_</v>
      </c>
      <c r="D233">
        <v>5</v>
      </c>
      <c r="E233">
        <v>0.88930099857346645</v>
      </c>
      <c r="F233">
        <v>1.6666666666666667</v>
      </c>
      <c r="G233" s="1" t="str">
        <f t="shared" si="70"/>
        <v/>
      </c>
      <c r="H233" s="1" t="str">
        <f t="shared" si="71"/>
        <v/>
      </c>
      <c r="I233" s="1" t="str">
        <f t="shared" si="72"/>
        <v/>
      </c>
      <c r="J233" s="1" t="str">
        <f t="shared" si="73"/>
        <v/>
      </c>
      <c r="K233" s="1" t="str">
        <f t="shared" si="74"/>
        <v/>
      </c>
      <c r="L233" s="1">
        <f t="shared" si="75"/>
        <v>0.88930099857346645</v>
      </c>
    </row>
    <row r="234" spans="1:12">
      <c r="A234" t="s">
        <v>71</v>
      </c>
      <c r="B234">
        <v>8</v>
      </c>
      <c r="C234" t="str">
        <f t="shared" si="69"/>
        <v>test.GeoEngine_8_</v>
      </c>
      <c r="D234">
        <v>6</v>
      </c>
      <c r="E234">
        <v>0.93380884450784596</v>
      </c>
      <c r="F234">
        <v>1.6666749999999999</v>
      </c>
      <c r="G234" s="1" t="str">
        <f t="shared" si="70"/>
        <v/>
      </c>
      <c r="H234" s="1" t="str">
        <f t="shared" si="71"/>
        <v/>
      </c>
      <c r="I234" s="1" t="str">
        <f t="shared" si="72"/>
        <v/>
      </c>
      <c r="J234" s="1" t="str">
        <f t="shared" si="73"/>
        <v/>
      </c>
      <c r="K234" s="1" t="str">
        <f t="shared" si="74"/>
        <v/>
      </c>
      <c r="L234" s="1">
        <f t="shared" si="75"/>
        <v>0.93380884450784596</v>
      </c>
    </row>
    <row r="235" spans="1:12">
      <c r="A235" t="s">
        <v>71</v>
      </c>
      <c r="B235">
        <v>8</v>
      </c>
      <c r="C235" t="str">
        <f t="shared" si="69"/>
        <v>test.GeoEngine_8_</v>
      </c>
      <c r="D235">
        <v>7</v>
      </c>
      <c r="E235">
        <v>0.94636233951497861</v>
      </c>
      <c r="F235">
        <v>1.75</v>
      </c>
      <c r="G235" s="1" t="str">
        <f t="shared" si="70"/>
        <v/>
      </c>
      <c r="H235" s="1" t="str">
        <f t="shared" si="71"/>
        <v/>
      </c>
      <c r="I235" s="1" t="str">
        <f t="shared" si="72"/>
        <v/>
      </c>
      <c r="J235" s="1" t="str">
        <f t="shared" si="73"/>
        <v/>
      </c>
      <c r="K235" s="1" t="str">
        <f t="shared" si="74"/>
        <v/>
      </c>
      <c r="L235" s="1">
        <f t="shared" si="75"/>
        <v>0.94636233951497861</v>
      </c>
    </row>
    <row r="236" spans="1:12">
      <c r="A236" t="s">
        <v>71</v>
      </c>
      <c r="B236">
        <v>8</v>
      </c>
      <c r="C236" t="str">
        <f t="shared" si="69"/>
        <v>test.GeoEngine_8_</v>
      </c>
      <c r="D236">
        <v>1</v>
      </c>
      <c r="E236">
        <v>0.95920114122681888</v>
      </c>
      <c r="F236">
        <v>1.8333333333333333</v>
      </c>
      <c r="G236" s="1" t="str">
        <f t="shared" si="70"/>
        <v/>
      </c>
      <c r="H236" s="1" t="str">
        <f t="shared" si="71"/>
        <v/>
      </c>
      <c r="I236" s="1" t="str">
        <f t="shared" si="72"/>
        <v/>
      </c>
      <c r="J236" s="1" t="str">
        <f t="shared" si="73"/>
        <v/>
      </c>
      <c r="K236" s="1" t="str">
        <f t="shared" si="74"/>
        <v/>
      </c>
      <c r="L236" s="1">
        <f t="shared" si="75"/>
        <v>0.95920114122681888</v>
      </c>
    </row>
    <row r="237" spans="1:12">
      <c r="A237" t="s">
        <v>71</v>
      </c>
      <c r="B237">
        <v>8</v>
      </c>
      <c r="C237" t="str">
        <f t="shared" si="69"/>
        <v>test.GeoEngine_8_</v>
      </c>
      <c r="D237">
        <v>2</v>
      </c>
      <c r="E237">
        <v>0.97289586305278175</v>
      </c>
      <c r="F237">
        <v>1.9166666666666667</v>
      </c>
      <c r="G237" s="1" t="str">
        <f t="shared" si="70"/>
        <v/>
      </c>
      <c r="H237" s="1" t="str">
        <f t="shared" si="71"/>
        <v/>
      </c>
      <c r="I237" s="1" t="str">
        <f t="shared" si="72"/>
        <v/>
      </c>
      <c r="J237" s="1" t="str">
        <f t="shared" si="73"/>
        <v/>
      </c>
      <c r="K237" s="1" t="str">
        <f t="shared" si="74"/>
        <v/>
      </c>
      <c r="L237" s="1">
        <f t="shared" si="75"/>
        <v>0.97289586305278175</v>
      </c>
    </row>
    <row r="238" spans="1:12">
      <c r="A238" t="s">
        <v>71</v>
      </c>
      <c r="B238">
        <v>8</v>
      </c>
      <c r="C238" t="str">
        <f t="shared" si="69"/>
        <v>test.GeoEngine_8_</v>
      </c>
      <c r="D238">
        <v>3</v>
      </c>
      <c r="E238">
        <v>0.98716119828815974</v>
      </c>
      <c r="F238">
        <v>1.9166749999999999</v>
      </c>
      <c r="G238" s="1" t="str">
        <f t="shared" si="70"/>
        <v/>
      </c>
      <c r="H238" s="1" t="str">
        <f t="shared" si="71"/>
        <v/>
      </c>
      <c r="I238" s="1" t="str">
        <f t="shared" si="72"/>
        <v/>
      </c>
      <c r="J238" s="1" t="str">
        <f t="shared" si="73"/>
        <v/>
      </c>
      <c r="K238" s="1" t="str">
        <f t="shared" si="74"/>
        <v/>
      </c>
      <c r="L238" s="1">
        <f t="shared" si="75"/>
        <v>0.98716119828815974</v>
      </c>
    </row>
    <row r="239" spans="1:12">
      <c r="A239" t="s">
        <v>71</v>
      </c>
      <c r="B239">
        <v>8</v>
      </c>
      <c r="C239" t="str">
        <f t="shared" si="69"/>
        <v>test.GeoEngine_8_</v>
      </c>
      <c r="D239">
        <v>4</v>
      </c>
      <c r="E239">
        <v>1</v>
      </c>
      <c r="F239">
        <v>3.5</v>
      </c>
      <c r="G239" s="1" t="str">
        <f t="shared" si="70"/>
        <v/>
      </c>
      <c r="H239" s="1" t="str">
        <f t="shared" si="71"/>
        <v/>
      </c>
      <c r="I239" s="1" t="str">
        <f t="shared" si="72"/>
        <v/>
      </c>
      <c r="J239" s="1" t="str">
        <f t="shared" si="73"/>
        <v/>
      </c>
      <c r="K239" s="1" t="str">
        <f t="shared" si="74"/>
        <v/>
      </c>
      <c r="L239" s="1">
        <f t="shared" si="75"/>
        <v>1</v>
      </c>
    </row>
    <row r="240" spans="1:12">
      <c r="A240" t="s">
        <v>71</v>
      </c>
      <c r="B240">
        <v>9</v>
      </c>
      <c r="C240" t="str">
        <f t="shared" si="69"/>
        <v>test.GeoEngine_9_</v>
      </c>
      <c r="D240">
        <v>5</v>
      </c>
      <c r="E240">
        <v>5.4328358208955221E-2</v>
      </c>
      <c r="F240">
        <v>0.66666666666666663</v>
      </c>
      <c r="G240" s="1" t="str">
        <f t="shared" si="70"/>
        <v/>
      </c>
      <c r="H240" s="1" t="str">
        <f t="shared" si="71"/>
        <v/>
      </c>
      <c r="I240" s="1" t="str">
        <f t="shared" si="72"/>
        <v/>
      </c>
      <c r="J240" s="1">
        <f t="shared" si="73"/>
        <v>5.4328358208955221E-2</v>
      </c>
      <c r="K240" s="1" t="str">
        <f t="shared" si="74"/>
        <v/>
      </c>
      <c r="L240" s="1" t="str">
        <f t="shared" si="75"/>
        <v/>
      </c>
    </row>
    <row r="241" spans="1:12">
      <c r="A241" t="s">
        <v>71</v>
      </c>
      <c r="B241">
        <v>9</v>
      </c>
      <c r="C241" t="str">
        <f t="shared" si="69"/>
        <v>test.GeoEngine_9_</v>
      </c>
      <c r="D241">
        <v>6</v>
      </c>
      <c r="E241">
        <v>0.16417910447761194</v>
      </c>
      <c r="F241">
        <v>0.88888888888888884</v>
      </c>
      <c r="G241" s="1" t="str">
        <f t="shared" si="70"/>
        <v/>
      </c>
      <c r="H241" s="1" t="str">
        <f t="shared" si="71"/>
        <v/>
      </c>
      <c r="I241" s="1" t="str">
        <f t="shared" si="72"/>
        <v/>
      </c>
      <c r="J241" s="1" t="str">
        <f t="shared" si="73"/>
        <v/>
      </c>
      <c r="K241" s="1">
        <f t="shared" si="74"/>
        <v>0.16417910447761194</v>
      </c>
      <c r="L241" s="1" t="str">
        <f t="shared" si="75"/>
        <v/>
      </c>
    </row>
    <row r="242" spans="1:12">
      <c r="A242" t="s">
        <v>71</v>
      </c>
      <c r="B242">
        <v>9</v>
      </c>
      <c r="C242" t="str">
        <f t="shared" si="69"/>
        <v>test.GeoEngine_9_</v>
      </c>
      <c r="D242">
        <v>7</v>
      </c>
      <c r="E242">
        <v>0.52955223880597013</v>
      </c>
      <c r="F242">
        <v>1.1111111111111112</v>
      </c>
      <c r="G242" s="1" t="str">
        <f t="shared" si="70"/>
        <v/>
      </c>
      <c r="H242" s="1" t="str">
        <f t="shared" si="71"/>
        <v/>
      </c>
      <c r="I242" s="1" t="str">
        <f t="shared" si="72"/>
        <v/>
      </c>
      <c r="J242" s="1" t="str">
        <f t="shared" si="73"/>
        <v/>
      </c>
      <c r="K242" s="1" t="str">
        <f t="shared" si="74"/>
        <v/>
      </c>
      <c r="L242" s="1">
        <f t="shared" si="75"/>
        <v>0.52955223880597013</v>
      </c>
    </row>
    <row r="243" spans="1:12">
      <c r="A243" t="s">
        <v>71</v>
      </c>
      <c r="B243">
        <v>9</v>
      </c>
      <c r="C243" t="str">
        <f t="shared" si="69"/>
        <v>test.GeoEngine_9_</v>
      </c>
      <c r="D243">
        <v>8</v>
      </c>
      <c r="E243">
        <v>1</v>
      </c>
      <c r="F243">
        <v>2</v>
      </c>
      <c r="G243" s="1" t="str">
        <f t="shared" si="70"/>
        <v/>
      </c>
      <c r="H243" s="1" t="str">
        <f t="shared" si="71"/>
        <v/>
      </c>
      <c r="I243" s="1" t="str">
        <f t="shared" si="72"/>
        <v/>
      </c>
      <c r="J243" s="1" t="str">
        <f t="shared" si="73"/>
        <v/>
      </c>
      <c r="K243" s="1" t="str">
        <f t="shared" si="74"/>
        <v/>
      </c>
      <c r="L243" s="1">
        <f t="shared" si="75"/>
        <v>1</v>
      </c>
    </row>
    <row r="244" spans="1:12">
      <c r="A244" t="s">
        <v>71</v>
      </c>
      <c r="B244">
        <v>10</v>
      </c>
      <c r="C244" t="str">
        <f t="shared" si="69"/>
        <v>test.GeoEngine_10_</v>
      </c>
      <c r="D244">
        <v>9</v>
      </c>
      <c r="E244">
        <v>0.26241134751773049</v>
      </c>
      <c r="F244">
        <v>1.5</v>
      </c>
      <c r="G244" s="1" t="str">
        <f t="shared" si="70"/>
        <v/>
      </c>
      <c r="H244" s="1" t="str">
        <f t="shared" si="71"/>
        <v/>
      </c>
      <c r="I244" s="1" t="str">
        <f t="shared" si="72"/>
        <v/>
      </c>
      <c r="J244" s="1" t="str">
        <f t="shared" si="73"/>
        <v/>
      </c>
      <c r="K244" s="1" t="str">
        <f t="shared" si="74"/>
        <v/>
      </c>
      <c r="L244" s="1">
        <f t="shared" si="75"/>
        <v>0.26241134751773049</v>
      </c>
    </row>
    <row r="245" spans="1:12">
      <c r="A245" t="s">
        <v>71</v>
      </c>
      <c r="B245">
        <v>10</v>
      </c>
      <c r="C245" t="str">
        <f t="shared" si="69"/>
        <v>test.GeoEngine_10_</v>
      </c>
      <c r="D245">
        <v>10</v>
      </c>
      <c r="E245">
        <v>0.48936170212765956</v>
      </c>
      <c r="F245">
        <v>2</v>
      </c>
      <c r="G245" s="1" t="str">
        <f t="shared" si="70"/>
        <v/>
      </c>
      <c r="H245" s="1" t="str">
        <f t="shared" si="71"/>
        <v/>
      </c>
      <c r="I245" s="1" t="str">
        <f t="shared" si="72"/>
        <v/>
      </c>
      <c r="J245" s="1" t="str">
        <f t="shared" si="73"/>
        <v/>
      </c>
      <c r="K245" s="1" t="str">
        <f t="shared" si="74"/>
        <v/>
      </c>
      <c r="L245" s="1">
        <f t="shared" si="75"/>
        <v>0.48936170212765956</v>
      </c>
    </row>
    <row r="246" spans="1:12">
      <c r="A246" t="s">
        <v>71</v>
      </c>
      <c r="B246">
        <v>10</v>
      </c>
      <c r="C246" t="str">
        <f t="shared" si="69"/>
        <v>test.GeoEngine_10_</v>
      </c>
      <c r="D246">
        <v>11</v>
      </c>
      <c r="E246">
        <v>0.58156028368794321</v>
      </c>
      <c r="F246">
        <v>2.0000499999999999</v>
      </c>
      <c r="G246" s="1" t="str">
        <f t="shared" si="70"/>
        <v/>
      </c>
      <c r="H246" s="1" t="str">
        <f t="shared" si="71"/>
        <v/>
      </c>
      <c r="I246" s="1" t="str">
        <f t="shared" si="72"/>
        <v/>
      </c>
      <c r="J246" s="1" t="str">
        <f t="shared" si="73"/>
        <v/>
      </c>
      <c r="K246" s="1" t="str">
        <f t="shared" si="74"/>
        <v/>
      </c>
      <c r="L246" s="1">
        <f t="shared" si="75"/>
        <v>0.58156028368794321</v>
      </c>
    </row>
    <row r="247" spans="1:12">
      <c r="A247" t="s">
        <v>71</v>
      </c>
      <c r="B247">
        <v>10</v>
      </c>
      <c r="C247" t="str">
        <f t="shared" si="69"/>
        <v>test.GeoEngine_10_</v>
      </c>
      <c r="D247">
        <v>12</v>
      </c>
      <c r="E247">
        <v>0.58156028368794321</v>
      </c>
      <c r="F247">
        <v>2.0001001500000002</v>
      </c>
      <c r="G247" s="1" t="str">
        <f t="shared" si="70"/>
        <v/>
      </c>
      <c r="H247" s="1" t="str">
        <f t="shared" si="71"/>
        <v/>
      </c>
      <c r="I247" s="1" t="str">
        <f t="shared" si="72"/>
        <v/>
      </c>
      <c r="J247" s="1" t="str">
        <f t="shared" si="73"/>
        <v/>
      </c>
      <c r="K247" s="1" t="str">
        <f t="shared" si="74"/>
        <v/>
      </c>
      <c r="L247" s="1">
        <f t="shared" si="75"/>
        <v>0.58156028368794321</v>
      </c>
    </row>
    <row r="248" spans="1:12">
      <c r="A248" t="s">
        <v>71</v>
      </c>
      <c r="B248">
        <v>10</v>
      </c>
      <c r="C248" t="str">
        <f t="shared" si="69"/>
        <v>test.GeoEngine_10_</v>
      </c>
      <c r="D248">
        <v>13</v>
      </c>
      <c r="E248">
        <v>0.68085106382978722</v>
      </c>
      <c r="F248">
        <v>2.0001502000000002</v>
      </c>
      <c r="G248" s="1" t="str">
        <f t="shared" si="70"/>
        <v/>
      </c>
      <c r="H248" s="1" t="str">
        <f t="shared" si="71"/>
        <v/>
      </c>
      <c r="I248" s="1" t="str">
        <f t="shared" si="72"/>
        <v/>
      </c>
      <c r="J248" s="1" t="str">
        <f t="shared" si="73"/>
        <v/>
      </c>
      <c r="K248" s="1" t="str">
        <f t="shared" si="74"/>
        <v/>
      </c>
      <c r="L248" s="1">
        <f t="shared" si="75"/>
        <v>0.68085106382978722</v>
      </c>
    </row>
    <row r="249" spans="1:12">
      <c r="A249" t="s">
        <v>71</v>
      </c>
      <c r="B249">
        <v>10</v>
      </c>
      <c r="C249" t="str">
        <f t="shared" si="69"/>
        <v>test.GeoEngine_10_</v>
      </c>
      <c r="D249">
        <v>14</v>
      </c>
      <c r="E249">
        <v>0.72340425531914898</v>
      </c>
      <c r="F249">
        <v>2.0002002499999998</v>
      </c>
      <c r="G249" s="1" t="str">
        <f t="shared" si="70"/>
        <v/>
      </c>
      <c r="H249" s="1" t="str">
        <f t="shared" si="71"/>
        <v/>
      </c>
      <c r="I249" s="1" t="str">
        <f t="shared" si="72"/>
        <v/>
      </c>
      <c r="J249" s="1" t="str">
        <f t="shared" si="73"/>
        <v/>
      </c>
      <c r="K249" s="1" t="str">
        <f t="shared" si="74"/>
        <v/>
      </c>
      <c r="L249" s="1">
        <f t="shared" si="75"/>
        <v>0.72340425531914898</v>
      </c>
    </row>
    <row r="250" spans="1:12">
      <c r="A250" t="s">
        <v>71</v>
      </c>
      <c r="B250">
        <v>10</v>
      </c>
      <c r="C250" t="str">
        <f t="shared" si="69"/>
        <v>test.GeoEngine_10_</v>
      </c>
      <c r="D250">
        <v>15</v>
      </c>
      <c r="E250">
        <v>0.75886524822695034</v>
      </c>
      <c r="F250">
        <v>2.00025035</v>
      </c>
      <c r="G250" s="1" t="str">
        <f t="shared" si="70"/>
        <v/>
      </c>
      <c r="H250" s="1" t="str">
        <f t="shared" si="71"/>
        <v/>
      </c>
      <c r="I250" s="1" t="str">
        <f t="shared" si="72"/>
        <v/>
      </c>
      <c r="J250" s="1" t="str">
        <f t="shared" si="73"/>
        <v/>
      </c>
      <c r="K250" s="1" t="str">
        <f t="shared" si="74"/>
        <v/>
      </c>
      <c r="L250" s="1">
        <f t="shared" si="75"/>
        <v>0.75886524822695034</v>
      </c>
    </row>
    <row r="251" spans="1:12">
      <c r="A251" t="s">
        <v>71</v>
      </c>
      <c r="B251">
        <v>10</v>
      </c>
      <c r="C251" t="str">
        <f t="shared" si="69"/>
        <v>test.GeoEngine_10_</v>
      </c>
      <c r="D251">
        <v>16</v>
      </c>
      <c r="E251">
        <v>0.77304964539007093</v>
      </c>
      <c r="F251">
        <v>2.0003004999999998</v>
      </c>
      <c r="G251" s="1" t="str">
        <f t="shared" si="70"/>
        <v/>
      </c>
      <c r="H251" s="1" t="str">
        <f t="shared" si="71"/>
        <v/>
      </c>
      <c r="I251" s="1" t="str">
        <f t="shared" si="72"/>
        <v/>
      </c>
      <c r="J251" s="1" t="str">
        <f t="shared" si="73"/>
        <v/>
      </c>
      <c r="K251" s="1" t="str">
        <f t="shared" si="74"/>
        <v/>
      </c>
      <c r="L251" s="1">
        <f t="shared" si="75"/>
        <v>0.77304964539007093</v>
      </c>
    </row>
    <row r="252" spans="1:12">
      <c r="A252" t="s">
        <v>71</v>
      </c>
      <c r="B252">
        <v>10</v>
      </c>
      <c r="C252" t="str">
        <f t="shared" si="69"/>
        <v>test.GeoEngine_10_</v>
      </c>
      <c r="D252">
        <v>1</v>
      </c>
      <c r="E252">
        <v>0.8014184397163121</v>
      </c>
      <c r="F252">
        <v>2.0003505000000001</v>
      </c>
      <c r="G252" s="1" t="str">
        <f t="shared" si="70"/>
        <v/>
      </c>
      <c r="H252" s="1" t="str">
        <f t="shared" si="71"/>
        <v/>
      </c>
      <c r="I252" s="1" t="str">
        <f t="shared" si="72"/>
        <v/>
      </c>
      <c r="J252" s="1" t="str">
        <f t="shared" si="73"/>
        <v/>
      </c>
      <c r="K252" s="1" t="str">
        <f t="shared" si="74"/>
        <v/>
      </c>
      <c r="L252" s="1">
        <f t="shared" si="75"/>
        <v>0.8014184397163121</v>
      </c>
    </row>
    <row r="253" spans="1:12">
      <c r="A253" t="s">
        <v>71</v>
      </c>
      <c r="B253">
        <v>10</v>
      </c>
      <c r="C253" t="str">
        <f t="shared" si="69"/>
        <v>test.GeoEngine_10_</v>
      </c>
      <c r="D253">
        <v>2</v>
      </c>
      <c r="E253">
        <v>0.84397163120567376</v>
      </c>
      <c r="F253">
        <v>2.0004005</v>
      </c>
      <c r="G253" s="1" t="str">
        <f t="shared" si="70"/>
        <v/>
      </c>
      <c r="H253" s="1" t="str">
        <f t="shared" si="71"/>
        <v/>
      </c>
      <c r="I253" s="1" t="str">
        <f t="shared" si="72"/>
        <v/>
      </c>
      <c r="J253" s="1" t="str">
        <f t="shared" si="73"/>
        <v/>
      </c>
      <c r="K253" s="1" t="str">
        <f t="shared" si="74"/>
        <v/>
      </c>
      <c r="L253" s="1">
        <f t="shared" si="75"/>
        <v>0.84397163120567376</v>
      </c>
    </row>
    <row r="254" spans="1:12">
      <c r="A254" t="s">
        <v>71</v>
      </c>
      <c r="B254">
        <v>10</v>
      </c>
      <c r="C254" t="str">
        <f t="shared" si="69"/>
        <v>test.GeoEngine_10_</v>
      </c>
      <c r="D254">
        <v>3</v>
      </c>
      <c r="E254">
        <v>0.87943262411347523</v>
      </c>
      <c r="F254">
        <v>2.0004504999999999</v>
      </c>
      <c r="G254" s="1" t="str">
        <f t="shared" si="70"/>
        <v/>
      </c>
      <c r="H254" s="1" t="str">
        <f t="shared" si="71"/>
        <v/>
      </c>
      <c r="I254" s="1" t="str">
        <f t="shared" si="72"/>
        <v/>
      </c>
      <c r="J254" s="1" t="str">
        <f t="shared" si="73"/>
        <v/>
      </c>
      <c r="K254" s="1" t="str">
        <f t="shared" si="74"/>
        <v/>
      </c>
      <c r="L254" s="1">
        <f t="shared" si="75"/>
        <v>0.87943262411347523</v>
      </c>
    </row>
    <row r="255" spans="1:12">
      <c r="A255" t="s">
        <v>71</v>
      </c>
      <c r="B255">
        <v>10</v>
      </c>
      <c r="C255" t="str">
        <f t="shared" si="69"/>
        <v>test.GeoEngine_10_</v>
      </c>
      <c r="D255">
        <v>1</v>
      </c>
      <c r="E255">
        <v>0.8936170212765957</v>
      </c>
      <c r="F255">
        <v>2.5</v>
      </c>
      <c r="G255" s="1" t="str">
        <f t="shared" si="70"/>
        <v/>
      </c>
      <c r="H255" s="1" t="str">
        <f t="shared" si="71"/>
        <v/>
      </c>
      <c r="I255" s="1" t="str">
        <f t="shared" si="72"/>
        <v/>
      </c>
      <c r="J255" s="1" t="str">
        <f t="shared" si="73"/>
        <v/>
      </c>
      <c r="K255" s="1" t="str">
        <f t="shared" si="74"/>
        <v/>
      </c>
      <c r="L255" s="1">
        <f t="shared" si="75"/>
        <v>0.8936170212765957</v>
      </c>
    </row>
    <row r="256" spans="1:12">
      <c r="A256" t="s">
        <v>71</v>
      </c>
      <c r="B256">
        <v>10</v>
      </c>
      <c r="C256" t="str">
        <f t="shared" si="69"/>
        <v>test.GeoEngine_10_</v>
      </c>
      <c r="D256">
        <v>2</v>
      </c>
      <c r="E256">
        <v>0.95744680851063835</v>
      </c>
      <c r="F256">
        <v>2.5000499999999999</v>
      </c>
      <c r="G256" s="1" t="str">
        <f t="shared" si="70"/>
        <v/>
      </c>
      <c r="H256" s="1" t="str">
        <f t="shared" si="71"/>
        <v/>
      </c>
      <c r="I256" s="1" t="str">
        <f t="shared" si="72"/>
        <v/>
      </c>
      <c r="J256" s="1" t="str">
        <f t="shared" si="73"/>
        <v/>
      </c>
      <c r="K256" s="1" t="str">
        <f t="shared" si="74"/>
        <v/>
      </c>
      <c r="L256" s="1">
        <f t="shared" si="75"/>
        <v>0.95744680851063835</v>
      </c>
    </row>
    <row r="257" spans="1:12">
      <c r="A257" t="s">
        <v>71</v>
      </c>
      <c r="B257">
        <v>10</v>
      </c>
      <c r="C257" t="str">
        <f t="shared" si="69"/>
        <v>test.GeoEngine_10_</v>
      </c>
      <c r="D257">
        <v>3</v>
      </c>
      <c r="E257">
        <v>0.98581560283687941</v>
      </c>
      <c r="F257">
        <v>2.5001001500000002</v>
      </c>
      <c r="G257" s="1" t="str">
        <f t="shared" si="70"/>
        <v/>
      </c>
      <c r="H257" s="1" t="str">
        <f t="shared" si="71"/>
        <v/>
      </c>
      <c r="I257" s="1" t="str">
        <f t="shared" si="72"/>
        <v/>
      </c>
      <c r="J257" s="1" t="str">
        <f t="shared" si="73"/>
        <v/>
      </c>
      <c r="K257" s="1" t="str">
        <f t="shared" si="74"/>
        <v/>
      </c>
      <c r="L257" s="1">
        <f t="shared" si="75"/>
        <v>0.98581560283687941</v>
      </c>
    </row>
    <row r="258" spans="1:12">
      <c r="A258" t="s">
        <v>71</v>
      </c>
      <c r="B258">
        <v>10</v>
      </c>
      <c r="C258" t="str">
        <f t="shared" si="69"/>
        <v>test.GeoEngine_10_</v>
      </c>
      <c r="D258">
        <v>4</v>
      </c>
      <c r="E258">
        <v>0.98581560283687941</v>
      </c>
      <c r="F258">
        <v>2.5001502000000002</v>
      </c>
      <c r="G258" s="1" t="str">
        <f t="shared" si="70"/>
        <v/>
      </c>
      <c r="H258" s="1" t="str">
        <f t="shared" si="71"/>
        <v/>
      </c>
      <c r="I258" s="1" t="str">
        <f t="shared" si="72"/>
        <v/>
      </c>
      <c r="J258" s="1" t="str">
        <f t="shared" si="73"/>
        <v/>
      </c>
      <c r="K258" s="1" t="str">
        <f t="shared" si="74"/>
        <v/>
      </c>
      <c r="L258" s="1">
        <f t="shared" si="75"/>
        <v>0.98581560283687941</v>
      </c>
    </row>
    <row r="259" spans="1:12">
      <c r="A259" t="s">
        <v>71</v>
      </c>
      <c r="B259">
        <v>10</v>
      </c>
      <c r="C259" t="str">
        <f t="shared" ref="C259:C322" si="76">CONCATENATE(A259, "_",B259,"_")</f>
        <v>test.GeoEngine_10_</v>
      </c>
      <c r="D259">
        <v>5</v>
      </c>
      <c r="E259">
        <v>0.98581560283687941</v>
      </c>
      <c r="F259">
        <v>2.5002002499999998</v>
      </c>
      <c r="G259" s="1" t="str">
        <f t="shared" ref="G259:G322" si="77">IF($F259 &lt;= 0.2,$E259,"")</f>
        <v/>
      </c>
      <c r="H259" s="1" t="str">
        <f t="shared" ref="H259:H322" si="78">IF(AND($F259 &gt; 0.2,$F259 &lt;= 0.4),$E259,"")</f>
        <v/>
      </c>
      <c r="I259" s="1" t="str">
        <f t="shared" ref="I259:I322" si="79">IF(AND($F259 &gt; 0.4,$F259 &lt;= 0.6),$E259,"")</f>
        <v/>
      </c>
      <c r="J259" s="1" t="str">
        <f t="shared" ref="J259:J322" si="80">IF(AND($F259 &gt; 0.6,$F259 &lt;= 0.8),$E259,"")</f>
        <v/>
      </c>
      <c r="K259" s="1" t="str">
        <f t="shared" ref="K259:K322" si="81">IF(AND($F259 &gt; 0.8, $F259 &lt;=1.1),$E259,"")</f>
        <v/>
      </c>
      <c r="L259" s="1">
        <f t="shared" ref="L259:L322" si="82">IF(AND($F259 &gt; 1.1),$E259,"")</f>
        <v>0.98581560283687941</v>
      </c>
    </row>
    <row r="260" spans="1:12">
      <c r="A260" t="s">
        <v>71</v>
      </c>
      <c r="B260">
        <v>10</v>
      </c>
      <c r="C260" t="str">
        <f t="shared" si="76"/>
        <v>test.GeoEngine_10_</v>
      </c>
      <c r="D260">
        <v>6</v>
      </c>
      <c r="E260">
        <v>0.98581560283687941</v>
      </c>
      <c r="F260">
        <v>2.50025035</v>
      </c>
      <c r="G260" s="1" t="str">
        <f t="shared" si="77"/>
        <v/>
      </c>
      <c r="H260" s="1" t="str">
        <f t="shared" si="78"/>
        <v/>
      </c>
      <c r="I260" s="1" t="str">
        <f t="shared" si="79"/>
        <v/>
      </c>
      <c r="J260" s="1" t="str">
        <f t="shared" si="80"/>
        <v/>
      </c>
      <c r="K260" s="1" t="str">
        <f t="shared" si="81"/>
        <v/>
      </c>
      <c r="L260" s="1">
        <f t="shared" si="82"/>
        <v>0.98581560283687941</v>
      </c>
    </row>
    <row r="261" spans="1:12">
      <c r="A261" t="s">
        <v>71</v>
      </c>
      <c r="B261">
        <v>10</v>
      </c>
      <c r="C261" t="str">
        <f t="shared" si="76"/>
        <v>test.GeoEngine_10_</v>
      </c>
      <c r="D261">
        <v>7</v>
      </c>
      <c r="E261">
        <v>0.99290780141843971</v>
      </c>
      <c r="F261">
        <v>2.5003004999999998</v>
      </c>
      <c r="G261" s="1" t="str">
        <f t="shared" si="77"/>
        <v/>
      </c>
      <c r="H261" s="1" t="str">
        <f t="shared" si="78"/>
        <v/>
      </c>
      <c r="I261" s="1" t="str">
        <f t="shared" si="79"/>
        <v/>
      </c>
      <c r="J261" s="1" t="str">
        <f t="shared" si="80"/>
        <v/>
      </c>
      <c r="K261" s="1" t="str">
        <f t="shared" si="81"/>
        <v/>
      </c>
      <c r="L261" s="1">
        <f t="shared" si="82"/>
        <v>0.99290780141843971</v>
      </c>
    </row>
    <row r="262" spans="1:12">
      <c r="A262" t="s">
        <v>71</v>
      </c>
      <c r="B262">
        <v>10</v>
      </c>
      <c r="C262" t="str">
        <f t="shared" si="76"/>
        <v>test.GeoEngine_10_</v>
      </c>
      <c r="D262">
        <v>8</v>
      </c>
      <c r="E262">
        <v>0.99290780141843971</v>
      </c>
      <c r="F262">
        <v>2.5003505000000001</v>
      </c>
      <c r="G262" s="1" t="str">
        <f t="shared" si="77"/>
        <v/>
      </c>
      <c r="H262" s="1" t="str">
        <f t="shared" si="78"/>
        <v/>
      </c>
      <c r="I262" s="1" t="str">
        <f t="shared" si="79"/>
        <v/>
      </c>
      <c r="J262" s="1" t="str">
        <f t="shared" si="80"/>
        <v/>
      </c>
      <c r="K262" s="1" t="str">
        <f t="shared" si="81"/>
        <v/>
      </c>
      <c r="L262" s="1">
        <f t="shared" si="82"/>
        <v>0.99290780141843971</v>
      </c>
    </row>
    <row r="263" spans="1:12">
      <c r="A263" t="s">
        <v>71</v>
      </c>
      <c r="B263">
        <v>10</v>
      </c>
      <c r="C263" t="str">
        <f t="shared" si="76"/>
        <v>test.GeoEngine_10_</v>
      </c>
      <c r="D263">
        <v>9</v>
      </c>
      <c r="E263">
        <v>1</v>
      </c>
      <c r="F263">
        <v>2.5004005</v>
      </c>
      <c r="G263" s="1" t="str">
        <f t="shared" si="77"/>
        <v/>
      </c>
      <c r="H263" s="1" t="str">
        <f t="shared" si="78"/>
        <v/>
      </c>
      <c r="I263" s="1" t="str">
        <f t="shared" si="79"/>
        <v/>
      </c>
      <c r="J263" s="1" t="str">
        <f t="shared" si="80"/>
        <v/>
      </c>
      <c r="K263" s="1" t="str">
        <f t="shared" si="81"/>
        <v/>
      </c>
      <c r="L263" s="1">
        <f t="shared" si="82"/>
        <v>1</v>
      </c>
    </row>
    <row r="264" spans="1:12">
      <c r="A264" t="s">
        <v>71</v>
      </c>
      <c r="B264">
        <v>10</v>
      </c>
      <c r="C264" t="str">
        <f t="shared" si="76"/>
        <v>test.GeoEngine_10_</v>
      </c>
      <c r="D264">
        <v>1</v>
      </c>
      <c r="E264">
        <v>1</v>
      </c>
      <c r="F264">
        <v>2.5004504999999999</v>
      </c>
      <c r="G264" s="1" t="str">
        <f t="shared" si="77"/>
        <v/>
      </c>
      <c r="H264" s="1" t="str">
        <f t="shared" si="78"/>
        <v/>
      </c>
      <c r="I264" s="1" t="str">
        <f t="shared" si="79"/>
        <v/>
      </c>
      <c r="J264" s="1" t="str">
        <f t="shared" si="80"/>
        <v/>
      </c>
      <c r="K264" s="1" t="str">
        <f t="shared" si="81"/>
        <v/>
      </c>
      <c r="L264" s="1">
        <f t="shared" si="82"/>
        <v>1</v>
      </c>
    </row>
    <row r="265" spans="1:12">
      <c r="A265" t="s">
        <v>71</v>
      </c>
      <c r="B265">
        <v>10</v>
      </c>
      <c r="C265" t="str">
        <f t="shared" si="76"/>
        <v>test.GeoEngine_10_</v>
      </c>
      <c r="D265">
        <v>2</v>
      </c>
      <c r="E265">
        <v>1</v>
      </c>
      <c r="F265">
        <v>2.5005006999999999</v>
      </c>
      <c r="G265" s="1" t="str">
        <f t="shared" si="77"/>
        <v/>
      </c>
      <c r="H265" s="1" t="str">
        <f t="shared" si="78"/>
        <v/>
      </c>
      <c r="I265" s="1" t="str">
        <f t="shared" si="79"/>
        <v/>
      </c>
      <c r="J265" s="1" t="str">
        <f t="shared" si="80"/>
        <v/>
      </c>
      <c r="K265" s="1" t="str">
        <f t="shared" si="81"/>
        <v/>
      </c>
      <c r="L265" s="1">
        <f t="shared" si="82"/>
        <v>1</v>
      </c>
    </row>
    <row r="266" spans="1:12">
      <c r="A266" t="s">
        <v>71</v>
      </c>
      <c r="B266">
        <v>10</v>
      </c>
      <c r="C266" t="str">
        <f t="shared" si="76"/>
        <v>test.GeoEngine_10_</v>
      </c>
      <c r="D266">
        <v>1</v>
      </c>
      <c r="E266">
        <v>1</v>
      </c>
      <c r="F266">
        <v>2.5005507499999999</v>
      </c>
      <c r="G266" s="1" t="str">
        <f t="shared" si="77"/>
        <v/>
      </c>
      <c r="H266" s="1" t="str">
        <f t="shared" si="78"/>
        <v/>
      </c>
      <c r="I266" s="1" t="str">
        <f t="shared" si="79"/>
        <v/>
      </c>
      <c r="J266" s="1" t="str">
        <f t="shared" si="80"/>
        <v/>
      </c>
      <c r="K266" s="1" t="str">
        <f t="shared" si="81"/>
        <v/>
      </c>
      <c r="L266" s="1">
        <f t="shared" si="82"/>
        <v>1</v>
      </c>
    </row>
    <row r="267" spans="1:12">
      <c r="A267" t="s">
        <v>71</v>
      </c>
      <c r="B267">
        <v>10</v>
      </c>
      <c r="C267" t="str">
        <f t="shared" si="76"/>
        <v>test.GeoEngine_10_</v>
      </c>
      <c r="D267">
        <v>2</v>
      </c>
      <c r="E267">
        <v>1</v>
      </c>
      <c r="F267">
        <v>2.5006008</v>
      </c>
      <c r="G267" s="1" t="str">
        <f t="shared" si="77"/>
        <v/>
      </c>
      <c r="H267" s="1" t="str">
        <f t="shared" si="78"/>
        <v/>
      </c>
      <c r="I267" s="1" t="str">
        <f t="shared" si="79"/>
        <v/>
      </c>
      <c r="J267" s="1" t="str">
        <f t="shared" si="80"/>
        <v/>
      </c>
      <c r="K267" s="1" t="str">
        <f t="shared" si="81"/>
        <v/>
      </c>
      <c r="L267" s="1">
        <f t="shared" si="82"/>
        <v>1</v>
      </c>
    </row>
    <row r="268" spans="1:12">
      <c r="A268" t="s">
        <v>71</v>
      </c>
      <c r="B268">
        <v>10</v>
      </c>
      <c r="C268" t="str">
        <f t="shared" si="76"/>
        <v>test.GeoEngine_10_</v>
      </c>
      <c r="D268">
        <v>3</v>
      </c>
      <c r="E268">
        <v>1</v>
      </c>
      <c r="F268">
        <v>2.500651</v>
      </c>
      <c r="G268" s="1" t="str">
        <f t="shared" si="77"/>
        <v/>
      </c>
      <c r="H268" s="1" t="str">
        <f t="shared" si="78"/>
        <v/>
      </c>
      <c r="I268" s="1" t="str">
        <f t="shared" si="79"/>
        <v/>
      </c>
      <c r="J268" s="1" t="str">
        <f t="shared" si="80"/>
        <v/>
      </c>
      <c r="K268" s="1" t="str">
        <f t="shared" si="81"/>
        <v/>
      </c>
      <c r="L268" s="1">
        <f t="shared" si="82"/>
        <v>1</v>
      </c>
    </row>
    <row r="269" spans="1:12">
      <c r="A269" t="s">
        <v>71</v>
      </c>
      <c r="B269">
        <v>10</v>
      </c>
      <c r="C269" t="str">
        <f t="shared" si="76"/>
        <v>test.GeoEngine_10_</v>
      </c>
      <c r="D269">
        <v>4</v>
      </c>
      <c r="E269">
        <v>1</v>
      </c>
      <c r="F269">
        <v>2.5007009999999998</v>
      </c>
      <c r="G269" s="1" t="str">
        <f t="shared" si="77"/>
        <v/>
      </c>
      <c r="H269" s="1" t="str">
        <f t="shared" si="78"/>
        <v/>
      </c>
      <c r="I269" s="1" t="str">
        <f t="shared" si="79"/>
        <v/>
      </c>
      <c r="J269" s="1" t="str">
        <f t="shared" si="80"/>
        <v/>
      </c>
      <c r="K269" s="1" t="str">
        <f t="shared" si="81"/>
        <v/>
      </c>
      <c r="L269" s="1">
        <f t="shared" si="82"/>
        <v>1</v>
      </c>
    </row>
    <row r="270" spans="1:12">
      <c r="A270" t="s">
        <v>71</v>
      </c>
      <c r="B270">
        <v>10</v>
      </c>
      <c r="C270" t="str">
        <f t="shared" si="76"/>
        <v>test.GeoEngine_10_</v>
      </c>
      <c r="D270">
        <v>5</v>
      </c>
      <c r="E270">
        <v>1</v>
      </c>
      <c r="F270">
        <v>2.5007510000000002</v>
      </c>
      <c r="G270" s="1" t="str">
        <f t="shared" si="77"/>
        <v/>
      </c>
      <c r="H270" s="1" t="str">
        <f t="shared" si="78"/>
        <v/>
      </c>
      <c r="I270" s="1" t="str">
        <f t="shared" si="79"/>
        <v/>
      </c>
      <c r="J270" s="1" t="str">
        <f t="shared" si="80"/>
        <v/>
      </c>
      <c r="K270" s="1" t="str">
        <f t="shared" si="81"/>
        <v/>
      </c>
      <c r="L270" s="1">
        <f t="shared" si="82"/>
        <v>1</v>
      </c>
    </row>
    <row r="271" spans="1:12">
      <c r="A271" t="s">
        <v>71</v>
      </c>
      <c r="B271">
        <v>10</v>
      </c>
      <c r="C271" t="str">
        <f t="shared" si="76"/>
        <v>test.GeoEngine_10_</v>
      </c>
      <c r="D271">
        <v>6</v>
      </c>
      <c r="E271">
        <v>1</v>
      </c>
      <c r="F271">
        <v>2.5008010000000001</v>
      </c>
      <c r="G271" s="1" t="str">
        <f t="shared" si="77"/>
        <v/>
      </c>
      <c r="H271" s="1" t="str">
        <f t="shared" si="78"/>
        <v/>
      </c>
      <c r="I271" s="1" t="str">
        <f t="shared" si="79"/>
        <v/>
      </c>
      <c r="J271" s="1" t="str">
        <f t="shared" si="80"/>
        <v/>
      </c>
      <c r="K271" s="1" t="str">
        <f t="shared" si="81"/>
        <v/>
      </c>
      <c r="L271" s="1">
        <f t="shared" si="82"/>
        <v>1</v>
      </c>
    </row>
    <row r="272" spans="1:12">
      <c r="A272" t="s">
        <v>71</v>
      </c>
      <c r="B272">
        <v>10</v>
      </c>
      <c r="C272" t="str">
        <f t="shared" si="76"/>
        <v>test.GeoEngine_10_</v>
      </c>
      <c r="D272">
        <v>7</v>
      </c>
      <c r="E272">
        <v>1</v>
      </c>
      <c r="F272">
        <v>2.5008511499999999</v>
      </c>
      <c r="G272" s="1" t="str">
        <f t="shared" si="77"/>
        <v/>
      </c>
      <c r="H272" s="1" t="str">
        <f t="shared" si="78"/>
        <v/>
      </c>
      <c r="I272" s="1" t="str">
        <f t="shared" si="79"/>
        <v/>
      </c>
      <c r="J272" s="1" t="str">
        <f t="shared" si="80"/>
        <v/>
      </c>
      <c r="K272" s="1" t="str">
        <f t="shared" si="81"/>
        <v/>
      </c>
      <c r="L272" s="1">
        <f t="shared" si="82"/>
        <v>1</v>
      </c>
    </row>
    <row r="273" spans="1:12">
      <c r="A273" t="s">
        <v>71</v>
      </c>
      <c r="B273">
        <v>10</v>
      </c>
      <c r="C273" t="str">
        <f t="shared" si="76"/>
        <v>test.GeoEngine_10_</v>
      </c>
      <c r="D273">
        <v>1</v>
      </c>
      <c r="E273">
        <v>1</v>
      </c>
      <c r="F273">
        <v>2.5009011999999999</v>
      </c>
      <c r="G273" s="1" t="str">
        <f t="shared" si="77"/>
        <v/>
      </c>
      <c r="H273" s="1" t="str">
        <f t="shared" si="78"/>
        <v/>
      </c>
      <c r="I273" s="1" t="str">
        <f t="shared" si="79"/>
        <v/>
      </c>
      <c r="J273" s="1" t="str">
        <f t="shared" si="80"/>
        <v/>
      </c>
      <c r="K273" s="1" t="str">
        <f t="shared" si="81"/>
        <v/>
      </c>
      <c r="L273" s="1">
        <f t="shared" si="82"/>
        <v>1</v>
      </c>
    </row>
    <row r="274" spans="1:12">
      <c r="A274" t="s">
        <v>71</v>
      </c>
      <c r="B274">
        <v>10</v>
      </c>
      <c r="C274" t="str">
        <f t="shared" si="76"/>
        <v>test.GeoEngine_10_</v>
      </c>
      <c r="D274">
        <v>2</v>
      </c>
      <c r="E274">
        <v>1</v>
      </c>
      <c r="F274">
        <v>2.5009513000000001</v>
      </c>
      <c r="G274" s="1" t="str">
        <f t="shared" si="77"/>
        <v/>
      </c>
      <c r="H274" s="1" t="str">
        <f t="shared" si="78"/>
        <v/>
      </c>
      <c r="I274" s="1" t="str">
        <f t="shared" si="79"/>
        <v/>
      </c>
      <c r="J274" s="1" t="str">
        <f t="shared" si="80"/>
        <v/>
      </c>
      <c r="K274" s="1" t="str">
        <f t="shared" si="81"/>
        <v/>
      </c>
      <c r="L274" s="1">
        <f t="shared" si="82"/>
        <v>1</v>
      </c>
    </row>
    <row r="275" spans="1:12">
      <c r="A275" t="s">
        <v>71</v>
      </c>
      <c r="B275">
        <v>10</v>
      </c>
      <c r="C275" t="str">
        <f t="shared" si="76"/>
        <v>test.GeoEngine_10_</v>
      </c>
      <c r="D275">
        <v>3</v>
      </c>
      <c r="E275">
        <v>1</v>
      </c>
      <c r="F275">
        <v>3</v>
      </c>
      <c r="G275" s="1" t="str">
        <f t="shared" si="77"/>
        <v/>
      </c>
      <c r="H275" s="1" t="str">
        <f t="shared" si="78"/>
        <v/>
      </c>
      <c r="I275" s="1" t="str">
        <f t="shared" si="79"/>
        <v/>
      </c>
      <c r="J275" s="1" t="str">
        <f t="shared" si="80"/>
        <v/>
      </c>
      <c r="K275" s="1" t="str">
        <f t="shared" si="81"/>
        <v/>
      </c>
      <c r="L275" s="1">
        <f t="shared" si="82"/>
        <v>1</v>
      </c>
    </row>
    <row r="276" spans="1:12">
      <c r="A276" t="s">
        <v>112</v>
      </c>
      <c r="B276">
        <v>3</v>
      </c>
      <c r="C276" t="str">
        <f t="shared" si="76"/>
        <v>test.FastBlurFilter_3_</v>
      </c>
      <c r="D276">
        <v>1</v>
      </c>
      <c r="E276">
        <v>0.96505438555889844</v>
      </c>
      <c r="F276">
        <v>1.368421052631579</v>
      </c>
      <c r="G276" s="1" t="str">
        <f t="shared" si="77"/>
        <v/>
      </c>
      <c r="H276" s="1" t="str">
        <f t="shared" si="78"/>
        <v/>
      </c>
      <c r="I276" s="1" t="str">
        <f t="shared" si="79"/>
        <v/>
      </c>
      <c r="J276" s="1" t="str">
        <f t="shared" si="80"/>
        <v/>
      </c>
      <c r="K276" s="1" t="str">
        <f t="shared" si="81"/>
        <v/>
      </c>
      <c r="L276" s="1">
        <f t="shared" si="82"/>
        <v>0.96505438555889844</v>
      </c>
    </row>
    <row r="277" spans="1:12">
      <c r="A277" t="s">
        <v>112</v>
      </c>
      <c r="B277">
        <v>3</v>
      </c>
      <c r="C277" t="str">
        <f t="shared" si="76"/>
        <v>test.FastBlurFilter_3_</v>
      </c>
      <c r="D277">
        <v>2</v>
      </c>
      <c r="E277">
        <v>1</v>
      </c>
      <c r="F277">
        <v>1.4035087719298245</v>
      </c>
      <c r="G277" s="1" t="str">
        <f t="shared" si="77"/>
        <v/>
      </c>
      <c r="H277" s="1" t="str">
        <f t="shared" si="78"/>
        <v/>
      </c>
      <c r="I277" s="1" t="str">
        <f t="shared" si="79"/>
        <v/>
      </c>
      <c r="J277" s="1" t="str">
        <f t="shared" si="80"/>
        <v/>
      </c>
      <c r="K277" s="1" t="str">
        <f t="shared" si="81"/>
        <v/>
      </c>
      <c r="L277" s="1">
        <f t="shared" si="82"/>
        <v>1</v>
      </c>
    </row>
    <row r="278" spans="1:12">
      <c r="A278" t="s">
        <v>303</v>
      </c>
      <c r="B278">
        <v>2</v>
      </c>
      <c r="C278" t="str">
        <f t="shared" si="76"/>
        <v>test.InfTree_2_</v>
      </c>
      <c r="D278">
        <v>3</v>
      </c>
      <c r="E278">
        <v>1.3882878984566565E-2</v>
      </c>
      <c r="F278">
        <v>4.924242424242424E-2</v>
      </c>
      <c r="G278" s="1">
        <f t="shared" si="77"/>
        <v>1.3882878984566565E-2</v>
      </c>
      <c r="H278" s="1" t="str">
        <f t="shared" si="78"/>
        <v/>
      </c>
      <c r="I278" s="1" t="str">
        <f t="shared" si="79"/>
        <v/>
      </c>
      <c r="J278" s="1" t="str">
        <f t="shared" si="80"/>
        <v/>
      </c>
      <c r="K278" s="1" t="str">
        <f t="shared" si="81"/>
        <v/>
      </c>
      <c r="L278" s="1" t="str">
        <f t="shared" si="82"/>
        <v/>
      </c>
    </row>
    <row r="279" spans="1:12">
      <c r="A279" t="s">
        <v>303</v>
      </c>
      <c r="B279">
        <v>2</v>
      </c>
      <c r="C279" t="str">
        <f t="shared" si="76"/>
        <v>test.InfTree_2_</v>
      </c>
      <c r="D279">
        <v>4</v>
      </c>
      <c r="E279">
        <v>5.8560507716717149E-2</v>
      </c>
      <c r="F279">
        <v>9.8484848484848481E-2</v>
      </c>
      <c r="G279" s="1">
        <f t="shared" si="77"/>
        <v>5.8560507716717149E-2</v>
      </c>
      <c r="H279" s="1" t="str">
        <f t="shared" si="78"/>
        <v/>
      </c>
      <c r="I279" s="1" t="str">
        <f t="shared" si="79"/>
        <v/>
      </c>
      <c r="J279" s="1" t="str">
        <f t="shared" si="80"/>
        <v/>
      </c>
      <c r="K279" s="1" t="str">
        <f t="shared" si="81"/>
        <v/>
      </c>
      <c r="L279" s="1" t="str">
        <f t="shared" si="82"/>
        <v/>
      </c>
    </row>
    <row r="280" spans="1:12">
      <c r="A280" t="s">
        <v>303</v>
      </c>
      <c r="B280">
        <v>2</v>
      </c>
      <c r="C280" t="str">
        <f t="shared" si="76"/>
        <v>test.InfTree_2_</v>
      </c>
      <c r="D280">
        <v>5</v>
      </c>
      <c r="E280">
        <v>1</v>
      </c>
      <c r="F280">
        <v>1.4053030303030303</v>
      </c>
      <c r="G280" s="1" t="str">
        <f t="shared" si="77"/>
        <v/>
      </c>
      <c r="H280" s="1" t="str">
        <f t="shared" si="78"/>
        <v/>
      </c>
      <c r="I280" s="1" t="str">
        <f t="shared" si="79"/>
        <v/>
      </c>
      <c r="J280" s="1" t="str">
        <f t="shared" si="80"/>
        <v/>
      </c>
      <c r="K280" s="1" t="str">
        <f t="shared" si="81"/>
        <v/>
      </c>
      <c r="L280" s="1">
        <f t="shared" si="82"/>
        <v>1</v>
      </c>
    </row>
    <row r="281" spans="1:12">
      <c r="A281" t="s">
        <v>113</v>
      </c>
      <c r="B281">
        <v>2</v>
      </c>
      <c r="C281" t="str">
        <f t="shared" si="76"/>
        <v>test.ImageData_2_</v>
      </c>
      <c r="D281">
        <v>6</v>
      </c>
      <c r="E281">
        <v>0.16179078014184398</v>
      </c>
      <c r="F281">
        <v>1.1111111111111112</v>
      </c>
      <c r="G281" s="1" t="str">
        <f t="shared" si="77"/>
        <v/>
      </c>
      <c r="H281" s="1" t="str">
        <f t="shared" si="78"/>
        <v/>
      </c>
      <c r="I281" s="1" t="str">
        <f t="shared" si="79"/>
        <v/>
      </c>
      <c r="J281" s="1" t="str">
        <f t="shared" si="80"/>
        <v/>
      </c>
      <c r="K281" s="1" t="str">
        <f t="shared" si="81"/>
        <v/>
      </c>
      <c r="L281" s="1">
        <f t="shared" si="82"/>
        <v>0.16179078014184398</v>
      </c>
    </row>
    <row r="282" spans="1:12">
      <c r="A282" t="s">
        <v>113</v>
      </c>
      <c r="B282">
        <v>2</v>
      </c>
      <c r="C282" t="str">
        <f t="shared" si="76"/>
        <v>test.ImageData_2_</v>
      </c>
      <c r="D282">
        <v>1</v>
      </c>
      <c r="E282">
        <v>0.26196808510638298</v>
      </c>
      <c r="F282">
        <v>1.1111222222222221</v>
      </c>
      <c r="G282" s="1" t="str">
        <f t="shared" si="77"/>
        <v/>
      </c>
      <c r="H282" s="1" t="str">
        <f t="shared" si="78"/>
        <v/>
      </c>
      <c r="I282" s="1" t="str">
        <f t="shared" si="79"/>
        <v/>
      </c>
      <c r="J282" s="1" t="str">
        <f t="shared" si="80"/>
        <v/>
      </c>
      <c r="K282" s="1" t="str">
        <f t="shared" si="81"/>
        <v/>
      </c>
      <c r="L282" s="1">
        <f t="shared" si="82"/>
        <v>0.26196808510638298</v>
      </c>
    </row>
    <row r="283" spans="1:12">
      <c r="A283" t="s">
        <v>113</v>
      </c>
      <c r="B283">
        <v>2</v>
      </c>
      <c r="C283" t="str">
        <f t="shared" si="76"/>
        <v>test.ImageData_2_</v>
      </c>
      <c r="D283">
        <v>2</v>
      </c>
      <c r="E283">
        <v>0.37632978723404253</v>
      </c>
      <c r="F283">
        <v>1.1111333333333333</v>
      </c>
      <c r="G283" s="1" t="str">
        <f t="shared" si="77"/>
        <v/>
      </c>
      <c r="H283" s="1" t="str">
        <f t="shared" si="78"/>
        <v/>
      </c>
      <c r="I283" s="1" t="str">
        <f t="shared" si="79"/>
        <v/>
      </c>
      <c r="J283" s="1" t="str">
        <f t="shared" si="80"/>
        <v/>
      </c>
      <c r="K283" s="1" t="str">
        <f t="shared" si="81"/>
        <v/>
      </c>
      <c r="L283" s="1">
        <f t="shared" si="82"/>
        <v>0.37632978723404253</v>
      </c>
    </row>
    <row r="284" spans="1:12">
      <c r="A284" t="s">
        <v>113</v>
      </c>
      <c r="B284">
        <v>2</v>
      </c>
      <c r="C284" t="str">
        <f t="shared" si="76"/>
        <v>test.ImageData_2_</v>
      </c>
      <c r="D284">
        <v>3</v>
      </c>
      <c r="E284">
        <v>0.49113475177304966</v>
      </c>
      <c r="F284">
        <v>1.1111444444444443</v>
      </c>
      <c r="G284" s="1" t="str">
        <f t="shared" si="77"/>
        <v/>
      </c>
      <c r="H284" s="1" t="str">
        <f t="shared" si="78"/>
        <v/>
      </c>
      <c r="I284" s="1" t="str">
        <f t="shared" si="79"/>
        <v/>
      </c>
      <c r="J284" s="1" t="str">
        <f t="shared" si="80"/>
        <v/>
      </c>
      <c r="K284" s="1" t="str">
        <f t="shared" si="81"/>
        <v/>
      </c>
      <c r="L284" s="1">
        <f t="shared" si="82"/>
        <v>0.49113475177304966</v>
      </c>
    </row>
    <row r="285" spans="1:12">
      <c r="A285" t="s">
        <v>113</v>
      </c>
      <c r="B285">
        <v>2</v>
      </c>
      <c r="C285" t="str">
        <f t="shared" si="76"/>
        <v>test.ImageData_2_</v>
      </c>
      <c r="D285">
        <v>4</v>
      </c>
      <c r="E285">
        <v>0.52969858156028371</v>
      </c>
      <c r="F285">
        <v>1.1111556666666667</v>
      </c>
      <c r="G285" s="1" t="str">
        <f t="shared" si="77"/>
        <v/>
      </c>
      <c r="H285" s="1" t="str">
        <f t="shared" si="78"/>
        <v/>
      </c>
      <c r="I285" s="1" t="str">
        <f t="shared" si="79"/>
        <v/>
      </c>
      <c r="J285" s="1" t="str">
        <f t="shared" si="80"/>
        <v/>
      </c>
      <c r="K285" s="1" t="str">
        <f t="shared" si="81"/>
        <v/>
      </c>
      <c r="L285" s="1">
        <f t="shared" si="82"/>
        <v>0.52969858156028371</v>
      </c>
    </row>
    <row r="286" spans="1:12">
      <c r="A286" t="s">
        <v>113</v>
      </c>
      <c r="B286">
        <v>2</v>
      </c>
      <c r="C286" t="str">
        <f t="shared" si="76"/>
        <v>test.ImageData_2_</v>
      </c>
      <c r="D286">
        <v>5</v>
      </c>
      <c r="E286">
        <v>0.55718085106382975</v>
      </c>
      <c r="F286">
        <v>1.2222222222222223</v>
      </c>
      <c r="G286" s="1" t="str">
        <f t="shared" si="77"/>
        <v/>
      </c>
      <c r="H286" s="1" t="str">
        <f t="shared" si="78"/>
        <v/>
      </c>
      <c r="I286" s="1" t="str">
        <f t="shared" si="79"/>
        <v/>
      </c>
      <c r="J286" s="1" t="str">
        <f t="shared" si="80"/>
        <v/>
      </c>
      <c r="K286" s="1" t="str">
        <f t="shared" si="81"/>
        <v/>
      </c>
      <c r="L286" s="1">
        <f t="shared" si="82"/>
        <v>0.55718085106382975</v>
      </c>
    </row>
    <row r="287" spans="1:12">
      <c r="A287" t="s">
        <v>113</v>
      </c>
      <c r="B287">
        <v>2</v>
      </c>
      <c r="C287" t="str">
        <f t="shared" si="76"/>
        <v>test.ImageData_2_</v>
      </c>
      <c r="D287">
        <v>6</v>
      </c>
      <c r="E287">
        <v>0.73404255319148937</v>
      </c>
      <c r="F287">
        <v>1.2222333333333333</v>
      </c>
      <c r="G287" s="1" t="str">
        <f t="shared" si="77"/>
        <v/>
      </c>
      <c r="H287" s="1" t="str">
        <f t="shared" si="78"/>
        <v/>
      </c>
      <c r="I287" s="1" t="str">
        <f t="shared" si="79"/>
        <v/>
      </c>
      <c r="J287" s="1" t="str">
        <f t="shared" si="80"/>
        <v/>
      </c>
      <c r="K287" s="1" t="str">
        <f t="shared" si="81"/>
        <v/>
      </c>
      <c r="L287" s="1">
        <f t="shared" si="82"/>
        <v>0.73404255319148937</v>
      </c>
    </row>
    <row r="288" spans="1:12">
      <c r="A288" t="s">
        <v>113</v>
      </c>
      <c r="B288">
        <v>2</v>
      </c>
      <c r="C288" t="str">
        <f t="shared" si="76"/>
        <v>test.ImageData_2_</v>
      </c>
      <c r="D288">
        <v>7</v>
      </c>
      <c r="E288">
        <v>1</v>
      </c>
      <c r="F288">
        <v>1.3333333333333333</v>
      </c>
      <c r="G288" s="1" t="str">
        <f t="shared" si="77"/>
        <v/>
      </c>
      <c r="H288" s="1" t="str">
        <f t="shared" si="78"/>
        <v/>
      </c>
      <c r="I288" s="1" t="str">
        <f t="shared" si="79"/>
        <v/>
      </c>
      <c r="J288" s="1" t="str">
        <f t="shared" si="80"/>
        <v/>
      </c>
      <c r="K288" s="1" t="str">
        <f t="shared" si="81"/>
        <v/>
      </c>
      <c r="L288" s="1">
        <f t="shared" si="82"/>
        <v>1</v>
      </c>
    </row>
    <row r="289" spans="1:12">
      <c r="A289" t="s">
        <v>113</v>
      </c>
      <c r="B289">
        <v>3</v>
      </c>
      <c r="C289" t="str">
        <f t="shared" si="76"/>
        <v>test.ImageData_3_</v>
      </c>
      <c r="D289">
        <v>8</v>
      </c>
      <c r="E289">
        <v>5.1291721666980955E-2</v>
      </c>
      <c r="F289">
        <v>0.21568627450980393</v>
      </c>
      <c r="G289" s="1" t="str">
        <f t="shared" si="77"/>
        <v/>
      </c>
      <c r="H289" s="1">
        <f t="shared" si="78"/>
        <v>5.1291721666980955E-2</v>
      </c>
      <c r="I289" s="1" t="str">
        <f t="shared" si="79"/>
        <v/>
      </c>
      <c r="J289" s="1" t="str">
        <f t="shared" si="80"/>
        <v/>
      </c>
      <c r="K289" s="1" t="str">
        <f t="shared" si="81"/>
        <v/>
      </c>
      <c r="L289" s="1" t="str">
        <f t="shared" si="82"/>
        <v/>
      </c>
    </row>
    <row r="290" spans="1:12">
      <c r="A290" t="s">
        <v>113</v>
      </c>
      <c r="B290">
        <v>3</v>
      </c>
      <c r="C290" t="str">
        <f t="shared" si="76"/>
        <v>test.ImageData_3_</v>
      </c>
      <c r="D290">
        <v>9</v>
      </c>
      <c r="E290">
        <v>9.6360550631717889E-2</v>
      </c>
      <c r="F290">
        <v>0.25490196078431371</v>
      </c>
      <c r="G290" s="1" t="str">
        <f t="shared" si="77"/>
        <v/>
      </c>
      <c r="H290" s="1">
        <f t="shared" si="78"/>
        <v>9.6360550631717889E-2</v>
      </c>
      <c r="I290" s="1" t="str">
        <f t="shared" si="79"/>
        <v/>
      </c>
      <c r="J290" s="1" t="str">
        <f t="shared" si="80"/>
        <v/>
      </c>
      <c r="K290" s="1" t="str">
        <f t="shared" si="81"/>
        <v/>
      </c>
      <c r="L290" s="1" t="str">
        <f t="shared" si="82"/>
        <v/>
      </c>
    </row>
    <row r="291" spans="1:12">
      <c r="A291" t="s">
        <v>113</v>
      </c>
      <c r="B291">
        <v>3</v>
      </c>
      <c r="C291" t="str">
        <f t="shared" si="76"/>
        <v>test.ImageData_3_</v>
      </c>
      <c r="D291">
        <v>10</v>
      </c>
      <c r="E291">
        <v>0.18197246841410522</v>
      </c>
      <c r="F291">
        <v>0.31372549019607843</v>
      </c>
      <c r="G291" s="1" t="str">
        <f t="shared" si="77"/>
        <v/>
      </c>
      <c r="H291" s="1">
        <f t="shared" si="78"/>
        <v>0.18197246841410522</v>
      </c>
      <c r="I291" s="1" t="str">
        <f t="shared" si="79"/>
        <v/>
      </c>
      <c r="J291" s="1" t="str">
        <f t="shared" si="80"/>
        <v/>
      </c>
      <c r="K291" s="1" t="str">
        <f t="shared" si="81"/>
        <v/>
      </c>
      <c r="L291" s="1" t="str">
        <f t="shared" si="82"/>
        <v/>
      </c>
    </row>
    <row r="292" spans="1:12">
      <c r="A292" t="s">
        <v>113</v>
      </c>
      <c r="B292">
        <v>3</v>
      </c>
      <c r="C292" t="str">
        <f t="shared" si="76"/>
        <v>test.ImageData_3_</v>
      </c>
      <c r="D292">
        <v>11</v>
      </c>
      <c r="E292">
        <v>0.41957382613614935</v>
      </c>
      <c r="F292">
        <v>0.56862745098039214</v>
      </c>
      <c r="G292" s="1" t="str">
        <f t="shared" si="77"/>
        <v/>
      </c>
      <c r="H292" s="1" t="str">
        <f t="shared" si="78"/>
        <v/>
      </c>
      <c r="I292" s="1">
        <f t="shared" si="79"/>
        <v>0.41957382613614935</v>
      </c>
      <c r="J292" s="1" t="str">
        <f t="shared" si="80"/>
        <v/>
      </c>
      <c r="K292" s="1" t="str">
        <f t="shared" si="81"/>
        <v/>
      </c>
      <c r="L292" s="1" t="str">
        <f t="shared" si="82"/>
        <v/>
      </c>
    </row>
    <row r="293" spans="1:12">
      <c r="A293" t="s">
        <v>113</v>
      </c>
      <c r="B293">
        <v>3</v>
      </c>
      <c r="C293" t="str">
        <f t="shared" si="76"/>
        <v>test.ImageData_3_</v>
      </c>
      <c r="D293">
        <v>1</v>
      </c>
      <c r="E293">
        <v>0.78351876296435985</v>
      </c>
      <c r="F293">
        <v>0.56862941176470583</v>
      </c>
      <c r="G293" s="1" t="str">
        <f t="shared" si="77"/>
        <v/>
      </c>
      <c r="H293" s="1" t="str">
        <f t="shared" si="78"/>
        <v/>
      </c>
      <c r="I293" s="1">
        <f t="shared" si="79"/>
        <v>0.78351876296435985</v>
      </c>
      <c r="J293" s="1" t="str">
        <f t="shared" si="80"/>
        <v/>
      </c>
      <c r="K293" s="1" t="str">
        <f t="shared" si="81"/>
        <v/>
      </c>
      <c r="L293" s="1" t="str">
        <f t="shared" si="82"/>
        <v/>
      </c>
    </row>
    <row r="294" spans="1:12">
      <c r="A294" t="s">
        <v>113</v>
      </c>
      <c r="B294">
        <v>3</v>
      </c>
      <c r="C294" t="str">
        <f t="shared" si="76"/>
        <v>test.ImageData_3_</v>
      </c>
      <c r="D294">
        <v>2</v>
      </c>
      <c r="E294">
        <v>1</v>
      </c>
      <c r="F294">
        <v>0.60784313725490191</v>
      </c>
      <c r="G294" s="1" t="str">
        <f t="shared" si="77"/>
        <v/>
      </c>
      <c r="H294" s="1" t="str">
        <f t="shared" si="78"/>
        <v/>
      </c>
      <c r="I294" s="1" t="str">
        <f t="shared" si="79"/>
        <v/>
      </c>
      <c r="J294" s="1">
        <f t="shared" si="80"/>
        <v>1</v>
      </c>
      <c r="K294" s="1" t="str">
        <f t="shared" si="81"/>
        <v/>
      </c>
      <c r="L294" s="1" t="str">
        <f t="shared" si="82"/>
        <v/>
      </c>
    </row>
    <row r="295" spans="1:12">
      <c r="A295" t="s">
        <v>113</v>
      </c>
      <c r="B295">
        <v>4</v>
      </c>
      <c r="C295" t="str">
        <f t="shared" si="76"/>
        <v>test.ImageData_4_</v>
      </c>
      <c r="D295">
        <v>3</v>
      </c>
      <c r="E295">
        <v>3.1631585068031168E-2</v>
      </c>
      <c r="F295">
        <v>0.22641509433962265</v>
      </c>
      <c r="G295" s="1" t="str">
        <f t="shared" si="77"/>
        <v/>
      </c>
      <c r="H295" s="1">
        <f t="shared" si="78"/>
        <v>3.1631585068031168E-2</v>
      </c>
      <c r="I295" s="1" t="str">
        <f t="shared" si="79"/>
        <v/>
      </c>
      <c r="J295" s="1" t="str">
        <f t="shared" si="80"/>
        <v/>
      </c>
      <c r="K295" s="1" t="str">
        <f t="shared" si="81"/>
        <v/>
      </c>
      <c r="L295" s="1" t="str">
        <f t="shared" si="82"/>
        <v/>
      </c>
    </row>
    <row r="296" spans="1:12">
      <c r="A296" t="s">
        <v>113</v>
      </c>
      <c r="B296">
        <v>4</v>
      </c>
      <c r="C296" t="str">
        <f t="shared" si="76"/>
        <v>test.ImageData_4_</v>
      </c>
      <c r="D296">
        <v>4</v>
      </c>
      <c r="E296">
        <v>6.3263170136062336E-2</v>
      </c>
      <c r="F296">
        <v>0.28301886792452829</v>
      </c>
      <c r="G296" s="1" t="str">
        <f t="shared" si="77"/>
        <v/>
      </c>
      <c r="H296" s="1">
        <f t="shared" si="78"/>
        <v>6.3263170136062336E-2</v>
      </c>
      <c r="I296" s="1" t="str">
        <f t="shared" si="79"/>
        <v/>
      </c>
      <c r="J296" s="1" t="str">
        <f t="shared" si="80"/>
        <v/>
      </c>
      <c r="K296" s="1" t="str">
        <f t="shared" si="81"/>
        <v/>
      </c>
      <c r="L296" s="1" t="str">
        <f t="shared" si="82"/>
        <v/>
      </c>
    </row>
    <row r="297" spans="1:12">
      <c r="A297" t="s">
        <v>113</v>
      </c>
      <c r="B297">
        <v>4</v>
      </c>
      <c r="C297" t="str">
        <f t="shared" si="76"/>
        <v>test.ImageData_4_</v>
      </c>
      <c r="D297">
        <v>5</v>
      </c>
      <c r="E297">
        <v>0.11861844400511687</v>
      </c>
      <c r="F297">
        <v>0.30188679245283018</v>
      </c>
      <c r="G297" s="1" t="str">
        <f t="shared" si="77"/>
        <v/>
      </c>
      <c r="H297" s="1">
        <f t="shared" si="78"/>
        <v>0.11861844400511687</v>
      </c>
      <c r="I297" s="1" t="str">
        <f t="shared" si="79"/>
        <v/>
      </c>
      <c r="J297" s="1" t="str">
        <f t="shared" si="80"/>
        <v/>
      </c>
      <c r="K297" s="1" t="str">
        <f t="shared" si="81"/>
        <v/>
      </c>
      <c r="L297" s="1" t="str">
        <f t="shared" si="82"/>
        <v/>
      </c>
    </row>
    <row r="298" spans="1:12">
      <c r="A298" t="s">
        <v>113</v>
      </c>
      <c r="B298">
        <v>4</v>
      </c>
      <c r="C298" t="str">
        <f t="shared" si="76"/>
        <v>test.ImageData_4_</v>
      </c>
      <c r="D298">
        <v>1</v>
      </c>
      <c r="E298">
        <v>0.21200139551110594</v>
      </c>
      <c r="F298">
        <v>0.37735849056603776</v>
      </c>
      <c r="G298" s="1" t="str">
        <f t="shared" si="77"/>
        <v/>
      </c>
      <c r="H298" s="1">
        <f t="shared" si="78"/>
        <v>0.21200139551110594</v>
      </c>
      <c r="I298" s="1" t="str">
        <f t="shared" si="79"/>
        <v/>
      </c>
      <c r="J298" s="1" t="str">
        <f t="shared" si="80"/>
        <v/>
      </c>
      <c r="K298" s="1" t="str">
        <f t="shared" si="81"/>
        <v/>
      </c>
      <c r="L298" s="1" t="str">
        <f t="shared" si="82"/>
        <v/>
      </c>
    </row>
    <row r="299" spans="1:12">
      <c r="A299" t="s">
        <v>113</v>
      </c>
      <c r="B299">
        <v>4</v>
      </c>
      <c r="C299" t="str">
        <f t="shared" si="76"/>
        <v>test.ImageData_4_</v>
      </c>
      <c r="D299">
        <v>2</v>
      </c>
      <c r="E299">
        <v>0.34724968019537156</v>
      </c>
      <c r="F299">
        <v>0.43396226415094341</v>
      </c>
      <c r="G299" s="1" t="str">
        <f t="shared" si="77"/>
        <v/>
      </c>
      <c r="H299" s="1" t="str">
        <f t="shared" si="78"/>
        <v/>
      </c>
      <c r="I299" s="1">
        <f t="shared" si="79"/>
        <v>0.34724968019537156</v>
      </c>
      <c r="J299" s="1" t="str">
        <f t="shared" si="80"/>
        <v/>
      </c>
      <c r="K299" s="1" t="str">
        <f t="shared" si="81"/>
        <v/>
      </c>
      <c r="L299" s="1" t="str">
        <f t="shared" si="82"/>
        <v/>
      </c>
    </row>
    <row r="300" spans="1:12">
      <c r="A300" t="s">
        <v>113</v>
      </c>
      <c r="B300">
        <v>4</v>
      </c>
      <c r="C300" t="str">
        <f t="shared" si="76"/>
        <v>test.ImageData_4_</v>
      </c>
      <c r="D300">
        <v>3</v>
      </c>
      <c r="E300">
        <v>0.53948133503895801</v>
      </c>
      <c r="F300">
        <v>0.45283018867924529</v>
      </c>
      <c r="G300" s="1" t="str">
        <f t="shared" si="77"/>
        <v/>
      </c>
      <c r="H300" s="1" t="str">
        <f t="shared" si="78"/>
        <v/>
      </c>
      <c r="I300" s="1">
        <f t="shared" si="79"/>
        <v>0.53948133503895801</v>
      </c>
      <c r="J300" s="1" t="str">
        <f t="shared" si="80"/>
        <v/>
      </c>
      <c r="K300" s="1" t="str">
        <f t="shared" si="81"/>
        <v/>
      </c>
      <c r="L300" s="1" t="str">
        <f t="shared" si="82"/>
        <v/>
      </c>
    </row>
    <row r="301" spans="1:12">
      <c r="A301" t="s">
        <v>113</v>
      </c>
      <c r="B301">
        <v>4</v>
      </c>
      <c r="C301" t="str">
        <f t="shared" si="76"/>
        <v>test.ImageData_4_</v>
      </c>
      <c r="D301">
        <v>4</v>
      </c>
      <c r="E301">
        <v>0.68193976043726012</v>
      </c>
      <c r="F301">
        <v>0.50943396226415094</v>
      </c>
      <c r="G301" s="1" t="str">
        <f t="shared" si="77"/>
        <v/>
      </c>
      <c r="H301" s="1" t="str">
        <f t="shared" si="78"/>
        <v/>
      </c>
      <c r="I301" s="1">
        <f t="shared" si="79"/>
        <v>0.68193976043726012</v>
      </c>
      <c r="J301" s="1" t="str">
        <f t="shared" si="80"/>
        <v/>
      </c>
      <c r="K301" s="1" t="str">
        <f t="shared" si="81"/>
        <v/>
      </c>
      <c r="L301" s="1" t="str">
        <f t="shared" si="82"/>
        <v/>
      </c>
    </row>
    <row r="302" spans="1:12">
      <c r="A302" t="s">
        <v>113</v>
      </c>
      <c r="B302">
        <v>4</v>
      </c>
      <c r="C302" t="str">
        <f t="shared" si="76"/>
        <v>test.ImageData_4_</v>
      </c>
      <c r="D302">
        <v>5</v>
      </c>
      <c r="E302">
        <v>0.81137341551343178</v>
      </c>
      <c r="F302">
        <v>0.54716981132075471</v>
      </c>
      <c r="G302" s="1" t="str">
        <f t="shared" si="77"/>
        <v/>
      </c>
      <c r="H302" s="1" t="str">
        <f t="shared" si="78"/>
        <v/>
      </c>
      <c r="I302" s="1">
        <f t="shared" si="79"/>
        <v>0.81137341551343178</v>
      </c>
      <c r="J302" s="1" t="str">
        <f t="shared" si="80"/>
        <v/>
      </c>
      <c r="K302" s="1" t="str">
        <f t="shared" si="81"/>
        <v/>
      </c>
      <c r="L302" s="1" t="str">
        <f t="shared" si="82"/>
        <v/>
      </c>
    </row>
    <row r="303" spans="1:12">
      <c r="A303" t="s">
        <v>113</v>
      </c>
      <c r="B303">
        <v>4</v>
      </c>
      <c r="C303" t="str">
        <f t="shared" si="76"/>
        <v>test.ImageData_4_</v>
      </c>
      <c r="D303">
        <v>6</v>
      </c>
      <c r="E303">
        <v>1</v>
      </c>
      <c r="F303">
        <v>0.54717169811320754</v>
      </c>
      <c r="G303" s="1" t="str">
        <f t="shared" si="77"/>
        <v/>
      </c>
      <c r="H303" s="1" t="str">
        <f t="shared" si="78"/>
        <v/>
      </c>
      <c r="I303" s="1">
        <f t="shared" si="79"/>
        <v>1</v>
      </c>
      <c r="J303" s="1" t="str">
        <f t="shared" si="80"/>
        <v/>
      </c>
      <c r="K303" s="1" t="str">
        <f t="shared" si="81"/>
        <v/>
      </c>
      <c r="L303" s="1" t="str">
        <f t="shared" si="82"/>
        <v/>
      </c>
    </row>
    <row r="304" spans="1:12">
      <c r="A304" t="s">
        <v>113</v>
      </c>
      <c r="B304">
        <v>6</v>
      </c>
      <c r="C304" t="str">
        <f t="shared" si="76"/>
        <v>test.ImageData_6_</v>
      </c>
      <c r="D304">
        <v>7</v>
      </c>
      <c r="E304">
        <v>0.96352583586626139</v>
      </c>
      <c r="F304">
        <v>2.3333333333333335</v>
      </c>
      <c r="G304" s="1" t="str">
        <f t="shared" si="77"/>
        <v/>
      </c>
      <c r="H304" s="1" t="str">
        <f t="shared" si="78"/>
        <v/>
      </c>
      <c r="I304" s="1" t="str">
        <f t="shared" si="79"/>
        <v/>
      </c>
      <c r="J304" s="1" t="str">
        <f t="shared" si="80"/>
        <v/>
      </c>
      <c r="K304" s="1" t="str">
        <f t="shared" si="81"/>
        <v/>
      </c>
      <c r="L304" s="1">
        <f t="shared" si="82"/>
        <v>0.96352583586626139</v>
      </c>
    </row>
    <row r="305" spans="1:12">
      <c r="A305" t="s">
        <v>113</v>
      </c>
      <c r="B305">
        <v>6</v>
      </c>
      <c r="C305" t="str">
        <f t="shared" si="76"/>
        <v>test.ImageData_6_</v>
      </c>
      <c r="D305">
        <v>8</v>
      </c>
      <c r="E305">
        <v>1</v>
      </c>
      <c r="F305">
        <v>2.3333666666666666</v>
      </c>
      <c r="G305" s="1" t="str">
        <f t="shared" si="77"/>
        <v/>
      </c>
      <c r="H305" s="1" t="str">
        <f t="shared" si="78"/>
        <v/>
      </c>
      <c r="I305" s="1" t="str">
        <f t="shared" si="79"/>
        <v/>
      </c>
      <c r="J305" s="1" t="str">
        <f t="shared" si="80"/>
        <v/>
      </c>
      <c r="K305" s="1" t="str">
        <f t="shared" si="81"/>
        <v/>
      </c>
      <c r="L305" s="1">
        <f t="shared" si="82"/>
        <v>1</v>
      </c>
    </row>
    <row r="306" spans="1:12">
      <c r="A306" t="s">
        <v>113</v>
      </c>
      <c r="B306">
        <v>7</v>
      </c>
      <c r="C306" t="str">
        <f t="shared" si="76"/>
        <v>test.ImageData_7_</v>
      </c>
      <c r="D306">
        <v>9</v>
      </c>
      <c r="E306">
        <v>9.7956535841712614E-2</v>
      </c>
      <c r="F306">
        <v>0.90909090909090906</v>
      </c>
      <c r="G306" s="1" t="str">
        <f t="shared" si="77"/>
        <v/>
      </c>
      <c r="H306" s="1" t="str">
        <f t="shared" si="78"/>
        <v/>
      </c>
      <c r="I306" s="1" t="str">
        <f t="shared" si="79"/>
        <v/>
      </c>
      <c r="J306" s="1" t="str">
        <f t="shared" si="80"/>
        <v/>
      </c>
      <c r="K306" s="1">
        <f t="shared" si="81"/>
        <v>9.7956535841712614E-2</v>
      </c>
      <c r="L306" s="1" t="str">
        <f t="shared" si="82"/>
        <v/>
      </c>
    </row>
    <row r="307" spans="1:12">
      <c r="A307" t="s">
        <v>113</v>
      </c>
      <c r="B307">
        <v>7</v>
      </c>
      <c r="C307" t="str">
        <f t="shared" si="76"/>
        <v>test.ImageData_7_</v>
      </c>
      <c r="D307">
        <v>10</v>
      </c>
      <c r="E307">
        <v>0.12390528705806034</v>
      </c>
      <c r="F307">
        <v>1</v>
      </c>
      <c r="G307" s="1" t="str">
        <f t="shared" si="77"/>
        <v/>
      </c>
      <c r="H307" s="1" t="str">
        <f t="shared" si="78"/>
        <v/>
      </c>
      <c r="I307" s="1" t="str">
        <f t="shared" si="79"/>
        <v/>
      </c>
      <c r="J307" s="1" t="str">
        <f t="shared" si="80"/>
        <v/>
      </c>
      <c r="K307" s="1">
        <f t="shared" si="81"/>
        <v>0.12390528705806034</v>
      </c>
      <c r="L307" s="1" t="str">
        <f t="shared" si="82"/>
        <v/>
      </c>
    </row>
    <row r="308" spans="1:12">
      <c r="A308" t="s">
        <v>113</v>
      </c>
      <c r="B308">
        <v>7</v>
      </c>
      <c r="C308" t="str">
        <f t="shared" si="76"/>
        <v>test.ImageData_7_</v>
      </c>
      <c r="D308">
        <v>11</v>
      </c>
      <c r="E308">
        <v>0.21050924424262082</v>
      </c>
      <c r="F308">
        <v>1.0000090909090908</v>
      </c>
      <c r="G308" s="1" t="str">
        <f t="shared" si="77"/>
        <v/>
      </c>
      <c r="H308" s="1" t="str">
        <f t="shared" si="78"/>
        <v/>
      </c>
      <c r="I308" s="1" t="str">
        <f t="shared" si="79"/>
        <v/>
      </c>
      <c r="J308" s="1" t="str">
        <f t="shared" si="80"/>
        <v/>
      </c>
      <c r="K308" s="1">
        <f t="shared" si="81"/>
        <v>0.21050924424262082</v>
      </c>
      <c r="L308" s="1" t="str">
        <f t="shared" si="82"/>
        <v/>
      </c>
    </row>
    <row r="309" spans="1:12">
      <c r="A309" t="s">
        <v>113</v>
      </c>
      <c r="B309">
        <v>7</v>
      </c>
      <c r="C309" t="str">
        <f t="shared" si="76"/>
        <v>test.ImageData_7_</v>
      </c>
      <c r="D309">
        <v>12</v>
      </c>
      <c r="E309">
        <v>0.314628608498216</v>
      </c>
      <c r="F309">
        <v>1.0000181818181817</v>
      </c>
      <c r="G309" s="1" t="str">
        <f t="shared" si="77"/>
        <v/>
      </c>
      <c r="H309" s="1" t="str">
        <f t="shared" si="78"/>
        <v/>
      </c>
      <c r="I309" s="1" t="str">
        <f t="shared" si="79"/>
        <v/>
      </c>
      <c r="J309" s="1" t="str">
        <f t="shared" si="80"/>
        <v/>
      </c>
      <c r="K309" s="1">
        <f t="shared" si="81"/>
        <v>0.314628608498216</v>
      </c>
      <c r="L309" s="1" t="str">
        <f t="shared" si="82"/>
        <v/>
      </c>
    </row>
    <row r="310" spans="1:12">
      <c r="A310" t="s">
        <v>113</v>
      </c>
      <c r="B310">
        <v>7</v>
      </c>
      <c r="C310" t="str">
        <f t="shared" si="76"/>
        <v>test.ImageData_7_</v>
      </c>
      <c r="D310">
        <v>13</v>
      </c>
      <c r="E310">
        <v>0.46026597469996755</v>
      </c>
      <c r="F310">
        <v>1.0000272727272728</v>
      </c>
      <c r="G310" s="1" t="str">
        <f t="shared" si="77"/>
        <v/>
      </c>
      <c r="H310" s="1" t="str">
        <f t="shared" si="78"/>
        <v/>
      </c>
      <c r="I310" s="1" t="str">
        <f t="shared" si="79"/>
        <v/>
      </c>
      <c r="J310" s="1" t="str">
        <f t="shared" si="80"/>
        <v/>
      </c>
      <c r="K310" s="1">
        <f t="shared" si="81"/>
        <v>0.46026597469996755</v>
      </c>
      <c r="L310" s="1" t="str">
        <f t="shared" si="82"/>
        <v/>
      </c>
    </row>
    <row r="311" spans="1:12">
      <c r="A311" t="s">
        <v>113</v>
      </c>
      <c r="B311">
        <v>7</v>
      </c>
      <c r="C311" t="str">
        <f t="shared" si="76"/>
        <v>test.ImageData_7_</v>
      </c>
      <c r="D311">
        <v>14</v>
      </c>
      <c r="E311">
        <v>0.49983782030489782</v>
      </c>
      <c r="F311">
        <v>1.0000364545454545</v>
      </c>
      <c r="G311" s="1" t="str">
        <f t="shared" si="77"/>
        <v/>
      </c>
      <c r="H311" s="1" t="str">
        <f t="shared" si="78"/>
        <v/>
      </c>
      <c r="I311" s="1" t="str">
        <f t="shared" si="79"/>
        <v/>
      </c>
      <c r="J311" s="1" t="str">
        <f t="shared" si="80"/>
        <v/>
      </c>
      <c r="K311" s="1">
        <f t="shared" si="81"/>
        <v>0.49983782030489782</v>
      </c>
      <c r="L311" s="1" t="str">
        <f t="shared" si="82"/>
        <v/>
      </c>
    </row>
    <row r="312" spans="1:12">
      <c r="A312" t="s">
        <v>113</v>
      </c>
      <c r="B312">
        <v>7</v>
      </c>
      <c r="C312" t="str">
        <f t="shared" si="76"/>
        <v>test.ImageData_7_</v>
      </c>
      <c r="D312">
        <v>15</v>
      </c>
      <c r="E312">
        <v>0.5851443399286409</v>
      </c>
      <c r="F312">
        <v>1.0000455454545454</v>
      </c>
      <c r="G312" s="1" t="str">
        <f t="shared" si="77"/>
        <v/>
      </c>
      <c r="H312" s="1" t="str">
        <f t="shared" si="78"/>
        <v/>
      </c>
      <c r="I312" s="1" t="str">
        <f t="shared" si="79"/>
        <v/>
      </c>
      <c r="J312" s="1" t="str">
        <f t="shared" si="80"/>
        <v/>
      </c>
      <c r="K312" s="1">
        <f t="shared" si="81"/>
        <v>0.5851443399286409</v>
      </c>
      <c r="L312" s="1" t="str">
        <f t="shared" si="82"/>
        <v/>
      </c>
    </row>
    <row r="313" spans="1:12">
      <c r="A313" t="s">
        <v>113</v>
      </c>
      <c r="B313">
        <v>7</v>
      </c>
      <c r="C313" t="str">
        <f t="shared" si="76"/>
        <v>test.ImageData_7_</v>
      </c>
      <c r="D313">
        <v>16</v>
      </c>
      <c r="E313">
        <v>0.65715212455400585</v>
      </c>
      <c r="F313">
        <v>1.0000546363636362</v>
      </c>
      <c r="G313" s="1" t="str">
        <f t="shared" si="77"/>
        <v/>
      </c>
      <c r="H313" s="1" t="str">
        <f t="shared" si="78"/>
        <v/>
      </c>
      <c r="I313" s="1" t="str">
        <f t="shared" si="79"/>
        <v/>
      </c>
      <c r="J313" s="1" t="str">
        <f t="shared" si="80"/>
        <v/>
      </c>
      <c r="K313" s="1">
        <f t="shared" si="81"/>
        <v>0.65715212455400585</v>
      </c>
      <c r="L313" s="1" t="str">
        <f t="shared" si="82"/>
        <v/>
      </c>
    </row>
    <row r="314" spans="1:12">
      <c r="A314" t="s">
        <v>113</v>
      </c>
      <c r="B314">
        <v>7</v>
      </c>
      <c r="C314" t="str">
        <f t="shared" si="76"/>
        <v>test.ImageData_7_</v>
      </c>
      <c r="D314">
        <v>17</v>
      </c>
      <c r="E314">
        <v>0.7969510217320791</v>
      </c>
      <c r="F314">
        <v>1.0909090909090908</v>
      </c>
      <c r="G314" s="1" t="str">
        <f t="shared" si="77"/>
        <v/>
      </c>
      <c r="H314" s="1" t="str">
        <f t="shared" si="78"/>
        <v/>
      </c>
      <c r="I314" s="1" t="str">
        <f t="shared" si="79"/>
        <v/>
      </c>
      <c r="J314" s="1" t="str">
        <f t="shared" si="80"/>
        <v/>
      </c>
      <c r="K314" s="1">
        <f t="shared" si="81"/>
        <v>0.7969510217320791</v>
      </c>
      <c r="L314" s="1" t="str">
        <f t="shared" si="82"/>
        <v/>
      </c>
    </row>
    <row r="315" spans="1:12">
      <c r="A315" t="s">
        <v>113</v>
      </c>
      <c r="B315">
        <v>7</v>
      </c>
      <c r="C315" t="str">
        <f t="shared" si="76"/>
        <v>test.ImageData_7_</v>
      </c>
      <c r="D315">
        <v>18</v>
      </c>
      <c r="E315">
        <v>1</v>
      </c>
      <c r="F315">
        <v>1.0909181818181819</v>
      </c>
      <c r="G315" s="1" t="str">
        <f t="shared" si="77"/>
        <v/>
      </c>
      <c r="H315" s="1" t="str">
        <f t="shared" si="78"/>
        <v/>
      </c>
      <c r="I315" s="1" t="str">
        <f t="shared" si="79"/>
        <v/>
      </c>
      <c r="J315" s="1" t="str">
        <f t="shared" si="80"/>
        <v/>
      </c>
      <c r="K315" s="1">
        <f t="shared" si="81"/>
        <v>1</v>
      </c>
      <c r="L315" s="1" t="str">
        <f t="shared" si="82"/>
        <v/>
      </c>
    </row>
    <row r="316" spans="1:12">
      <c r="A316" t="s">
        <v>113</v>
      </c>
      <c r="B316">
        <v>8</v>
      </c>
      <c r="C316" t="str">
        <f t="shared" si="76"/>
        <v>test.ImageData_8_</v>
      </c>
      <c r="D316">
        <v>19</v>
      </c>
      <c r="E316">
        <v>4.8519443453442737E-2</v>
      </c>
      <c r="F316">
        <v>0.23529411764705882</v>
      </c>
      <c r="G316" s="1" t="str">
        <f t="shared" si="77"/>
        <v/>
      </c>
      <c r="H316" s="1">
        <f t="shared" si="78"/>
        <v>4.8519443453442737E-2</v>
      </c>
      <c r="I316" s="1" t="str">
        <f t="shared" si="79"/>
        <v/>
      </c>
      <c r="J316" s="1" t="str">
        <f t="shared" si="80"/>
        <v/>
      </c>
      <c r="K316" s="1" t="str">
        <f t="shared" si="81"/>
        <v/>
      </c>
      <c r="L316" s="1" t="str">
        <f t="shared" si="82"/>
        <v/>
      </c>
    </row>
    <row r="317" spans="1:12">
      <c r="A317" t="s">
        <v>113</v>
      </c>
      <c r="B317">
        <v>8</v>
      </c>
      <c r="C317" t="str">
        <f t="shared" si="76"/>
        <v>test.ImageData_8_</v>
      </c>
      <c r="D317">
        <v>20</v>
      </c>
      <c r="E317">
        <v>8.6336068498037821E-2</v>
      </c>
      <c r="F317">
        <v>0.27450980392156865</v>
      </c>
      <c r="G317" s="1" t="str">
        <f t="shared" si="77"/>
        <v/>
      </c>
      <c r="H317" s="1">
        <f t="shared" si="78"/>
        <v>8.6336068498037821E-2</v>
      </c>
      <c r="I317" s="1" t="str">
        <f t="shared" si="79"/>
        <v/>
      </c>
      <c r="J317" s="1" t="str">
        <f t="shared" si="80"/>
        <v/>
      </c>
      <c r="K317" s="1" t="str">
        <f t="shared" si="81"/>
        <v/>
      </c>
      <c r="L317" s="1" t="str">
        <f t="shared" si="82"/>
        <v/>
      </c>
    </row>
    <row r="318" spans="1:12">
      <c r="A318" t="s">
        <v>113</v>
      </c>
      <c r="B318">
        <v>8</v>
      </c>
      <c r="C318" t="str">
        <f t="shared" si="76"/>
        <v>test.ImageData_8_</v>
      </c>
      <c r="D318">
        <v>21</v>
      </c>
      <c r="E318">
        <v>0.17873706742775597</v>
      </c>
      <c r="F318">
        <v>0.29411764705882354</v>
      </c>
      <c r="G318" s="1" t="str">
        <f t="shared" si="77"/>
        <v/>
      </c>
      <c r="H318" s="1">
        <f t="shared" si="78"/>
        <v>0.17873706742775597</v>
      </c>
      <c r="I318" s="1" t="str">
        <f t="shared" si="79"/>
        <v/>
      </c>
      <c r="J318" s="1" t="str">
        <f t="shared" si="80"/>
        <v/>
      </c>
      <c r="K318" s="1" t="str">
        <f t="shared" si="81"/>
        <v/>
      </c>
      <c r="L318" s="1" t="str">
        <f t="shared" si="82"/>
        <v/>
      </c>
    </row>
    <row r="319" spans="1:12">
      <c r="A319" t="s">
        <v>113</v>
      </c>
      <c r="B319">
        <v>8</v>
      </c>
      <c r="C319" t="str">
        <f t="shared" si="76"/>
        <v>test.ImageData_8_</v>
      </c>
      <c r="D319">
        <v>22</v>
      </c>
      <c r="E319">
        <v>0.41705315733143061</v>
      </c>
      <c r="F319">
        <v>0.58823529411764708</v>
      </c>
      <c r="G319" s="1" t="str">
        <f t="shared" si="77"/>
        <v/>
      </c>
      <c r="H319" s="1" t="str">
        <f t="shared" si="78"/>
        <v/>
      </c>
      <c r="I319" s="1">
        <f t="shared" si="79"/>
        <v>0.41705315733143061</v>
      </c>
      <c r="J319" s="1" t="str">
        <f t="shared" si="80"/>
        <v/>
      </c>
      <c r="K319" s="1" t="str">
        <f t="shared" si="81"/>
        <v/>
      </c>
      <c r="L319" s="1" t="str">
        <f t="shared" si="82"/>
        <v/>
      </c>
    </row>
    <row r="320" spans="1:12">
      <c r="A320" t="s">
        <v>113</v>
      </c>
      <c r="B320">
        <v>8</v>
      </c>
      <c r="C320" t="str">
        <f t="shared" si="76"/>
        <v>test.ImageData_8_</v>
      </c>
      <c r="D320">
        <v>23</v>
      </c>
      <c r="E320">
        <v>0.73599714591509102</v>
      </c>
      <c r="F320">
        <v>0.58823725490196077</v>
      </c>
      <c r="G320" s="1" t="str">
        <f t="shared" si="77"/>
        <v/>
      </c>
      <c r="H320" s="1" t="str">
        <f t="shared" si="78"/>
        <v/>
      </c>
      <c r="I320" s="1">
        <f t="shared" si="79"/>
        <v>0.73599714591509102</v>
      </c>
      <c r="J320" s="1" t="str">
        <f t="shared" si="80"/>
        <v/>
      </c>
      <c r="K320" s="1" t="str">
        <f t="shared" si="81"/>
        <v/>
      </c>
      <c r="L320" s="1" t="str">
        <f t="shared" si="82"/>
        <v/>
      </c>
    </row>
    <row r="321" spans="1:12">
      <c r="A321" t="s">
        <v>113</v>
      </c>
      <c r="B321">
        <v>8</v>
      </c>
      <c r="C321" t="str">
        <f t="shared" si="76"/>
        <v>test.ImageData_8_</v>
      </c>
      <c r="D321">
        <v>24</v>
      </c>
      <c r="E321">
        <v>1</v>
      </c>
      <c r="F321">
        <v>0.66666666666666663</v>
      </c>
      <c r="G321" s="1" t="str">
        <f t="shared" si="77"/>
        <v/>
      </c>
      <c r="H321" s="1" t="str">
        <f t="shared" si="78"/>
        <v/>
      </c>
      <c r="I321" s="1" t="str">
        <f t="shared" si="79"/>
        <v/>
      </c>
      <c r="J321" s="1">
        <f t="shared" si="80"/>
        <v>1</v>
      </c>
      <c r="K321" s="1" t="str">
        <f t="shared" si="81"/>
        <v/>
      </c>
      <c r="L321" s="1" t="str">
        <f t="shared" si="82"/>
        <v/>
      </c>
    </row>
    <row r="322" spans="1:12">
      <c r="A322" t="s">
        <v>113</v>
      </c>
      <c r="B322">
        <v>9</v>
      </c>
      <c r="C322" t="str">
        <f t="shared" si="76"/>
        <v>test.ImageData_9_</v>
      </c>
      <c r="D322">
        <v>25</v>
      </c>
      <c r="E322">
        <v>5.7093425605536333E-2</v>
      </c>
      <c r="F322">
        <v>0.22222222222222221</v>
      </c>
      <c r="G322" s="1" t="str">
        <f t="shared" si="77"/>
        <v/>
      </c>
      <c r="H322" s="1">
        <f t="shared" si="78"/>
        <v>5.7093425605536333E-2</v>
      </c>
      <c r="I322" s="1" t="str">
        <f t="shared" si="79"/>
        <v/>
      </c>
      <c r="J322" s="1" t="str">
        <f t="shared" si="80"/>
        <v/>
      </c>
      <c r="K322" s="1" t="str">
        <f t="shared" si="81"/>
        <v/>
      </c>
      <c r="L322" s="1" t="str">
        <f t="shared" si="82"/>
        <v/>
      </c>
    </row>
    <row r="323" spans="1:12">
      <c r="A323" t="s">
        <v>113</v>
      </c>
      <c r="B323">
        <v>9</v>
      </c>
      <c r="C323" t="str">
        <f t="shared" ref="C323:C386" si="83">CONCATENATE(A323, "_",B323,"_")</f>
        <v>test.ImageData_9_</v>
      </c>
      <c r="D323">
        <v>26</v>
      </c>
      <c r="E323">
        <v>5.8823529411764705E-2</v>
      </c>
      <c r="F323">
        <v>0.23809523809523808</v>
      </c>
      <c r="G323" s="1" t="str">
        <f t="shared" ref="G323:G386" si="84">IF($F323 &lt;= 0.2,$E323,"")</f>
        <v/>
      </c>
      <c r="H323" s="1">
        <f t="shared" ref="H323:H386" si="85">IF(AND($F323 &gt; 0.2,$F323 &lt;= 0.4),$E323,"")</f>
        <v>5.8823529411764705E-2</v>
      </c>
      <c r="I323" s="1" t="str">
        <f t="shared" ref="I323:I386" si="86">IF(AND($F323 &gt; 0.4,$F323 &lt;= 0.6),$E323,"")</f>
        <v/>
      </c>
      <c r="J323" s="1" t="str">
        <f t="shared" ref="J323:J386" si="87">IF(AND($F323 &gt; 0.6,$F323 &lt;= 0.8),$E323,"")</f>
        <v/>
      </c>
      <c r="K323" s="1" t="str">
        <f t="shared" ref="K323:K386" si="88">IF(AND($F323 &gt; 0.8, $F323 &lt;=1.1),$E323,"")</f>
        <v/>
      </c>
      <c r="L323" s="1" t="str">
        <f t="shared" ref="L323:L386" si="89">IF(AND($F323 &gt; 1.1),$E323,"")</f>
        <v/>
      </c>
    </row>
    <row r="324" spans="1:12">
      <c r="A324" t="s">
        <v>113</v>
      </c>
      <c r="B324">
        <v>9</v>
      </c>
      <c r="C324" t="str">
        <f t="shared" si="83"/>
        <v>test.ImageData_9_</v>
      </c>
      <c r="D324">
        <v>27</v>
      </c>
      <c r="E324">
        <v>0.1148356401384083</v>
      </c>
      <c r="F324">
        <v>0.2857142857142857</v>
      </c>
      <c r="G324" s="1" t="str">
        <f t="shared" si="84"/>
        <v/>
      </c>
      <c r="H324" s="1">
        <f t="shared" si="85"/>
        <v>0.1148356401384083</v>
      </c>
      <c r="I324" s="1" t="str">
        <f t="shared" si="86"/>
        <v/>
      </c>
      <c r="J324" s="1" t="str">
        <f t="shared" si="87"/>
        <v/>
      </c>
      <c r="K324" s="1" t="str">
        <f t="shared" si="88"/>
        <v/>
      </c>
      <c r="L324" s="1" t="str">
        <f t="shared" si="89"/>
        <v/>
      </c>
    </row>
    <row r="325" spans="1:12">
      <c r="A325" t="s">
        <v>113</v>
      </c>
      <c r="B325">
        <v>9</v>
      </c>
      <c r="C325" t="str">
        <f t="shared" si="83"/>
        <v>test.ImageData_9_</v>
      </c>
      <c r="D325">
        <v>28</v>
      </c>
      <c r="E325">
        <v>0.24178200692041524</v>
      </c>
      <c r="F325">
        <v>0.31746031746031744</v>
      </c>
      <c r="G325" s="1" t="str">
        <f t="shared" si="84"/>
        <v/>
      </c>
      <c r="H325" s="1">
        <f t="shared" si="85"/>
        <v>0.24178200692041524</v>
      </c>
      <c r="I325" s="1" t="str">
        <f t="shared" si="86"/>
        <v/>
      </c>
      <c r="J325" s="1" t="str">
        <f t="shared" si="87"/>
        <v/>
      </c>
      <c r="K325" s="1" t="str">
        <f t="shared" si="88"/>
        <v/>
      </c>
      <c r="L325" s="1" t="str">
        <f t="shared" si="89"/>
        <v/>
      </c>
    </row>
    <row r="326" spans="1:12">
      <c r="A326" t="s">
        <v>113</v>
      </c>
      <c r="B326">
        <v>9</v>
      </c>
      <c r="C326" t="str">
        <f t="shared" si="83"/>
        <v>test.ImageData_9_</v>
      </c>
      <c r="D326">
        <v>29</v>
      </c>
      <c r="E326">
        <v>0.33217993079584773</v>
      </c>
      <c r="F326">
        <v>0.33333333333333331</v>
      </c>
      <c r="G326" s="1" t="str">
        <f t="shared" si="84"/>
        <v/>
      </c>
      <c r="H326" s="1">
        <f t="shared" si="85"/>
        <v>0.33217993079584773</v>
      </c>
      <c r="I326" s="1" t="str">
        <f t="shared" si="86"/>
        <v/>
      </c>
      <c r="J326" s="1" t="str">
        <f t="shared" si="87"/>
        <v/>
      </c>
      <c r="K326" s="1" t="str">
        <f t="shared" si="88"/>
        <v/>
      </c>
      <c r="L326" s="1" t="str">
        <f t="shared" si="89"/>
        <v/>
      </c>
    </row>
    <row r="327" spans="1:12">
      <c r="A327" t="s">
        <v>113</v>
      </c>
      <c r="B327">
        <v>9</v>
      </c>
      <c r="C327" t="str">
        <f t="shared" si="83"/>
        <v>test.ImageData_9_</v>
      </c>
      <c r="D327">
        <v>30</v>
      </c>
      <c r="E327">
        <v>0.50216262975778547</v>
      </c>
      <c r="F327">
        <v>0.36507936507936506</v>
      </c>
      <c r="G327" s="1" t="str">
        <f t="shared" si="84"/>
        <v/>
      </c>
      <c r="H327" s="1">
        <f t="shared" si="85"/>
        <v>0.50216262975778547</v>
      </c>
      <c r="I327" s="1" t="str">
        <f t="shared" si="86"/>
        <v/>
      </c>
      <c r="J327" s="1" t="str">
        <f t="shared" si="87"/>
        <v/>
      </c>
      <c r="K327" s="1" t="str">
        <f t="shared" si="88"/>
        <v/>
      </c>
      <c r="L327" s="1" t="str">
        <f t="shared" si="89"/>
        <v/>
      </c>
    </row>
    <row r="328" spans="1:12">
      <c r="A328" t="s">
        <v>113</v>
      </c>
      <c r="B328">
        <v>9</v>
      </c>
      <c r="C328" t="str">
        <f t="shared" si="83"/>
        <v>test.ImageData_9_</v>
      </c>
      <c r="D328">
        <v>31</v>
      </c>
      <c r="E328">
        <v>0.64662629757785473</v>
      </c>
      <c r="F328">
        <v>0.42857142857142855</v>
      </c>
      <c r="G328" s="1" t="str">
        <f t="shared" si="84"/>
        <v/>
      </c>
      <c r="H328" s="1" t="str">
        <f t="shared" si="85"/>
        <v/>
      </c>
      <c r="I328" s="1">
        <f t="shared" si="86"/>
        <v>0.64662629757785473</v>
      </c>
      <c r="J328" s="1" t="str">
        <f t="shared" si="87"/>
        <v/>
      </c>
      <c r="K328" s="1" t="str">
        <f t="shared" si="88"/>
        <v/>
      </c>
      <c r="L328" s="1" t="str">
        <f t="shared" si="89"/>
        <v/>
      </c>
    </row>
    <row r="329" spans="1:12">
      <c r="A329" t="s">
        <v>113</v>
      </c>
      <c r="B329">
        <v>9</v>
      </c>
      <c r="C329" t="str">
        <f t="shared" si="83"/>
        <v>test.ImageData_9_</v>
      </c>
      <c r="D329">
        <v>32</v>
      </c>
      <c r="E329">
        <v>0.80666089965397925</v>
      </c>
      <c r="F329">
        <v>0.80952380952380953</v>
      </c>
      <c r="G329" s="1" t="str">
        <f t="shared" si="84"/>
        <v/>
      </c>
      <c r="H329" s="1" t="str">
        <f t="shared" si="85"/>
        <v/>
      </c>
      <c r="I329" s="1" t="str">
        <f t="shared" si="86"/>
        <v/>
      </c>
      <c r="J329" s="1" t="str">
        <f t="shared" si="87"/>
        <v/>
      </c>
      <c r="K329" s="1">
        <f t="shared" si="88"/>
        <v>0.80666089965397925</v>
      </c>
      <c r="L329" s="1" t="str">
        <f t="shared" si="89"/>
        <v/>
      </c>
    </row>
    <row r="330" spans="1:12">
      <c r="A330" t="s">
        <v>113</v>
      </c>
      <c r="B330">
        <v>9</v>
      </c>
      <c r="C330" t="str">
        <f t="shared" si="83"/>
        <v>test.ImageData_9_</v>
      </c>
      <c r="D330">
        <v>1</v>
      </c>
      <c r="E330">
        <v>1</v>
      </c>
      <c r="F330">
        <v>0.84126984126984128</v>
      </c>
      <c r="G330" s="1" t="str">
        <f t="shared" si="84"/>
        <v/>
      </c>
      <c r="H330" s="1" t="str">
        <f t="shared" si="85"/>
        <v/>
      </c>
      <c r="I330" s="1" t="str">
        <f t="shared" si="86"/>
        <v/>
      </c>
      <c r="J330" s="1" t="str">
        <f t="shared" si="87"/>
        <v/>
      </c>
      <c r="K330" s="1">
        <f t="shared" si="88"/>
        <v>1</v>
      </c>
      <c r="L330" s="1" t="str">
        <f t="shared" si="89"/>
        <v/>
      </c>
    </row>
    <row r="331" spans="1:12">
      <c r="A331" t="s">
        <v>113</v>
      </c>
      <c r="B331">
        <v>11</v>
      </c>
      <c r="C331" t="str">
        <f t="shared" si="83"/>
        <v>test.ImageData_11_</v>
      </c>
      <c r="D331">
        <v>2</v>
      </c>
      <c r="E331">
        <v>0.31725265739983649</v>
      </c>
      <c r="F331">
        <v>1.2857142857142858</v>
      </c>
      <c r="G331" s="1" t="str">
        <f t="shared" si="84"/>
        <v/>
      </c>
      <c r="H331" s="1" t="str">
        <f t="shared" si="85"/>
        <v/>
      </c>
      <c r="I331" s="1" t="str">
        <f t="shared" si="86"/>
        <v/>
      </c>
      <c r="J331" s="1" t="str">
        <f t="shared" si="87"/>
        <v/>
      </c>
      <c r="K331" s="1" t="str">
        <f t="shared" si="88"/>
        <v/>
      </c>
      <c r="L331" s="1">
        <f t="shared" si="89"/>
        <v>0.31725265739983649</v>
      </c>
    </row>
    <row r="332" spans="1:12">
      <c r="A332" t="s">
        <v>113</v>
      </c>
      <c r="B332">
        <v>11</v>
      </c>
      <c r="C332" t="str">
        <f t="shared" si="83"/>
        <v>test.ImageData_11_</v>
      </c>
      <c r="D332">
        <v>1</v>
      </c>
      <c r="E332">
        <v>1</v>
      </c>
      <c r="F332">
        <v>2.1428571428571428</v>
      </c>
      <c r="G332" s="1" t="str">
        <f t="shared" si="84"/>
        <v/>
      </c>
      <c r="H332" s="1" t="str">
        <f t="shared" si="85"/>
        <v/>
      </c>
      <c r="I332" s="1" t="str">
        <f t="shared" si="86"/>
        <v/>
      </c>
      <c r="J332" s="1" t="str">
        <f t="shared" si="87"/>
        <v/>
      </c>
      <c r="K332" s="1" t="str">
        <f t="shared" si="88"/>
        <v/>
      </c>
      <c r="L332" s="1">
        <f t="shared" si="89"/>
        <v>1</v>
      </c>
    </row>
    <row r="333" spans="1:12">
      <c r="A333" t="s">
        <v>113</v>
      </c>
      <c r="B333">
        <v>13</v>
      </c>
      <c r="C333" t="str">
        <f t="shared" si="83"/>
        <v>test.ImageData_13_</v>
      </c>
      <c r="D333">
        <v>2</v>
      </c>
      <c r="E333">
        <v>1.9681275796529347E-3</v>
      </c>
      <c r="F333">
        <v>1.9047619047619049E-2</v>
      </c>
      <c r="G333" s="1">
        <f t="shared" si="84"/>
        <v>1.9681275796529347E-3</v>
      </c>
      <c r="H333" s="1" t="str">
        <f t="shared" si="85"/>
        <v/>
      </c>
      <c r="I333" s="1" t="str">
        <f t="shared" si="86"/>
        <v/>
      </c>
      <c r="J333" s="1" t="str">
        <f t="shared" si="87"/>
        <v/>
      </c>
      <c r="K333" s="1" t="str">
        <f t="shared" si="88"/>
        <v/>
      </c>
      <c r="L333" s="1" t="str">
        <f t="shared" si="89"/>
        <v/>
      </c>
    </row>
    <row r="334" spans="1:12">
      <c r="A334" t="s">
        <v>113</v>
      </c>
      <c r="B334">
        <v>13</v>
      </c>
      <c r="C334" t="str">
        <f t="shared" si="83"/>
        <v>test.ImageData_13_</v>
      </c>
      <c r="D334">
        <v>3</v>
      </c>
      <c r="E334">
        <v>2.0805920127759596E-3</v>
      </c>
      <c r="F334">
        <v>2.0105820105820106E-2</v>
      </c>
      <c r="G334" s="1">
        <f t="shared" si="84"/>
        <v>2.0805920127759596E-3</v>
      </c>
      <c r="H334" s="1" t="str">
        <f t="shared" si="85"/>
        <v/>
      </c>
      <c r="I334" s="1" t="str">
        <f t="shared" si="86"/>
        <v/>
      </c>
      <c r="J334" s="1" t="str">
        <f t="shared" si="87"/>
        <v/>
      </c>
      <c r="K334" s="1" t="str">
        <f t="shared" si="88"/>
        <v/>
      </c>
      <c r="L334" s="1" t="str">
        <f t="shared" si="89"/>
        <v/>
      </c>
    </row>
    <row r="335" spans="1:12">
      <c r="A335" t="s">
        <v>113</v>
      </c>
      <c r="B335">
        <v>13</v>
      </c>
      <c r="C335" t="str">
        <f t="shared" si="83"/>
        <v>test.ImageData_13_</v>
      </c>
      <c r="D335">
        <v>4</v>
      </c>
      <c r="E335">
        <v>2.0805920127759596E-3</v>
      </c>
      <c r="F335">
        <v>2.1164021164021163E-2</v>
      </c>
      <c r="G335" s="1">
        <f t="shared" si="84"/>
        <v>2.0805920127759596E-3</v>
      </c>
      <c r="H335" s="1" t="str">
        <f t="shared" si="85"/>
        <v/>
      </c>
      <c r="I335" s="1" t="str">
        <f t="shared" si="86"/>
        <v/>
      </c>
      <c r="J335" s="1" t="str">
        <f t="shared" si="87"/>
        <v/>
      </c>
      <c r="K335" s="1" t="str">
        <f t="shared" si="88"/>
        <v/>
      </c>
      <c r="L335" s="1" t="str">
        <f t="shared" si="89"/>
        <v/>
      </c>
    </row>
    <row r="336" spans="1:12">
      <c r="A336" t="s">
        <v>113</v>
      </c>
      <c r="B336">
        <v>13</v>
      </c>
      <c r="C336" t="str">
        <f t="shared" si="83"/>
        <v>test.ImageData_13_</v>
      </c>
      <c r="D336">
        <v>5</v>
      </c>
      <c r="E336">
        <v>1</v>
      </c>
      <c r="F336">
        <v>1.6539682539682539</v>
      </c>
      <c r="G336" s="1" t="str">
        <f t="shared" si="84"/>
        <v/>
      </c>
      <c r="H336" s="1" t="str">
        <f t="shared" si="85"/>
        <v/>
      </c>
      <c r="I336" s="1" t="str">
        <f t="shared" si="86"/>
        <v/>
      </c>
      <c r="J336" s="1" t="str">
        <f t="shared" si="87"/>
        <v/>
      </c>
      <c r="K336" s="1" t="str">
        <f t="shared" si="88"/>
        <v/>
      </c>
      <c r="L336" s="1">
        <f t="shared" si="89"/>
        <v>1</v>
      </c>
    </row>
    <row r="337" spans="1:12">
      <c r="A337" t="s">
        <v>113</v>
      </c>
      <c r="B337">
        <v>14</v>
      </c>
      <c r="C337" t="str">
        <f t="shared" si="83"/>
        <v>test.ImageData_14_</v>
      </c>
      <c r="D337">
        <v>6</v>
      </c>
      <c r="E337">
        <v>2.3685563987115052E-3</v>
      </c>
      <c r="F337">
        <v>2.4804177545691905E-2</v>
      </c>
      <c r="G337" s="1">
        <f t="shared" si="84"/>
        <v>2.3685563987115052E-3</v>
      </c>
      <c r="H337" s="1" t="str">
        <f t="shared" si="85"/>
        <v/>
      </c>
      <c r="I337" s="1" t="str">
        <f t="shared" si="86"/>
        <v/>
      </c>
      <c r="J337" s="1" t="str">
        <f t="shared" si="87"/>
        <v/>
      </c>
      <c r="K337" s="1" t="str">
        <f t="shared" si="88"/>
        <v/>
      </c>
      <c r="L337" s="1" t="str">
        <f t="shared" si="89"/>
        <v/>
      </c>
    </row>
    <row r="338" spans="1:12">
      <c r="A338" t="s">
        <v>113</v>
      </c>
      <c r="B338">
        <v>14</v>
      </c>
      <c r="C338" t="str">
        <f t="shared" si="83"/>
        <v>test.ImageData_14_</v>
      </c>
      <c r="D338">
        <v>7</v>
      </c>
      <c r="E338">
        <v>2.5039024786378769E-3</v>
      </c>
      <c r="F338">
        <v>2.4804308093994778E-2</v>
      </c>
      <c r="G338" s="1">
        <f t="shared" si="84"/>
        <v>2.5039024786378769E-3</v>
      </c>
      <c r="H338" s="1" t="str">
        <f t="shared" si="85"/>
        <v/>
      </c>
      <c r="I338" s="1" t="str">
        <f t="shared" si="86"/>
        <v/>
      </c>
      <c r="J338" s="1" t="str">
        <f t="shared" si="87"/>
        <v/>
      </c>
      <c r="K338" s="1" t="str">
        <f t="shared" si="88"/>
        <v/>
      </c>
      <c r="L338" s="1" t="str">
        <f t="shared" si="89"/>
        <v/>
      </c>
    </row>
    <row r="339" spans="1:12">
      <c r="A339" t="s">
        <v>113</v>
      </c>
      <c r="B339">
        <v>14</v>
      </c>
      <c r="C339" t="str">
        <f t="shared" si="83"/>
        <v>test.ImageData_14_</v>
      </c>
      <c r="D339">
        <v>8</v>
      </c>
      <c r="E339">
        <v>2.5039024786378769E-3</v>
      </c>
      <c r="F339">
        <v>2.7415143603133161E-2</v>
      </c>
      <c r="G339" s="1">
        <f t="shared" si="84"/>
        <v>2.5039024786378769E-3</v>
      </c>
      <c r="H339" s="1" t="str">
        <f t="shared" si="85"/>
        <v/>
      </c>
      <c r="I339" s="1" t="str">
        <f t="shared" si="86"/>
        <v/>
      </c>
      <c r="J339" s="1" t="str">
        <f t="shared" si="87"/>
        <v/>
      </c>
      <c r="K339" s="1" t="str">
        <f t="shared" si="88"/>
        <v/>
      </c>
      <c r="L339" s="1" t="str">
        <f t="shared" si="89"/>
        <v/>
      </c>
    </row>
    <row r="340" spans="1:12">
      <c r="A340" t="s">
        <v>113</v>
      </c>
      <c r="B340">
        <v>14</v>
      </c>
      <c r="C340" t="str">
        <f t="shared" si="83"/>
        <v>test.ImageData_14_</v>
      </c>
      <c r="D340">
        <v>1</v>
      </c>
      <c r="E340">
        <v>0.23968437294161171</v>
      </c>
      <c r="F340">
        <v>0.51436031331592691</v>
      </c>
      <c r="G340" s="1" t="str">
        <f t="shared" si="84"/>
        <v/>
      </c>
      <c r="H340" s="1" t="str">
        <f t="shared" si="85"/>
        <v/>
      </c>
      <c r="I340" s="1">
        <f t="shared" si="86"/>
        <v>0.23968437294161171</v>
      </c>
      <c r="J340" s="1" t="str">
        <f t="shared" si="87"/>
        <v/>
      </c>
      <c r="K340" s="1" t="str">
        <f t="shared" si="88"/>
        <v/>
      </c>
      <c r="L340" s="1" t="str">
        <f t="shared" si="89"/>
        <v/>
      </c>
    </row>
    <row r="341" spans="1:12">
      <c r="A341" t="s">
        <v>113</v>
      </c>
      <c r="B341">
        <v>14</v>
      </c>
      <c r="C341" t="str">
        <f t="shared" si="83"/>
        <v>test.ImageData_14_</v>
      </c>
      <c r="D341">
        <v>2</v>
      </c>
      <c r="E341">
        <v>0.23968437294161171</v>
      </c>
      <c r="F341">
        <v>0.53263707571801566</v>
      </c>
      <c r="G341" s="1" t="str">
        <f t="shared" si="84"/>
        <v/>
      </c>
      <c r="H341" s="1" t="str">
        <f t="shared" si="85"/>
        <v/>
      </c>
      <c r="I341" s="1">
        <f t="shared" si="86"/>
        <v>0.23968437294161171</v>
      </c>
      <c r="J341" s="1" t="str">
        <f t="shared" si="87"/>
        <v/>
      </c>
      <c r="K341" s="1" t="str">
        <f t="shared" si="88"/>
        <v/>
      </c>
      <c r="L341" s="1" t="str">
        <f t="shared" si="89"/>
        <v/>
      </c>
    </row>
    <row r="342" spans="1:12">
      <c r="A342" t="s">
        <v>113</v>
      </c>
      <c r="B342">
        <v>14</v>
      </c>
      <c r="C342" t="str">
        <f t="shared" si="83"/>
        <v>test.ImageData_14_</v>
      </c>
      <c r="D342">
        <v>3</v>
      </c>
      <c r="E342">
        <v>0.37500338365199815</v>
      </c>
      <c r="F342">
        <v>0.71279373368146215</v>
      </c>
      <c r="G342" s="1" t="str">
        <f t="shared" si="84"/>
        <v/>
      </c>
      <c r="H342" s="1" t="str">
        <f t="shared" si="85"/>
        <v/>
      </c>
      <c r="I342" s="1" t="str">
        <f t="shared" si="86"/>
        <v/>
      </c>
      <c r="J342" s="1">
        <f t="shared" si="87"/>
        <v>0.37500338365199815</v>
      </c>
      <c r="K342" s="1" t="str">
        <f t="shared" si="88"/>
        <v/>
      </c>
      <c r="L342" s="1" t="str">
        <f t="shared" si="89"/>
        <v/>
      </c>
    </row>
    <row r="343" spans="1:12">
      <c r="A343" t="s">
        <v>113</v>
      </c>
      <c r="B343">
        <v>14</v>
      </c>
      <c r="C343" t="str">
        <f t="shared" si="83"/>
        <v>test.ImageData_14_</v>
      </c>
      <c r="D343">
        <v>4</v>
      </c>
      <c r="E343">
        <v>0.37500338365199815</v>
      </c>
      <c r="F343">
        <v>0.82767624020887731</v>
      </c>
      <c r="G343" s="1" t="str">
        <f t="shared" si="84"/>
        <v/>
      </c>
      <c r="H343" s="1" t="str">
        <f t="shared" si="85"/>
        <v/>
      </c>
      <c r="I343" s="1" t="str">
        <f t="shared" si="86"/>
        <v/>
      </c>
      <c r="J343" s="1" t="str">
        <f t="shared" si="87"/>
        <v/>
      </c>
      <c r="K343" s="1">
        <f t="shared" si="88"/>
        <v>0.37500338365199815</v>
      </c>
      <c r="L343" s="1" t="str">
        <f t="shared" si="89"/>
        <v/>
      </c>
    </row>
    <row r="344" spans="1:12">
      <c r="A344" t="s">
        <v>113</v>
      </c>
      <c r="B344">
        <v>14</v>
      </c>
      <c r="C344" t="str">
        <f t="shared" si="83"/>
        <v>test.ImageData_14_</v>
      </c>
      <c r="D344">
        <v>5</v>
      </c>
      <c r="E344">
        <v>1</v>
      </c>
      <c r="F344">
        <v>1.0900783289817233</v>
      </c>
      <c r="G344" s="1" t="str">
        <f t="shared" si="84"/>
        <v/>
      </c>
      <c r="H344" s="1" t="str">
        <f t="shared" si="85"/>
        <v/>
      </c>
      <c r="I344" s="1" t="str">
        <f t="shared" si="86"/>
        <v/>
      </c>
      <c r="J344" s="1" t="str">
        <f t="shared" si="87"/>
        <v/>
      </c>
      <c r="K344" s="1">
        <f t="shared" si="88"/>
        <v>1</v>
      </c>
      <c r="L344" s="1" t="str">
        <f t="shared" si="89"/>
        <v/>
      </c>
    </row>
    <row r="345" spans="1:12">
      <c r="A345" t="s">
        <v>113</v>
      </c>
      <c r="B345">
        <v>14</v>
      </c>
      <c r="C345" t="str">
        <f t="shared" si="83"/>
        <v>test.ImageData_14_</v>
      </c>
      <c r="D345">
        <v>6</v>
      </c>
      <c r="E345">
        <v>1</v>
      </c>
      <c r="F345">
        <v>1.1005221932114881</v>
      </c>
      <c r="G345" s="1" t="str">
        <f t="shared" si="84"/>
        <v/>
      </c>
      <c r="H345" s="1" t="str">
        <f t="shared" si="85"/>
        <v/>
      </c>
      <c r="I345" s="1" t="str">
        <f t="shared" si="86"/>
        <v/>
      </c>
      <c r="J345" s="1" t="str">
        <f t="shared" si="87"/>
        <v/>
      </c>
      <c r="K345" s="1" t="str">
        <f t="shared" si="88"/>
        <v/>
      </c>
      <c r="L345" s="1">
        <f t="shared" si="89"/>
        <v>1</v>
      </c>
    </row>
    <row r="346" spans="1:12">
      <c r="A346" t="s">
        <v>113</v>
      </c>
      <c r="B346">
        <v>15</v>
      </c>
      <c r="C346" t="str">
        <f t="shared" si="83"/>
        <v>test.ImageData_15_</v>
      </c>
      <c r="D346">
        <v>1</v>
      </c>
      <c r="E346">
        <v>3.6641402804552777E-3</v>
      </c>
      <c r="F346">
        <v>2.3847376788553261E-2</v>
      </c>
      <c r="G346" s="1">
        <f t="shared" si="84"/>
        <v>3.6641402804552777E-3</v>
      </c>
      <c r="H346" s="1" t="str">
        <f t="shared" si="85"/>
        <v/>
      </c>
      <c r="I346" s="1" t="str">
        <f t="shared" si="86"/>
        <v/>
      </c>
      <c r="J346" s="1" t="str">
        <f t="shared" si="87"/>
        <v/>
      </c>
      <c r="K346" s="1" t="str">
        <f t="shared" si="88"/>
        <v/>
      </c>
      <c r="L346" s="1" t="str">
        <f t="shared" si="89"/>
        <v/>
      </c>
    </row>
    <row r="347" spans="1:12">
      <c r="A347" t="s">
        <v>113</v>
      </c>
      <c r="B347">
        <v>15</v>
      </c>
      <c r="C347" t="str">
        <f t="shared" si="83"/>
        <v>test.ImageData_15_</v>
      </c>
      <c r="D347">
        <v>2</v>
      </c>
      <c r="E347">
        <v>3.6641402804552777E-3</v>
      </c>
      <c r="F347">
        <v>2.5437201907790145E-2</v>
      </c>
      <c r="G347" s="1">
        <f t="shared" si="84"/>
        <v>3.6641402804552777E-3</v>
      </c>
      <c r="H347" s="1" t="str">
        <f t="shared" si="85"/>
        <v/>
      </c>
      <c r="I347" s="1" t="str">
        <f t="shared" si="86"/>
        <v/>
      </c>
      <c r="J347" s="1" t="str">
        <f t="shared" si="87"/>
        <v/>
      </c>
      <c r="K347" s="1" t="str">
        <f t="shared" si="88"/>
        <v/>
      </c>
      <c r="L347" s="1" t="str">
        <f t="shared" si="89"/>
        <v/>
      </c>
    </row>
    <row r="348" spans="1:12">
      <c r="A348" t="s">
        <v>113</v>
      </c>
      <c r="B348">
        <v>15</v>
      </c>
      <c r="C348" t="str">
        <f t="shared" si="83"/>
        <v>test.ImageData_15_</v>
      </c>
      <c r="D348">
        <v>3</v>
      </c>
      <c r="E348">
        <v>3.6641402804552777E-3</v>
      </c>
      <c r="F348">
        <v>2.5437360890302067E-2</v>
      </c>
      <c r="G348" s="1">
        <f t="shared" si="84"/>
        <v>3.6641402804552777E-3</v>
      </c>
      <c r="H348" s="1" t="str">
        <f t="shared" si="85"/>
        <v/>
      </c>
      <c r="I348" s="1" t="str">
        <f t="shared" si="86"/>
        <v/>
      </c>
      <c r="J348" s="1" t="str">
        <f t="shared" si="87"/>
        <v/>
      </c>
      <c r="K348" s="1" t="str">
        <f t="shared" si="88"/>
        <v/>
      </c>
      <c r="L348" s="1" t="str">
        <f t="shared" si="89"/>
        <v/>
      </c>
    </row>
    <row r="349" spans="1:12">
      <c r="A349" t="s">
        <v>113</v>
      </c>
      <c r="B349">
        <v>15</v>
      </c>
      <c r="C349" t="str">
        <f t="shared" si="83"/>
        <v>test.ImageData_15_</v>
      </c>
      <c r="D349">
        <v>4</v>
      </c>
      <c r="E349">
        <v>1</v>
      </c>
      <c r="F349">
        <v>1.4562798092209857</v>
      </c>
      <c r="G349" s="1" t="str">
        <f t="shared" si="84"/>
        <v/>
      </c>
      <c r="H349" s="1" t="str">
        <f t="shared" si="85"/>
        <v/>
      </c>
      <c r="I349" s="1" t="str">
        <f t="shared" si="86"/>
        <v/>
      </c>
      <c r="J349" s="1" t="str">
        <f t="shared" si="87"/>
        <v/>
      </c>
      <c r="K349" s="1" t="str">
        <f t="shared" si="88"/>
        <v/>
      </c>
      <c r="L349" s="1">
        <f t="shared" si="89"/>
        <v>1</v>
      </c>
    </row>
    <row r="350" spans="1:12">
      <c r="A350" t="s">
        <v>113</v>
      </c>
      <c r="B350">
        <v>16</v>
      </c>
      <c r="C350" t="str">
        <f t="shared" si="83"/>
        <v>test.ImageData_16_</v>
      </c>
      <c r="D350">
        <v>5</v>
      </c>
      <c r="E350">
        <v>2.1582169204206561E-3</v>
      </c>
      <c r="F350">
        <v>2.2788203753351208E-2</v>
      </c>
      <c r="G350" s="1">
        <f t="shared" si="84"/>
        <v>2.1582169204206561E-3</v>
      </c>
      <c r="H350" s="1" t="str">
        <f t="shared" si="85"/>
        <v/>
      </c>
      <c r="I350" s="1" t="str">
        <f t="shared" si="86"/>
        <v/>
      </c>
      <c r="J350" s="1" t="str">
        <f t="shared" si="87"/>
        <v/>
      </c>
      <c r="K350" s="1" t="str">
        <f t="shared" si="88"/>
        <v/>
      </c>
      <c r="L350" s="1" t="str">
        <f t="shared" si="89"/>
        <v/>
      </c>
    </row>
    <row r="351" spans="1:12">
      <c r="A351" t="s">
        <v>113</v>
      </c>
      <c r="B351">
        <v>16</v>
      </c>
      <c r="C351" t="str">
        <f t="shared" si="83"/>
        <v>test.ImageData_16_</v>
      </c>
      <c r="D351">
        <v>6</v>
      </c>
      <c r="E351">
        <v>2.2890179459006958E-3</v>
      </c>
      <c r="F351">
        <v>2.5469168900804289E-2</v>
      </c>
      <c r="G351" s="1">
        <f t="shared" si="84"/>
        <v>2.2890179459006958E-3</v>
      </c>
      <c r="H351" s="1" t="str">
        <f t="shared" si="85"/>
        <v/>
      </c>
      <c r="I351" s="1" t="str">
        <f t="shared" si="86"/>
        <v/>
      </c>
      <c r="J351" s="1" t="str">
        <f t="shared" si="87"/>
        <v/>
      </c>
      <c r="K351" s="1" t="str">
        <f t="shared" si="88"/>
        <v/>
      </c>
      <c r="L351" s="1" t="str">
        <f t="shared" si="89"/>
        <v/>
      </c>
    </row>
    <row r="352" spans="1:12">
      <c r="A352" t="s">
        <v>113</v>
      </c>
      <c r="B352">
        <v>16</v>
      </c>
      <c r="C352" t="str">
        <f t="shared" si="83"/>
        <v>test.ImageData_16_</v>
      </c>
      <c r="D352">
        <v>7</v>
      </c>
      <c r="E352">
        <v>2.4198189713807356E-3</v>
      </c>
      <c r="F352">
        <v>2.6809651474530832E-2</v>
      </c>
      <c r="G352" s="1">
        <f t="shared" si="84"/>
        <v>2.4198189713807356E-3</v>
      </c>
      <c r="H352" s="1" t="str">
        <f t="shared" si="85"/>
        <v/>
      </c>
      <c r="I352" s="1" t="str">
        <f t="shared" si="86"/>
        <v/>
      </c>
      <c r="J352" s="1" t="str">
        <f t="shared" si="87"/>
        <v/>
      </c>
      <c r="K352" s="1" t="str">
        <f t="shared" si="88"/>
        <v/>
      </c>
      <c r="L352" s="1" t="str">
        <f t="shared" si="89"/>
        <v/>
      </c>
    </row>
    <row r="353" spans="1:12">
      <c r="A353" t="s">
        <v>113</v>
      </c>
      <c r="B353">
        <v>16</v>
      </c>
      <c r="C353" t="str">
        <f t="shared" si="83"/>
        <v>test.ImageData_16_</v>
      </c>
      <c r="D353">
        <v>8</v>
      </c>
      <c r="E353">
        <v>1</v>
      </c>
      <c r="F353">
        <v>1.3378016085790885</v>
      </c>
      <c r="G353" s="1" t="str">
        <f t="shared" si="84"/>
        <v/>
      </c>
      <c r="H353" s="1" t="str">
        <f t="shared" si="85"/>
        <v/>
      </c>
      <c r="I353" s="1" t="str">
        <f t="shared" si="86"/>
        <v/>
      </c>
      <c r="J353" s="1" t="str">
        <f t="shared" si="87"/>
        <v/>
      </c>
      <c r="K353" s="1" t="str">
        <f t="shared" si="88"/>
        <v/>
      </c>
      <c r="L353" s="1">
        <f t="shared" si="89"/>
        <v>1</v>
      </c>
    </row>
    <row r="354" spans="1:12">
      <c r="A354" t="s">
        <v>113</v>
      </c>
      <c r="B354">
        <v>20</v>
      </c>
      <c r="C354" t="str">
        <f t="shared" si="83"/>
        <v>test.ImageData_20_</v>
      </c>
      <c r="D354">
        <v>9</v>
      </c>
      <c r="E354">
        <v>0.61643835616438358</v>
      </c>
      <c r="F354">
        <v>1.6</v>
      </c>
      <c r="G354" s="1" t="str">
        <f t="shared" si="84"/>
        <v/>
      </c>
      <c r="H354" s="1" t="str">
        <f t="shared" si="85"/>
        <v/>
      </c>
      <c r="I354" s="1" t="str">
        <f t="shared" si="86"/>
        <v/>
      </c>
      <c r="J354" s="1" t="str">
        <f t="shared" si="87"/>
        <v/>
      </c>
      <c r="K354" s="1" t="str">
        <f t="shared" si="88"/>
        <v/>
      </c>
      <c r="L354" s="1">
        <f t="shared" si="89"/>
        <v>0.61643835616438358</v>
      </c>
    </row>
    <row r="355" spans="1:12">
      <c r="A355" t="s">
        <v>113</v>
      </c>
      <c r="B355">
        <v>20</v>
      </c>
      <c r="C355" t="str">
        <f t="shared" si="83"/>
        <v>test.ImageData_20_</v>
      </c>
      <c r="D355">
        <v>1</v>
      </c>
      <c r="E355">
        <v>1</v>
      </c>
      <c r="F355">
        <v>1.60002</v>
      </c>
      <c r="G355" s="1" t="str">
        <f t="shared" si="84"/>
        <v/>
      </c>
      <c r="H355" s="1" t="str">
        <f t="shared" si="85"/>
        <v/>
      </c>
      <c r="I355" s="1" t="str">
        <f t="shared" si="86"/>
        <v/>
      </c>
      <c r="J355" s="1" t="str">
        <f t="shared" si="87"/>
        <v/>
      </c>
      <c r="K355" s="1" t="str">
        <f t="shared" si="88"/>
        <v/>
      </c>
      <c r="L355" s="1">
        <f t="shared" si="89"/>
        <v>1</v>
      </c>
    </row>
    <row r="356" spans="1:12">
      <c r="A356" t="s">
        <v>113</v>
      </c>
      <c r="B356">
        <v>21</v>
      </c>
      <c r="C356" t="str">
        <f t="shared" si="83"/>
        <v>test.ImageData_21_</v>
      </c>
      <c r="D356">
        <v>2</v>
      </c>
      <c r="E356">
        <v>0.53979460847240046</v>
      </c>
      <c r="F356">
        <v>1.2857142857142858</v>
      </c>
      <c r="G356" s="1" t="str">
        <f t="shared" si="84"/>
        <v/>
      </c>
      <c r="H356" s="1" t="str">
        <f t="shared" si="85"/>
        <v/>
      </c>
      <c r="I356" s="1" t="str">
        <f t="shared" si="86"/>
        <v/>
      </c>
      <c r="J356" s="1" t="str">
        <f t="shared" si="87"/>
        <v/>
      </c>
      <c r="K356" s="1" t="str">
        <f t="shared" si="88"/>
        <v/>
      </c>
      <c r="L356" s="1">
        <f t="shared" si="89"/>
        <v>0.53979460847240046</v>
      </c>
    </row>
    <row r="357" spans="1:12">
      <c r="A357" t="s">
        <v>113</v>
      </c>
      <c r="B357">
        <v>21</v>
      </c>
      <c r="C357" t="str">
        <f t="shared" si="83"/>
        <v>test.ImageData_21_</v>
      </c>
      <c r="D357">
        <v>3</v>
      </c>
      <c r="E357">
        <v>1</v>
      </c>
      <c r="F357">
        <v>1.3571428571428572</v>
      </c>
      <c r="G357" s="1" t="str">
        <f t="shared" si="84"/>
        <v/>
      </c>
      <c r="H357" s="1" t="str">
        <f t="shared" si="85"/>
        <v/>
      </c>
      <c r="I357" s="1" t="str">
        <f t="shared" si="86"/>
        <v/>
      </c>
      <c r="J357" s="1" t="str">
        <f t="shared" si="87"/>
        <v/>
      </c>
      <c r="K357" s="1" t="str">
        <f t="shared" si="88"/>
        <v/>
      </c>
      <c r="L357" s="1">
        <f t="shared" si="89"/>
        <v>1</v>
      </c>
    </row>
    <row r="358" spans="1:12">
      <c r="A358" t="s">
        <v>145</v>
      </c>
      <c r="B358">
        <v>0</v>
      </c>
      <c r="C358" t="str">
        <f t="shared" si="83"/>
        <v>test.QRCodeDataBlockReader_0_</v>
      </c>
      <c r="D358">
        <v>4</v>
      </c>
      <c r="E358">
        <v>0.80622837370242217</v>
      </c>
      <c r="F358">
        <v>2</v>
      </c>
      <c r="G358" s="1" t="str">
        <f t="shared" si="84"/>
        <v/>
      </c>
      <c r="H358" s="1" t="str">
        <f t="shared" si="85"/>
        <v/>
      </c>
      <c r="I358" s="1" t="str">
        <f t="shared" si="86"/>
        <v/>
      </c>
      <c r="J358" s="1" t="str">
        <f t="shared" si="87"/>
        <v/>
      </c>
      <c r="K358" s="1" t="str">
        <f t="shared" si="88"/>
        <v/>
      </c>
      <c r="L358" s="1">
        <f t="shared" si="89"/>
        <v>0.80622837370242217</v>
      </c>
    </row>
    <row r="359" spans="1:12">
      <c r="A359" t="s">
        <v>145</v>
      </c>
      <c r="B359">
        <v>0</v>
      </c>
      <c r="C359" t="str">
        <f t="shared" si="83"/>
        <v>test.QRCodeDataBlockReader_0_</v>
      </c>
      <c r="D359">
        <v>5</v>
      </c>
      <c r="E359">
        <v>0.94463667820069208</v>
      </c>
      <c r="F359">
        <v>2.0000249999999999</v>
      </c>
      <c r="G359" s="1" t="str">
        <f t="shared" si="84"/>
        <v/>
      </c>
      <c r="H359" s="1" t="str">
        <f t="shared" si="85"/>
        <v/>
      </c>
      <c r="I359" s="1" t="str">
        <f t="shared" si="86"/>
        <v/>
      </c>
      <c r="J359" s="1" t="str">
        <f t="shared" si="87"/>
        <v/>
      </c>
      <c r="K359" s="1" t="str">
        <f t="shared" si="88"/>
        <v/>
      </c>
      <c r="L359" s="1">
        <f t="shared" si="89"/>
        <v>0.94463667820069208</v>
      </c>
    </row>
    <row r="360" spans="1:12">
      <c r="A360" t="s">
        <v>145</v>
      </c>
      <c r="B360">
        <v>0</v>
      </c>
      <c r="C360" t="str">
        <f t="shared" si="83"/>
        <v>test.QRCodeDataBlockReader_0_</v>
      </c>
      <c r="D360">
        <v>6</v>
      </c>
      <c r="E360">
        <v>1</v>
      </c>
      <c r="F360">
        <v>2.5</v>
      </c>
      <c r="G360" s="1" t="str">
        <f t="shared" si="84"/>
        <v/>
      </c>
      <c r="H360" s="1" t="str">
        <f t="shared" si="85"/>
        <v/>
      </c>
      <c r="I360" s="1" t="str">
        <f t="shared" si="86"/>
        <v/>
      </c>
      <c r="J360" s="1" t="str">
        <f t="shared" si="87"/>
        <v/>
      </c>
      <c r="K360" s="1" t="str">
        <f t="shared" si="88"/>
        <v/>
      </c>
      <c r="L360" s="1">
        <f t="shared" si="89"/>
        <v>1</v>
      </c>
    </row>
    <row r="361" spans="1:12">
      <c r="A361" t="s">
        <v>145</v>
      </c>
      <c r="B361">
        <v>1</v>
      </c>
      <c r="C361" t="str">
        <f t="shared" si="83"/>
        <v>test.QRCodeDataBlockReader_1_</v>
      </c>
      <c r="D361">
        <v>1</v>
      </c>
      <c r="E361">
        <v>4.1444398851046366E-2</v>
      </c>
      <c r="F361">
        <v>0.63636363636363635</v>
      </c>
      <c r="G361" s="1" t="str">
        <f t="shared" si="84"/>
        <v/>
      </c>
      <c r="H361" s="1" t="str">
        <f t="shared" si="85"/>
        <v/>
      </c>
      <c r="I361" s="1" t="str">
        <f t="shared" si="86"/>
        <v/>
      </c>
      <c r="J361" s="1">
        <f t="shared" si="87"/>
        <v>4.1444398851046366E-2</v>
      </c>
      <c r="K361" s="1" t="str">
        <f t="shared" si="88"/>
        <v/>
      </c>
      <c r="L361" s="1" t="str">
        <f t="shared" si="89"/>
        <v/>
      </c>
    </row>
    <row r="362" spans="1:12">
      <c r="A362" t="s">
        <v>145</v>
      </c>
      <c r="B362">
        <v>1</v>
      </c>
      <c r="C362" t="str">
        <f t="shared" si="83"/>
        <v>test.QRCodeDataBlockReader_1_</v>
      </c>
      <c r="D362">
        <v>2</v>
      </c>
      <c r="E362">
        <v>0.12802626179729176</v>
      </c>
      <c r="F362">
        <v>0.72727272727272729</v>
      </c>
      <c r="G362" s="1" t="str">
        <f t="shared" si="84"/>
        <v/>
      </c>
      <c r="H362" s="1" t="str">
        <f t="shared" si="85"/>
        <v/>
      </c>
      <c r="I362" s="1" t="str">
        <f t="shared" si="86"/>
        <v/>
      </c>
      <c r="J362" s="1">
        <f t="shared" si="87"/>
        <v>0.12802626179729176</v>
      </c>
      <c r="K362" s="1" t="str">
        <f t="shared" si="88"/>
        <v/>
      </c>
      <c r="L362" s="1" t="str">
        <f t="shared" si="89"/>
        <v/>
      </c>
    </row>
    <row r="363" spans="1:12">
      <c r="A363" t="s">
        <v>145</v>
      </c>
      <c r="B363">
        <v>1</v>
      </c>
      <c r="C363" t="str">
        <f t="shared" si="83"/>
        <v>test.QRCodeDataBlockReader_1_</v>
      </c>
      <c r="D363">
        <v>3</v>
      </c>
      <c r="E363">
        <v>0.80139515798112437</v>
      </c>
      <c r="F363">
        <v>1.4545454545454546</v>
      </c>
      <c r="G363" s="1" t="str">
        <f t="shared" si="84"/>
        <v/>
      </c>
      <c r="H363" s="1" t="str">
        <f t="shared" si="85"/>
        <v/>
      </c>
      <c r="I363" s="1" t="str">
        <f t="shared" si="86"/>
        <v/>
      </c>
      <c r="J363" s="1" t="str">
        <f t="shared" si="87"/>
        <v/>
      </c>
      <c r="K363" s="1" t="str">
        <f t="shared" si="88"/>
        <v/>
      </c>
      <c r="L363" s="1">
        <f t="shared" si="89"/>
        <v>0.80139515798112437</v>
      </c>
    </row>
    <row r="364" spans="1:12">
      <c r="A364" t="s">
        <v>145</v>
      </c>
      <c r="B364">
        <v>1</v>
      </c>
      <c r="C364" t="str">
        <f t="shared" si="83"/>
        <v>test.QRCodeDataBlockReader_1_</v>
      </c>
      <c r="D364">
        <v>4</v>
      </c>
      <c r="E364">
        <v>1</v>
      </c>
      <c r="F364">
        <v>1.7272727272727273</v>
      </c>
      <c r="G364" s="1" t="str">
        <f t="shared" si="84"/>
        <v/>
      </c>
      <c r="H364" s="1" t="str">
        <f t="shared" si="85"/>
        <v/>
      </c>
      <c r="I364" s="1" t="str">
        <f t="shared" si="86"/>
        <v/>
      </c>
      <c r="J364" s="1" t="str">
        <f t="shared" si="87"/>
        <v/>
      </c>
      <c r="K364" s="1" t="str">
        <f t="shared" si="88"/>
        <v/>
      </c>
      <c r="L364" s="1">
        <f t="shared" si="89"/>
        <v>1</v>
      </c>
    </row>
    <row r="365" spans="1:12">
      <c r="A365" t="s">
        <v>149</v>
      </c>
      <c r="B365">
        <v>1</v>
      </c>
      <c r="C365" t="str">
        <f t="shared" si="83"/>
        <v>test.StructurePanel_1_</v>
      </c>
      <c r="D365">
        <v>5</v>
      </c>
      <c r="E365">
        <v>6.7865003668378582E-2</v>
      </c>
      <c r="F365">
        <v>0.9</v>
      </c>
      <c r="G365" s="1" t="str">
        <f t="shared" si="84"/>
        <v/>
      </c>
      <c r="H365" s="1" t="str">
        <f t="shared" si="85"/>
        <v/>
      </c>
      <c r="I365" s="1" t="str">
        <f t="shared" si="86"/>
        <v/>
      </c>
      <c r="J365" s="1" t="str">
        <f t="shared" si="87"/>
        <v/>
      </c>
      <c r="K365" s="1">
        <f t="shared" si="88"/>
        <v>6.7865003668378582E-2</v>
      </c>
      <c r="L365" s="1" t="str">
        <f t="shared" si="89"/>
        <v/>
      </c>
    </row>
    <row r="366" spans="1:12">
      <c r="A366" t="s">
        <v>149</v>
      </c>
      <c r="B366">
        <v>1</v>
      </c>
      <c r="C366" t="str">
        <f t="shared" si="83"/>
        <v>test.StructurePanel_1_</v>
      </c>
      <c r="D366">
        <v>6</v>
      </c>
      <c r="E366">
        <v>0.11665443873807776</v>
      </c>
      <c r="F366">
        <v>0.90000999999999998</v>
      </c>
      <c r="G366" s="1" t="str">
        <f t="shared" si="84"/>
        <v/>
      </c>
      <c r="H366" s="1" t="str">
        <f t="shared" si="85"/>
        <v/>
      </c>
      <c r="I366" s="1" t="str">
        <f t="shared" si="86"/>
        <v/>
      </c>
      <c r="J366" s="1" t="str">
        <f t="shared" si="87"/>
        <v/>
      </c>
      <c r="K366" s="1">
        <f t="shared" si="88"/>
        <v>0.11665443873807776</v>
      </c>
      <c r="L366" s="1" t="str">
        <f t="shared" si="89"/>
        <v/>
      </c>
    </row>
    <row r="367" spans="1:12">
      <c r="A367" t="s">
        <v>149</v>
      </c>
      <c r="B367">
        <v>1</v>
      </c>
      <c r="C367" t="str">
        <f t="shared" si="83"/>
        <v>test.StructurePanel_1_</v>
      </c>
      <c r="D367">
        <v>7</v>
      </c>
      <c r="E367">
        <v>0.26559060895084374</v>
      </c>
      <c r="F367">
        <v>1.1000000000000001</v>
      </c>
      <c r="G367" s="1" t="str">
        <f t="shared" si="84"/>
        <v/>
      </c>
      <c r="H367" s="1" t="str">
        <f t="shared" si="85"/>
        <v/>
      </c>
      <c r="I367" s="1" t="str">
        <f t="shared" si="86"/>
        <v/>
      </c>
      <c r="J367" s="1" t="str">
        <f t="shared" si="87"/>
        <v/>
      </c>
      <c r="K367" s="1">
        <f t="shared" si="88"/>
        <v>0.26559060895084374</v>
      </c>
      <c r="L367" s="1" t="str">
        <f t="shared" si="89"/>
        <v/>
      </c>
    </row>
    <row r="368" spans="1:12">
      <c r="A368" t="s">
        <v>149</v>
      </c>
      <c r="B368">
        <v>1</v>
      </c>
      <c r="C368" t="str">
        <f t="shared" si="83"/>
        <v>test.StructurePanel_1_</v>
      </c>
      <c r="D368">
        <v>8</v>
      </c>
      <c r="E368">
        <v>0.40608950843727071</v>
      </c>
      <c r="F368">
        <v>1.1000099999999999</v>
      </c>
      <c r="G368" s="1" t="str">
        <f t="shared" si="84"/>
        <v/>
      </c>
      <c r="H368" s="1" t="str">
        <f t="shared" si="85"/>
        <v/>
      </c>
      <c r="I368" s="1" t="str">
        <f t="shared" si="86"/>
        <v/>
      </c>
      <c r="J368" s="1" t="str">
        <f t="shared" si="87"/>
        <v/>
      </c>
      <c r="K368" s="1" t="str">
        <f t="shared" si="88"/>
        <v/>
      </c>
      <c r="L368" s="1">
        <f t="shared" si="89"/>
        <v>0.40608950843727071</v>
      </c>
    </row>
    <row r="369" spans="1:12">
      <c r="A369" t="s">
        <v>149</v>
      </c>
      <c r="B369">
        <v>1</v>
      </c>
      <c r="C369" t="str">
        <f t="shared" si="83"/>
        <v>test.StructurePanel_1_</v>
      </c>
      <c r="D369">
        <v>9</v>
      </c>
      <c r="E369">
        <v>0.54622157006603078</v>
      </c>
      <c r="F369">
        <v>1.10002</v>
      </c>
      <c r="G369" s="1" t="str">
        <f t="shared" si="84"/>
        <v/>
      </c>
      <c r="H369" s="1" t="str">
        <f t="shared" si="85"/>
        <v/>
      </c>
      <c r="I369" s="1" t="str">
        <f t="shared" si="86"/>
        <v/>
      </c>
      <c r="J369" s="1" t="str">
        <f t="shared" si="87"/>
        <v/>
      </c>
      <c r="K369" s="1" t="str">
        <f t="shared" si="88"/>
        <v/>
      </c>
      <c r="L369" s="1">
        <f t="shared" si="89"/>
        <v>0.54622157006603078</v>
      </c>
    </row>
    <row r="370" spans="1:12">
      <c r="A370" t="s">
        <v>149</v>
      </c>
      <c r="B370">
        <v>1</v>
      </c>
      <c r="C370" t="str">
        <f t="shared" si="83"/>
        <v>test.StructurePanel_1_</v>
      </c>
      <c r="D370">
        <v>10</v>
      </c>
      <c r="E370">
        <v>0.69515774027879673</v>
      </c>
      <c r="F370">
        <v>1.1000299999999998</v>
      </c>
      <c r="G370" s="1" t="str">
        <f t="shared" si="84"/>
        <v/>
      </c>
      <c r="H370" s="1" t="str">
        <f t="shared" si="85"/>
        <v/>
      </c>
      <c r="I370" s="1" t="str">
        <f t="shared" si="86"/>
        <v/>
      </c>
      <c r="J370" s="1" t="str">
        <f t="shared" si="87"/>
        <v/>
      </c>
      <c r="K370" s="1" t="str">
        <f t="shared" si="88"/>
        <v/>
      </c>
      <c r="L370" s="1">
        <f t="shared" si="89"/>
        <v>0.69515774027879673</v>
      </c>
    </row>
    <row r="371" spans="1:12">
      <c r="A371" t="s">
        <v>149</v>
      </c>
      <c r="B371">
        <v>1</v>
      </c>
      <c r="C371" t="str">
        <f t="shared" si="83"/>
        <v>test.StructurePanel_1_</v>
      </c>
      <c r="D371">
        <v>1</v>
      </c>
      <c r="E371">
        <v>0.8686720469552458</v>
      </c>
      <c r="F371">
        <v>1.2</v>
      </c>
      <c r="G371" s="1" t="str">
        <f t="shared" si="84"/>
        <v/>
      </c>
      <c r="H371" s="1" t="str">
        <f t="shared" si="85"/>
        <v/>
      </c>
      <c r="I371" s="1" t="str">
        <f t="shared" si="86"/>
        <v/>
      </c>
      <c r="J371" s="1" t="str">
        <f t="shared" si="87"/>
        <v/>
      </c>
      <c r="K371" s="1" t="str">
        <f t="shared" si="88"/>
        <v/>
      </c>
      <c r="L371" s="1">
        <f t="shared" si="89"/>
        <v>0.8686720469552458</v>
      </c>
    </row>
    <row r="372" spans="1:12">
      <c r="A372" t="s">
        <v>149</v>
      </c>
      <c r="B372">
        <v>1</v>
      </c>
      <c r="C372" t="str">
        <f t="shared" si="83"/>
        <v>test.StructurePanel_1_</v>
      </c>
      <c r="D372">
        <v>2</v>
      </c>
      <c r="E372">
        <v>1</v>
      </c>
      <c r="F372">
        <v>1.20001</v>
      </c>
      <c r="G372" s="1" t="str">
        <f t="shared" si="84"/>
        <v/>
      </c>
      <c r="H372" s="1" t="str">
        <f t="shared" si="85"/>
        <v/>
      </c>
      <c r="I372" s="1" t="str">
        <f t="shared" si="86"/>
        <v/>
      </c>
      <c r="J372" s="1" t="str">
        <f t="shared" si="87"/>
        <v/>
      </c>
      <c r="K372" s="1" t="str">
        <f t="shared" si="88"/>
        <v/>
      </c>
      <c r="L372" s="1">
        <f t="shared" si="89"/>
        <v>1</v>
      </c>
    </row>
    <row r="373" spans="1:12">
      <c r="A373" t="s">
        <v>304</v>
      </c>
      <c r="B373">
        <v>5</v>
      </c>
      <c r="C373" t="str">
        <f t="shared" si="83"/>
        <v>test.TileRenderor_5_</v>
      </c>
      <c r="D373">
        <v>3</v>
      </c>
      <c r="E373">
        <v>9.2783505154639179E-2</v>
      </c>
      <c r="F373">
        <v>0.32</v>
      </c>
      <c r="G373" s="1" t="str">
        <f t="shared" si="84"/>
        <v/>
      </c>
      <c r="H373" s="1">
        <f t="shared" si="85"/>
        <v>9.2783505154639179E-2</v>
      </c>
      <c r="I373" s="1" t="str">
        <f t="shared" si="86"/>
        <v/>
      </c>
      <c r="J373" s="1" t="str">
        <f t="shared" si="87"/>
        <v/>
      </c>
      <c r="K373" s="1" t="str">
        <f t="shared" si="88"/>
        <v/>
      </c>
      <c r="L373" s="1" t="str">
        <f t="shared" si="89"/>
        <v/>
      </c>
    </row>
    <row r="374" spans="1:12">
      <c r="A374" t="s">
        <v>304</v>
      </c>
      <c r="B374">
        <v>5</v>
      </c>
      <c r="C374" t="str">
        <f t="shared" si="83"/>
        <v>test.TileRenderor_5_</v>
      </c>
      <c r="D374">
        <v>4</v>
      </c>
      <c r="E374">
        <v>0.11610613486564138</v>
      </c>
      <c r="F374">
        <v>0.32000200000000001</v>
      </c>
      <c r="G374" s="1" t="str">
        <f t="shared" si="84"/>
        <v/>
      </c>
      <c r="H374" s="1">
        <f t="shared" si="85"/>
        <v>0.11610613486564138</v>
      </c>
      <c r="I374" s="1" t="str">
        <f t="shared" si="86"/>
        <v/>
      </c>
      <c r="J374" s="1" t="str">
        <f t="shared" si="87"/>
        <v/>
      </c>
      <c r="K374" s="1" t="str">
        <f t="shared" si="88"/>
        <v/>
      </c>
      <c r="L374" s="1" t="str">
        <f t="shared" si="89"/>
        <v/>
      </c>
    </row>
    <row r="375" spans="1:12">
      <c r="A375" t="s">
        <v>304</v>
      </c>
      <c r="B375">
        <v>5</v>
      </c>
      <c r="C375" t="str">
        <f t="shared" si="83"/>
        <v>test.TileRenderor_5_</v>
      </c>
      <c r="D375">
        <v>5</v>
      </c>
      <c r="E375">
        <v>0.2071995943890485</v>
      </c>
      <c r="F375">
        <v>0.34</v>
      </c>
      <c r="G375" s="1" t="str">
        <f t="shared" si="84"/>
        <v/>
      </c>
      <c r="H375" s="1">
        <f t="shared" si="85"/>
        <v>0.2071995943890485</v>
      </c>
      <c r="I375" s="1" t="str">
        <f t="shared" si="86"/>
        <v/>
      </c>
      <c r="J375" s="1" t="str">
        <f t="shared" si="87"/>
        <v/>
      </c>
      <c r="K375" s="1" t="str">
        <f t="shared" si="88"/>
        <v/>
      </c>
      <c r="L375" s="1" t="str">
        <f t="shared" si="89"/>
        <v/>
      </c>
    </row>
    <row r="376" spans="1:12">
      <c r="A376" t="s">
        <v>304</v>
      </c>
      <c r="B376">
        <v>5</v>
      </c>
      <c r="C376" t="str">
        <f t="shared" si="83"/>
        <v>test.TileRenderor_5_</v>
      </c>
      <c r="D376">
        <v>6</v>
      </c>
      <c r="E376">
        <v>0.23331079939158358</v>
      </c>
      <c r="F376">
        <v>0.34000199999999997</v>
      </c>
      <c r="G376" s="1" t="str">
        <f t="shared" si="84"/>
        <v/>
      </c>
      <c r="H376" s="1">
        <f t="shared" si="85"/>
        <v>0.23331079939158358</v>
      </c>
      <c r="I376" s="1" t="str">
        <f t="shared" si="86"/>
        <v/>
      </c>
      <c r="J376" s="1" t="str">
        <f t="shared" si="87"/>
        <v/>
      </c>
      <c r="K376" s="1" t="str">
        <f t="shared" si="88"/>
        <v/>
      </c>
      <c r="L376" s="1" t="str">
        <f t="shared" si="89"/>
        <v/>
      </c>
    </row>
    <row r="377" spans="1:12">
      <c r="A377" t="s">
        <v>304</v>
      </c>
      <c r="B377">
        <v>5</v>
      </c>
      <c r="C377" t="str">
        <f t="shared" si="83"/>
        <v>test.TileRenderor_5_</v>
      </c>
      <c r="D377">
        <v>7</v>
      </c>
      <c r="E377">
        <v>0.2383809362852797</v>
      </c>
      <c r="F377">
        <v>0.34000395999999999</v>
      </c>
      <c r="G377" s="1" t="str">
        <f t="shared" si="84"/>
        <v/>
      </c>
      <c r="H377" s="1">
        <f t="shared" si="85"/>
        <v>0.2383809362852797</v>
      </c>
      <c r="I377" s="1" t="str">
        <f t="shared" si="86"/>
        <v/>
      </c>
      <c r="J377" s="1" t="str">
        <f t="shared" si="87"/>
        <v/>
      </c>
      <c r="K377" s="1" t="str">
        <f t="shared" si="88"/>
        <v/>
      </c>
      <c r="L377" s="1" t="str">
        <f t="shared" si="89"/>
        <v/>
      </c>
    </row>
    <row r="378" spans="1:12">
      <c r="A378" t="s">
        <v>304</v>
      </c>
      <c r="B378">
        <v>5</v>
      </c>
      <c r="C378" t="str">
        <f t="shared" si="83"/>
        <v>test.TileRenderor_5_</v>
      </c>
      <c r="D378">
        <v>8</v>
      </c>
      <c r="E378">
        <v>0.26009802264661147</v>
      </c>
      <c r="F378">
        <v>0.34000596</v>
      </c>
      <c r="G378" s="1" t="str">
        <f t="shared" si="84"/>
        <v/>
      </c>
      <c r="H378" s="1">
        <f t="shared" si="85"/>
        <v>0.26009802264661147</v>
      </c>
      <c r="I378" s="1" t="str">
        <f t="shared" si="86"/>
        <v/>
      </c>
      <c r="J378" s="1" t="str">
        <f t="shared" si="87"/>
        <v/>
      </c>
      <c r="K378" s="1" t="str">
        <f t="shared" si="88"/>
        <v/>
      </c>
      <c r="L378" s="1" t="str">
        <f t="shared" si="89"/>
        <v/>
      </c>
    </row>
    <row r="379" spans="1:12">
      <c r="A379" t="s">
        <v>304</v>
      </c>
      <c r="B379">
        <v>5</v>
      </c>
      <c r="C379" t="str">
        <f t="shared" si="83"/>
        <v>test.TileRenderor_5_</v>
      </c>
      <c r="D379">
        <v>9</v>
      </c>
      <c r="E379">
        <v>0.26516815954030759</v>
      </c>
      <c r="F379">
        <v>0.34000794000000001</v>
      </c>
      <c r="G379" s="1" t="str">
        <f t="shared" si="84"/>
        <v/>
      </c>
      <c r="H379" s="1">
        <f t="shared" si="85"/>
        <v>0.26516815954030759</v>
      </c>
      <c r="I379" s="1" t="str">
        <f t="shared" si="86"/>
        <v/>
      </c>
      <c r="J379" s="1" t="str">
        <f t="shared" si="87"/>
        <v/>
      </c>
      <c r="K379" s="1" t="str">
        <f t="shared" si="88"/>
        <v/>
      </c>
      <c r="L379" s="1" t="str">
        <f t="shared" si="89"/>
        <v/>
      </c>
    </row>
    <row r="380" spans="1:12">
      <c r="A380" t="s">
        <v>304</v>
      </c>
      <c r="B380">
        <v>5</v>
      </c>
      <c r="C380" t="str">
        <f t="shared" si="83"/>
        <v>test.TileRenderor_5_</v>
      </c>
      <c r="D380">
        <v>10</v>
      </c>
      <c r="E380">
        <v>0.27023829643400371</v>
      </c>
      <c r="F380">
        <v>0.48</v>
      </c>
      <c r="G380" s="1" t="str">
        <f t="shared" si="84"/>
        <v/>
      </c>
      <c r="H380" s="1" t="str">
        <f t="shared" si="85"/>
        <v/>
      </c>
      <c r="I380" s="1">
        <f t="shared" si="86"/>
        <v>0.27023829643400371</v>
      </c>
      <c r="J380" s="1" t="str">
        <f t="shared" si="87"/>
        <v/>
      </c>
      <c r="K380" s="1" t="str">
        <f t="shared" si="88"/>
        <v/>
      </c>
      <c r="L380" s="1" t="str">
        <f t="shared" si="89"/>
        <v/>
      </c>
    </row>
    <row r="381" spans="1:12">
      <c r="A381" t="s">
        <v>304</v>
      </c>
      <c r="B381">
        <v>5</v>
      </c>
      <c r="C381" t="str">
        <f t="shared" si="83"/>
        <v>test.TileRenderor_5_</v>
      </c>
      <c r="D381">
        <v>1</v>
      </c>
      <c r="E381">
        <v>0.29187088051377386</v>
      </c>
      <c r="F381">
        <v>0.48000199999999998</v>
      </c>
      <c r="G381" s="1" t="str">
        <f t="shared" si="84"/>
        <v/>
      </c>
      <c r="H381" s="1" t="str">
        <f t="shared" si="85"/>
        <v/>
      </c>
      <c r="I381" s="1">
        <f t="shared" si="86"/>
        <v>0.29187088051377386</v>
      </c>
      <c r="J381" s="1" t="str">
        <f t="shared" si="87"/>
        <v/>
      </c>
      <c r="K381" s="1" t="str">
        <f t="shared" si="88"/>
        <v/>
      </c>
      <c r="L381" s="1" t="str">
        <f t="shared" si="89"/>
        <v/>
      </c>
    </row>
    <row r="382" spans="1:12">
      <c r="A382" t="s">
        <v>304</v>
      </c>
      <c r="B382">
        <v>5</v>
      </c>
      <c r="C382" t="str">
        <f t="shared" si="83"/>
        <v>test.TileRenderor_5_</v>
      </c>
      <c r="D382">
        <v>2</v>
      </c>
      <c r="E382">
        <v>0.31358796687510565</v>
      </c>
      <c r="F382">
        <v>0.84</v>
      </c>
      <c r="G382" s="1" t="str">
        <f t="shared" si="84"/>
        <v/>
      </c>
      <c r="H382" s="1" t="str">
        <f t="shared" si="85"/>
        <v/>
      </c>
      <c r="I382" s="1" t="str">
        <f t="shared" si="86"/>
        <v/>
      </c>
      <c r="J382" s="1" t="str">
        <f t="shared" si="87"/>
        <v/>
      </c>
      <c r="K382" s="1">
        <f t="shared" si="88"/>
        <v>0.31358796687510565</v>
      </c>
      <c r="L382" s="1" t="str">
        <f t="shared" si="89"/>
        <v/>
      </c>
    </row>
    <row r="383" spans="1:12">
      <c r="A383" t="s">
        <v>304</v>
      </c>
      <c r="B383">
        <v>5</v>
      </c>
      <c r="C383" t="str">
        <f t="shared" si="83"/>
        <v>test.TileRenderor_5_</v>
      </c>
      <c r="D383">
        <v>3</v>
      </c>
      <c r="E383">
        <v>0.58914990704749026</v>
      </c>
      <c r="F383">
        <v>0.94</v>
      </c>
      <c r="G383" s="1" t="str">
        <f t="shared" si="84"/>
        <v/>
      </c>
      <c r="H383" s="1" t="str">
        <f t="shared" si="85"/>
        <v/>
      </c>
      <c r="I383" s="1" t="str">
        <f t="shared" si="86"/>
        <v/>
      </c>
      <c r="J383" s="1" t="str">
        <f t="shared" si="87"/>
        <v/>
      </c>
      <c r="K383" s="1">
        <f t="shared" si="88"/>
        <v>0.58914990704749026</v>
      </c>
      <c r="L383" s="1" t="str">
        <f t="shared" si="89"/>
        <v/>
      </c>
    </row>
    <row r="384" spans="1:12">
      <c r="A384" t="s">
        <v>304</v>
      </c>
      <c r="B384">
        <v>5</v>
      </c>
      <c r="C384" t="str">
        <f t="shared" si="83"/>
        <v>test.TileRenderor_5_</v>
      </c>
      <c r="D384">
        <v>4</v>
      </c>
      <c r="E384">
        <v>0.79677201284434684</v>
      </c>
      <c r="F384">
        <v>0.96</v>
      </c>
      <c r="G384" s="1" t="str">
        <f t="shared" si="84"/>
        <v/>
      </c>
      <c r="H384" s="1" t="str">
        <f t="shared" si="85"/>
        <v/>
      </c>
      <c r="I384" s="1" t="str">
        <f t="shared" si="86"/>
        <v/>
      </c>
      <c r="J384" s="1" t="str">
        <f t="shared" si="87"/>
        <v/>
      </c>
      <c r="K384" s="1">
        <f t="shared" si="88"/>
        <v>0.79677201284434684</v>
      </c>
      <c r="L384" s="1" t="str">
        <f t="shared" si="89"/>
        <v/>
      </c>
    </row>
    <row r="385" spans="1:12">
      <c r="A385" t="s">
        <v>304</v>
      </c>
      <c r="B385">
        <v>5</v>
      </c>
      <c r="C385" t="str">
        <f t="shared" si="83"/>
        <v>test.TileRenderor_5_</v>
      </c>
      <c r="D385">
        <v>5</v>
      </c>
      <c r="E385">
        <v>0.79677201284434684</v>
      </c>
      <c r="F385">
        <v>0.98</v>
      </c>
      <c r="G385" s="1" t="str">
        <f t="shared" si="84"/>
        <v/>
      </c>
      <c r="H385" s="1" t="str">
        <f t="shared" si="85"/>
        <v/>
      </c>
      <c r="I385" s="1" t="str">
        <f t="shared" si="86"/>
        <v/>
      </c>
      <c r="J385" s="1" t="str">
        <f t="shared" si="87"/>
        <v/>
      </c>
      <c r="K385" s="1">
        <f t="shared" si="88"/>
        <v>0.79677201284434684</v>
      </c>
      <c r="L385" s="1" t="str">
        <f t="shared" si="89"/>
        <v/>
      </c>
    </row>
    <row r="386" spans="1:12">
      <c r="A386" t="s">
        <v>304</v>
      </c>
      <c r="B386">
        <v>5</v>
      </c>
      <c r="C386" t="str">
        <f t="shared" si="83"/>
        <v>test.TileRenderor_5_</v>
      </c>
      <c r="D386">
        <v>6</v>
      </c>
      <c r="E386">
        <v>0.79677201284434684</v>
      </c>
      <c r="F386">
        <v>0.98000200000000004</v>
      </c>
      <c r="G386" s="1" t="str">
        <f t="shared" si="84"/>
        <v/>
      </c>
      <c r="H386" s="1" t="str">
        <f t="shared" si="85"/>
        <v/>
      </c>
      <c r="I386" s="1" t="str">
        <f t="shared" si="86"/>
        <v/>
      </c>
      <c r="J386" s="1" t="str">
        <f t="shared" si="87"/>
        <v/>
      </c>
      <c r="K386" s="1">
        <f t="shared" si="88"/>
        <v>0.79677201284434684</v>
      </c>
      <c r="L386" s="1" t="str">
        <f t="shared" si="89"/>
        <v/>
      </c>
    </row>
    <row r="387" spans="1:12">
      <c r="A387" t="s">
        <v>304</v>
      </c>
      <c r="B387">
        <v>5</v>
      </c>
      <c r="C387" t="str">
        <f t="shared" ref="C387:C450" si="90">CONCATENATE(A387, "_",B387,"_")</f>
        <v>test.TileRenderor_5_</v>
      </c>
      <c r="D387">
        <v>1</v>
      </c>
      <c r="E387">
        <v>0.79677201284434684</v>
      </c>
      <c r="F387">
        <v>1</v>
      </c>
      <c r="G387" s="1" t="str">
        <f t="shared" ref="G387:G450" si="91">IF($F387 &lt;= 0.2,$E387,"")</f>
        <v/>
      </c>
      <c r="H387" s="1" t="str">
        <f t="shared" ref="H387:H450" si="92">IF(AND($F387 &gt; 0.2,$F387 &lt;= 0.4),$E387,"")</f>
        <v/>
      </c>
      <c r="I387" s="1" t="str">
        <f t="shared" ref="I387:I450" si="93">IF(AND($F387 &gt; 0.4,$F387 &lt;= 0.6),$E387,"")</f>
        <v/>
      </c>
      <c r="J387" s="1" t="str">
        <f t="shared" ref="J387:J450" si="94">IF(AND($F387 &gt; 0.6,$F387 &lt;= 0.8),$E387,"")</f>
        <v/>
      </c>
      <c r="K387" s="1">
        <f t="shared" ref="K387:K450" si="95">IF(AND($F387 &gt; 0.8, $F387 &lt;=1.1),$E387,"")</f>
        <v>0.79677201284434684</v>
      </c>
      <c r="L387" s="1" t="str">
        <f t="shared" ref="L387:L450" si="96">IF(AND($F387 &gt; 1.1),$E387,"")</f>
        <v/>
      </c>
    </row>
    <row r="388" spans="1:12">
      <c r="A388" t="s">
        <v>304</v>
      </c>
      <c r="B388">
        <v>5</v>
      </c>
      <c r="C388" t="str">
        <f t="shared" si="90"/>
        <v>test.TileRenderor_5_</v>
      </c>
      <c r="D388">
        <v>2</v>
      </c>
      <c r="E388">
        <v>1</v>
      </c>
      <c r="F388">
        <v>1.02</v>
      </c>
      <c r="G388" s="1" t="str">
        <f t="shared" si="91"/>
        <v/>
      </c>
      <c r="H388" s="1" t="str">
        <f t="shared" si="92"/>
        <v/>
      </c>
      <c r="I388" s="1" t="str">
        <f t="shared" si="93"/>
        <v/>
      </c>
      <c r="J388" s="1" t="str">
        <f t="shared" si="94"/>
        <v/>
      </c>
      <c r="K388" s="1">
        <f t="shared" si="95"/>
        <v>1</v>
      </c>
      <c r="L388" s="1" t="str">
        <f t="shared" si="96"/>
        <v/>
      </c>
    </row>
    <row r="389" spans="1:12">
      <c r="A389" t="s">
        <v>304</v>
      </c>
      <c r="B389">
        <v>5</v>
      </c>
      <c r="C389" t="str">
        <f t="shared" si="90"/>
        <v>test.TileRenderor_5_</v>
      </c>
      <c r="D389">
        <v>3</v>
      </c>
      <c r="E389">
        <v>1</v>
      </c>
      <c r="F389">
        <v>1.06</v>
      </c>
      <c r="G389" s="1" t="str">
        <f t="shared" si="91"/>
        <v/>
      </c>
      <c r="H389" s="1" t="str">
        <f t="shared" si="92"/>
        <v/>
      </c>
      <c r="I389" s="1" t="str">
        <f t="shared" si="93"/>
        <v/>
      </c>
      <c r="J389" s="1" t="str">
        <f t="shared" si="94"/>
        <v/>
      </c>
      <c r="K389" s="1">
        <f t="shared" si="95"/>
        <v>1</v>
      </c>
      <c r="L389" s="1" t="str">
        <f t="shared" si="96"/>
        <v/>
      </c>
    </row>
    <row r="390" spans="1:12">
      <c r="A390" t="s">
        <v>304</v>
      </c>
      <c r="B390">
        <v>5</v>
      </c>
      <c r="C390" t="str">
        <f t="shared" si="90"/>
        <v>test.TileRenderor_5_</v>
      </c>
      <c r="D390">
        <v>4</v>
      </c>
      <c r="E390">
        <v>1</v>
      </c>
      <c r="F390">
        <v>1.24</v>
      </c>
      <c r="G390" s="1" t="str">
        <f t="shared" si="91"/>
        <v/>
      </c>
      <c r="H390" s="1" t="str">
        <f t="shared" si="92"/>
        <v/>
      </c>
      <c r="I390" s="1" t="str">
        <f t="shared" si="93"/>
        <v/>
      </c>
      <c r="J390" s="1" t="str">
        <f t="shared" si="94"/>
        <v/>
      </c>
      <c r="K390" s="1" t="str">
        <f t="shared" si="95"/>
        <v/>
      </c>
      <c r="L390" s="1">
        <f t="shared" si="96"/>
        <v>1</v>
      </c>
    </row>
    <row r="391" spans="1:12">
      <c r="A391" t="s">
        <v>304</v>
      </c>
      <c r="B391">
        <v>6</v>
      </c>
      <c r="C391" t="str">
        <f t="shared" si="90"/>
        <v>test.TileRenderor_6_</v>
      </c>
      <c r="D391">
        <v>5</v>
      </c>
      <c r="E391">
        <v>0.12942649877066037</v>
      </c>
      <c r="F391">
        <v>0.13426853707414829</v>
      </c>
      <c r="G391" s="1">
        <f t="shared" si="91"/>
        <v>0.12942649877066037</v>
      </c>
      <c r="H391" s="1" t="str">
        <f t="shared" si="92"/>
        <v/>
      </c>
      <c r="I391" s="1" t="str">
        <f t="shared" si="93"/>
        <v/>
      </c>
      <c r="J391" s="1" t="str">
        <f t="shared" si="94"/>
        <v/>
      </c>
      <c r="K391" s="1" t="str">
        <f t="shared" si="95"/>
        <v/>
      </c>
      <c r="L391" s="1" t="str">
        <f t="shared" si="96"/>
        <v/>
      </c>
    </row>
    <row r="392" spans="1:12">
      <c r="A392" t="s">
        <v>304</v>
      </c>
      <c r="B392">
        <v>6</v>
      </c>
      <c r="C392" t="str">
        <f t="shared" si="90"/>
        <v>test.TileRenderor_6_</v>
      </c>
      <c r="D392">
        <v>6</v>
      </c>
      <c r="E392">
        <v>0.14046934397715807</v>
      </c>
      <c r="F392">
        <v>0.14161656646626586</v>
      </c>
      <c r="G392" s="1">
        <f t="shared" si="91"/>
        <v>0.14046934397715807</v>
      </c>
      <c r="H392" s="1" t="str">
        <f t="shared" si="92"/>
        <v/>
      </c>
      <c r="I392" s="1" t="str">
        <f t="shared" si="93"/>
        <v/>
      </c>
      <c r="J392" s="1" t="str">
        <f t="shared" si="94"/>
        <v/>
      </c>
      <c r="K392" s="1" t="str">
        <f t="shared" si="95"/>
        <v/>
      </c>
      <c r="L392" s="1" t="str">
        <f t="shared" si="96"/>
        <v/>
      </c>
    </row>
    <row r="393" spans="1:12">
      <c r="A393" t="s">
        <v>304</v>
      </c>
      <c r="B393">
        <v>6</v>
      </c>
      <c r="C393" t="str">
        <f t="shared" si="90"/>
        <v>test.TileRenderor_6_</v>
      </c>
      <c r="D393">
        <v>7</v>
      </c>
      <c r="E393">
        <v>0.14181949642264935</v>
      </c>
      <c r="F393">
        <v>0.28122912491649965</v>
      </c>
      <c r="G393" s="1" t="str">
        <f t="shared" si="91"/>
        <v/>
      </c>
      <c r="H393" s="1">
        <f t="shared" si="92"/>
        <v>0.14181949642264935</v>
      </c>
      <c r="I393" s="1" t="str">
        <f t="shared" si="93"/>
        <v/>
      </c>
      <c r="J393" s="1" t="str">
        <f t="shared" si="94"/>
        <v/>
      </c>
      <c r="K393" s="1" t="str">
        <f t="shared" si="95"/>
        <v/>
      </c>
      <c r="L393" s="1" t="str">
        <f t="shared" si="96"/>
        <v/>
      </c>
    </row>
    <row r="394" spans="1:12">
      <c r="A394" t="s">
        <v>304</v>
      </c>
      <c r="B394">
        <v>6</v>
      </c>
      <c r="C394" t="str">
        <f t="shared" si="90"/>
        <v>test.TileRenderor_6_</v>
      </c>
      <c r="D394">
        <v>8</v>
      </c>
      <c r="E394">
        <v>0.17990781336171358</v>
      </c>
      <c r="F394">
        <v>0.28590514362057451</v>
      </c>
      <c r="G394" s="1" t="str">
        <f t="shared" si="91"/>
        <v/>
      </c>
      <c r="H394" s="1">
        <f t="shared" si="92"/>
        <v>0.17990781336171358</v>
      </c>
      <c r="I394" s="1" t="str">
        <f t="shared" si="93"/>
        <v/>
      </c>
      <c r="J394" s="1" t="str">
        <f t="shared" si="94"/>
        <v/>
      </c>
      <c r="K394" s="1" t="str">
        <f t="shared" si="95"/>
        <v/>
      </c>
      <c r="L394" s="1" t="str">
        <f t="shared" si="96"/>
        <v/>
      </c>
    </row>
    <row r="395" spans="1:12">
      <c r="A395" t="s">
        <v>304</v>
      </c>
      <c r="B395">
        <v>6</v>
      </c>
      <c r="C395" t="str">
        <f t="shared" si="90"/>
        <v>test.TileRenderor_6_</v>
      </c>
      <c r="D395">
        <v>9</v>
      </c>
      <c r="E395">
        <v>0.26837415454080982</v>
      </c>
      <c r="F395">
        <v>0.29191716766867065</v>
      </c>
      <c r="G395" s="1" t="str">
        <f t="shared" si="91"/>
        <v/>
      </c>
      <c r="H395" s="1">
        <f t="shared" si="92"/>
        <v>0.26837415454080982</v>
      </c>
      <c r="I395" s="1" t="str">
        <f t="shared" si="93"/>
        <v/>
      </c>
      <c r="J395" s="1" t="str">
        <f t="shared" si="94"/>
        <v/>
      </c>
      <c r="K395" s="1" t="str">
        <f t="shared" si="95"/>
        <v/>
      </c>
      <c r="L395" s="1" t="str">
        <f t="shared" si="96"/>
        <v/>
      </c>
    </row>
    <row r="396" spans="1:12">
      <c r="A396" t="s">
        <v>304</v>
      </c>
      <c r="B396">
        <v>6</v>
      </c>
      <c r="C396" t="str">
        <f t="shared" si="90"/>
        <v>test.TileRenderor_6_</v>
      </c>
      <c r="D396">
        <v>1</v>
      </c>
      <c r="E396">
        <v>0.28117846912632966</v>
      </c>
      <c r="F396">
        <v>0.29191723446893786</v>
      </c>
      <c r="G396" s="1" t="str">
        <f t="shared" si="91"/>
        <v/>
      </c>
      <c r="H396" s="1">
        <f t="shared" si="92"/>
        <v>0.28117846912632966</v>
      </c>
      <c r="I396" s="1" t="str">
        <f t="shared" si="93"/>
        <v/>
      </c>
      <c r="J396" s="1" t="str">
        <f t="shared" si="94"/>
        <v/>
      </c>
      <c r="K396" s="1" t="str">
        <f t="shared" si="95"/>
        <v/>
      </c>
      <c r="L396" s="1" t="str">
        <f t="shared" si="96"/>
        <v/>
      </c>
    </row>
    <row r="397" spans="1:12">
      <c r="A397" t="s">
        <v>304</v>
      </c>
      <c r="B397">
        <v>6</v>
      </c>
      <c r="C397" t="str">
        <f t="shared" si="90"/>
        <v>test.TileRenderor_6_</v>
      </c>
      <c r="D397">
        <v>2</v>
      </c>
      <c r="E397">
        <v>0.32989462539725284</v>
      </c>
      <c r="F397">
        <v>0.29993319973279892</v>
      </c>
      <c r="G397" s="1" t="str">
        <f t="shared" si="91"/>
        <v/>
      </c>
      <c r="H397" s="1">
        <f t="shared" si="92"/>
        <v>0.32989462539725284</v>
      </c>
      <c r="I397" s="1" t="str">
        <f t="shared" si="93"/>
        <v/>
      </c>
      <c r="J397" s="1" t="str">
        <f t="shared" si="94"/>
        <v/>
      </c>
      <c r="K397" s="1" t="str">
        <f t="shared" si="95"/>
        <v/>
      </c>
      <c r="L397" s="1" t="str">
        <f t="shared" si="96"/>
        <v/>
      </c>
    </row>
    <row r="398" spans="1:12">
      <c r="A398" t="s">
        <v>304</v>
      </c>
      <c r="B398">
        <v>6</v>
      </c>
      <c r="C398" t="str">
        <f t="shared" si="90"/>
        <v>test.TileRenderor_6_</v>
      </c>
      <c r="D398">
        <v>1</v>
      </c>
      <c r="E398">
        <v>0.34316005762126012</v>
      </c>
      <c r="F398">
        <v>0.31396125584502338</v>
      </c>
      <c r="G398" s="1" t="str">
        <f t="shared" si="91"/>
        <v/>
      </c>
      <c r="H398" s="1">
        <f t="shared" si="92"/>
        <v>0.34316005762126012</v>
      </c>
      <c r="I398" s="1" t="str">
        <f t="shared" si="93"/>
        <v/>
      </c>
      <c r="J398" s="1" t="str">
        <f t="shared" si="94"/>
        <v/>
      </c>
      <c r="K398" s="1" t="str">
        <f t="shared" si="95"/>
        <v/>
      </c>
      <c r="L398" s="1" t="str">
        <f t="shared" si="96"/>
        <v/>
      </c>
    </row>
    <row r="399" spans="1:12">
      <c r="A399" t="s">
        <v>304</v>
      </c>
      <c r="B399">
        <v>6</v>
      </c>
      <c r="C399" t="str">
        <f t="shared" si="90"/>
        <v>test.TileRenderor_6_</v>
      </c>
      <c r="D399">
        <v>2</v>
      </c>
      <c r="E399">
        <v>0.34345148396878417</v>
      </c>
      <c r="F399">
        <v>0.31596526386105545</v>
      </c>
      <c r="G399" s="1" t="str">
        <f t="shared" si="91"/>
        <v/>
      </c>
      <c r="H399" s="1">
        <f t="shared" si="92"/>
        <v>0.34345148396878417</v>
      </c>
      <c r="I399" s="1" t="str">
        <f t="shared" si="93"/>
        <v/>
      </c>
      <c r="J399" s="1" t="str">
        <f t="shared" si="94"/>
        <v/>
      </c>
      <c r="K399" s="1" t="str">
        <f t="shared" si="95"/>
        <v/>
      </c>
      <c r="L399" s="1" t="str">
        <f t="shared" si="96"/>
        <v/>
      </c>
    </row>
    <row r="400" spans="1:12">
      <c r="A400" t="s">
        <v>304</v>
      </c>
      <c r="B400">
        <v>6</v>
      </c>
      <c r="C400" t="str">
        <f t="shared" si="90"/>
        <v>test.TileRenderor_6_</v>
      </c>
      <c r="D400">
        <v>3</v>
      </c>
      <c r="E400">
        <v>0.3923520872951024</v>
      </c>
      <c r="F400">
        <v>0.34201736806947231</v>
      </c>
      <c r="G400" s="1" t="str">
        <f t="shared" si="91"/>
        <v/>
      </c>
      <c r="H400" s="1">
        <f t="shared" si="92"/>
        <v>0.3923520872951024</v>
      </c>
      <c r="I400" s="1" t="str">
        <f t="shared" si="93"/>
        <v/>
      </c>
      <c r="J400" s="1" t="str">
        <f t="shared" si="94"/>
        <v/>
      </c>
      <c r="K400" s="1" t="str">
        <f t="shared" si="95"/>
        <v/>
      </c>
      <c r="L400" s="1" t="str">
        <f t="shared" si="96"/>
        <v/>
      </c>
    </row>
    <row r="401" spans="1:12">
      <c r="A401" t="s">
        <v>304</v>
      </c>
      <c r="B401">
        <v>6</v>
      </c>
      <c r="C401" t="str">
        <f t="shared" si="90"/>
        <v>test.TileRenderor_6_</v>
      </c>
      <c r="D401">
        <v>4</v>
      </c>
      <c r="E401">
        <v>0.41839047810521229</v>
      </c>
      <c r="F401">
        <v>0.34669338677354711</v>
      </c>
      <c r="G401" s="1" t="str">
        <f t="shared" si="91"/>
        <v/>
      </c>
      <c r="H401" s="1">
        <f t="shared" si="92"/>
        <v>0.41839047810521229</v>
      </c>
      <c r="I401" s="1" t="str">
        <f t="shared" si="93"/>
        <v/>
      </c>
      <c r="J401" s="1" t="str">
        <f t="shared" si="94"/>
        <v/>
      </c>
      <c r="K401" s="1" t="str">
        <f t="shared" si="95"/>
        <v/>
      </c>
      <c r="L401" s="1" t="str">
        <f t="shared" si="96"/>
        <v/>
      </c>
    </row>
    <row r="402" spans="1:12">
      <c r="A402" t="s">
        <v>304</v>
      </c>
      <c r="B402">
        <v>6</v>
      </c>
      <c r="C402" t="str">
        <f t="shared" si="90"/>
        <v>test.TileRenderor_6_</v>
      </c>
      <c r="D402">
        <v>1</v>
      </c>
      <c r="E402">
        <v>0.64819859783348488</v>
      </c>
      <c r="F402">
        <v>0.35070140280561124</v>
      </c>
      <c r="G402" s="1" t="str">
        <f t="shared" si="91"/>
        <v/>
      </c>
      <c r="H402" s="1">
        <f t="shared" si="92"/>
        <v>0.64819859783348488</v>
      </c>
      <c r="I402" s="1" t="str">
        <f t="shared" si="93"/>
        <v/>
      </c>
      <c r="J402" s="1" t="str">
        <f t="shared" si="94"/>
        <v/>
      </c>
      <c r="K402" s="1" t="str">
        <f t="shared" si="95"/>
        <v/>
      </c>
      <c r="L402" s="1" t="str">
        <f t="shared" si="96"/>
        <v/>
      </c>
    </row>
    <row r="403" spans="1:12">
      <c r="A403" t="s">
        <v>304</v>
      </c>
      <c r="B403">
        <v>6</v>
      </c>
      <c r="C403" t="str">
        <f t="shared" si="90"/>
        <v>test.TileRenderor_6_</v>
      </c>
      <c r="D403">
        <v>2</v>
      </c>
      <c r="E403">
        <v>0.86941701819201311</v>
      </c>
      <c r="F403">
        <v>0.36272545090180358</v>
      </c>
      <c r="G403" s="1" t="str">
        <f t="shared" si="91"/>
        <v/>
      </c>
      <c r="H403" s="1">
        <f t="shared" si="92"/>
        <v>0.86941701819201311</v>
      </c>
      <c r="I403" s="1" t="str">
        <f t="shared" si="93"/>
        <v/>
      </c>
      <c r="J403" s="1" t="str">
        <f t="shared" si="94"/>
        <v/>
      </c>
      <c r="K403" s="1" t="str">
        <f t="shared" si="95"/>
        <v/>
      </c>
      <c r="L403" s="1" t="str">
        <f t="shared" si="96"/>
        <v/>
      </c>
    </row>
    <row r="404" spans="1:12">
      <c r="A404" t="s">
        <v>304</v>
      </c>
      <c r="B404">
        <v>6</v>
      </c>
      <c r="C404" t="str">
        <f t="shared" si="90"/>
        <v>test.TileRenderor_6_</v>
      </c>
      <c r="D404">
        <v>3</v>
      </c>
      <c r="E404">
        <v>0.8822213327775329</v>
      </c>
      <c r="F404">
        <v>0.44154976619906477</v>
      </c>
      <c r="G404" s="1" t="str">
        <f t="shared" si="91"/>
        <v/>
      </c>
      <c r="H404" s="1" t="str">
        <f t="shared" si="92"/>
        <v/>
      </c>
      <c r="I404" s="1">
        <f t="shared" si="93"/>
        <v>0.8822213327775329</v>
      </c>
      <c r="J404" s="1" t="str">
        <f t="shared" si="94"/>
        <v/>
      </c>
      <c r="K404" s="1" t="str">
        <f t="shared" si="95"/>
        <v/>
      </c>
      <c r="L404" s="1" t="str">
        <f t="shared" si="96"/>
        <v/>
      </c>
    </row>
    <row r="405" spans="1:12">
      <c r="A405" t="s">
        <v>304</v>
      </c>
      <c r="B405">
        <v>6</v>
      </c>
      <c r="C405" t="str">
        <f t="shared" si="90"/>
        <v>test.TileRenderor_6_</v>
      </c>
      <c r="D405">
        <v>4</v>
      </c>
      <c r="E405">
        <v>1</v>
      </c>
      <c r="F405">
        <v>0.45090180360721444</v>
      </c>
      <c r="G405" s="1" t="str">
        <f t="shared" si="91"/>
        <v/>
      </c>
      <c r="H405" s="1" t="str">
        <f t="shared" si="92"/>
        <v/>
      </c>
      <c r="I405" s="1">
        <f t="shared" si="93"/>
        <v>1</v>
      </c>
      <c r="J405" s="1" t="str">
        <f t="shared" si="94"/>
        <v/>
      </c>
      <c r="K405" s="1" t="str">
        <f t="shared" si="95"/>
        <v/>
      </c>
      <c r="L405" s="1" t="str">
        <f t="shared" si="96"/>
        <v/>
      </c>
    </row>
    <row r="406" spans="1:12">
      <c r="A406" t="s">
        <v>155</v>
      </c>
      <c r="B406">
        <v>9</v>
      </c>
      <c r="C406" t="str">
        <f t="shared" si="90"/>
        <v>test.TIFFFaxDecoder_9_</v>
      </c>
      <c r="D406">
        <v>5</v>
      </c>
      <c r="E406">
        <v>0.1864406779661017</v>
      </c>
      <c r="F406">
        <v>1.25</v>
      </c>
      <c r="G406" s="1" t="str">
        <f t="shared" si="91"/>
        <v/>
      </c>
      <c r="H406" s="1" t="str">
        <f t="shared" si="92"/>
        <v/>
      </c>
      <c r="I406" s="1" t="str">
        <f t="shared" si="93"/>
        <v/>
      </c>
      <c r="J406" s="1" t="str">
        <f t="shared" si="94"/>
        <v/>
      </c>
      <c r="K406" s="1" t="str">
        <f t="shared" si="95"/>
        <v/>
      </c>
      <c r="L406" s="1">
        <f t="shared" si="96"/>
        <v>0.1864406779661017</v>
      </c>
    </row>
    <row r="407" spans="1:12">
      <c r="A407" t="s">
        <v>155</v>
      </c>
      <c r="B407">
        <v>9</v>
      </c>
      <c r="C407" t="str">
        <f t="shared" si="90"/>
        <v>test.TIFFFaxDecoder_9_</v>
      </c>
      <c r="D407">
        <v>6</v>
      </c>
      <c r="E407">
        <v>0.22372881355932203</v>
      </c>
      <c r="F407">
        <v>1.2500249999999999</v>
      </c>
      <c r="G407" s="1" t="str">
        <f t="shared" si="91"/>
        <v/>
      </c>
      <c r="H407" s="1" t="str">
        <f t="shared" si="92"/>
        <v/>
      </c>
      <c r="I407" s="1" t="str">
        <f t="shared" si="93"/>
        <v/>
      </c>
      <c r="J407" s="1" t="str">
        <f t="shared" si="94"/>
        <v/>
      </c>
      <c r="K407" s="1" t="str">
        <f t="shared" si="95"/>
        <v/>
      </c>
      <c r="L407" s="1">
        <f t="shared" si="96"/>
        <v>0.22372881355932203</v>
      </c>
    </row>
    <row r="408" spans="1:12">
      <c r="A408" t="s">
        <v>155</v>
      </c>
      <c r="B408">
        <v>9</v>
      </c>
      <c r="C408" t="str">
        <f t="shared" si="90"/>
        <v>test.TIFFFaxDecoder_9_</v>
      </c>
      <c r="D408">
        <v>7</v>
      </c>
      <c r="E408">
        <v>0.22372881355932203</v>
      </c>
      <c r="F408">
        <v>1.2500500750000001</v>
      </c>
      <c r="G408" s="1" t="str">
        <f t="shared" si="91"/>
        <v/>
      </c>
      <c r="H408" s="1" t="str">
        <f t="shared" si="92"/>
        <v/>
      </c>
      <c r="I408" s="1" t="str">
        <f t="shared" si="93"/>
        <v/>
      </c>
      <c r="J408" s="1" t="str">
        <f t="shared" si="94"/>
        <v/>
      </c>
      <c r="K408" s="1" t="str">
        <f t="shared" si="95"/>
        <v/>
      </c>
      <c r="L408" s="1">
        <f t="shared" si="96"/>
        <v>0.22372881355932203</v>
      </c>
    </row>
    <row r="409" spans="1:12">
      <c r="A409" t="s">
        <v>155</v>
      </c>
      <c r="B409">
        <v>9</v>
      </c>
      <c r="C409" t="str">
        <f t="shared" si="90"/>
        <v>test.TIFFFaxDecoder_9_</v>
      </c>
      <c r="D409">
        <v>8</v>
      </c>
      <c r="E409">
        <v>0.22372881355932203</v>
      </c>
      <c r="F409">
        <v>1.2500751000000001</v>
      </c>
      <c r="G409" s="1" t="str">
        <f t="shared" si="91"/>
        <v/>
      </c>
      <c r="H409" s="1" t="str">
        <f t="shared" si="92"/>
        <v/>
      </c>
      <c r="I409" s="1" t="str">
        <f t="shared" si="93"/>
        <v/>
      </c>
      <c r="J409" s="1" t="str">
        <f t="shared" si="94"/>
        <v/>
      </c>
      <c r="K409" s="1" t="str">
        <f t="shared" si="95"/>
        <v/>
      </c>
      <c r="L409" s="1">
        <f t="shared" si="96"/>
        <v>0.22372881355932203</v>
      </c>
    </row>
    <row r="410" spans="1:12">
      <c r="A410" t="s">
        <v>155</v>
      </c>
      <c r="B410">
        <v>9</v>
      </c>
      <c r="C410" t="str">
        <f t="shared" si="90"/>
        <v>test.TIFFFaxDecoder_9_</v>
      </c>
      <c r="D410">
        <v>9</v>
      </c>
      <c r="E410">
        <v>0.2711864406779661</v>
      </c>
      <c r="F410">
        <v>1.2501001249999999</v>
      </c>
      <c r="G410" s="1" t="str">
        <f t="shared" si="91"/>
        <v/>
      </c>
      <c r="H410" s="1" t="str">
        <f t="shared" si="92"/>
        <v/>
      </c>
      <c r="I410" s="1" t="str">
        <f t="shared" si="93"/>
        <v/>
      </c>
      <c r="J410" s="1" t="str">
        <f t="shared" si="94"/>
        <v/>
      </c>
      <c r="K410" s="1" t="str">
        <f t="shared" si="95"/>
        <v/>
      </c>
      <c r="L410" s="1">
        <f t="shared" si="96"/>
        <v>0.2711864406779661</v>
      </c>
    </row>
    <row r="411" spans="1:12">
      <c r="A411" t="s">
        <v>155</v>
      </c>
      <c r="B411">
        <v>9</v>
      </c>
      <c r="C411" t="str">
        <f t="shared" si="90"/>
        <v>test.TIFFFaxDecoder_9_</v>
      </c>
      <c r="D411">
        <v>10</v>
      </c>
      <c r="E411">
        <v>0.28135593220338984</v>
      </c>
      <c r="F411">
        <v>1.250125175</v>
      </c>
      <c r="G411" s="1" t="str">
        <f t="shared" si="91"/>
        <v/>
      </c>
      <c r="H411" s="1" t="str">
        <f t="shared" si="92"/>
        <v/>
      </c>
      <c r="I411" s="1" t="str">
        <f t="shared" si="93"/>
        <v/>
      </c>
      <c r="J411" s="1" t="str">
        <f t="shared" si="94"/>
        <v/>
      </c>
      <c r="K411" s="1" t="str">
        <f t="shared" si="95"/>
        <v/>
      </c>
      <c r="L411" s="1">
        <f t="shared" si="96"/>
        <v>0.28135593220338984</v>
      </c>
    </row>
    <row r="412" spans="1:12">
      <c r="A412" t="s">
        <v>155</v>
      </c>
      <c r="B412">
        <v>9</v>
      </c>
      <c r="C412" t="str">
        <f t="shared" si="90"/>
        <v>test.TIFFFaxDecoder_9_</v>
      </c>
      <c r="D412">
        <v>11</v>
      </c>
      <c r="E412">
        <v>0.30169491525423731</v>
      </c>
      <c r="F412">
        <v>1.2501502499999999</v>
      </c>
      <c r="G412" s="1" t="str">
        <f t="shared" si="91"/>
        <v/>
      </c>
      <c r="H412" s="1" t="str">
        <f t="shared" si="92"/>
        <v/>
      </c>
      <c r="I412" s="1" t="str">
        <f t="shared" si="93"/>
        <v/>
      </c>
      <c r="J412" s="1" t="str">
        <f t="shared" si="94"/>
        <v/>
      </c>
      <c r="K412" s="1" t="str">
        <f t="shared" si="95"/>
        <v/>
      </c>
      <c r="L412" s="1">
        <f t="shared" si="96"/>
        <v>0.30169491525423731</v>
      </c>
    </row>
    <row r="413" spans="1:12">
      <c r="A413" t="s">
        <v>155</v>
      </c>
      <c r="B413">
        <v>9</v>
      </c>
      <c r="C413" t="str">
        <f t="shared" si="90"/>
        <v>test.TIFFFaxDecoder_9_</v>
      </c>
      <c r="D413">
        <v>1</v>
      </c>
      <c r="E413">
        <v>0.30169491525423731</v>
      </c>
      <c r="F413">
        <v>1.2501752500000001</v>
      </c>
      <c r="G413" s="1" t="str">
        <f t="shared" si="91"/>
        <v/>
      </c>
      <c r="H413" s="1" t="str">
        <f t="shared" si="92"/>
        <v/>
      </c>
      <c r="I413" s="1" t="str">
        <f t="shared" si="93"/>
        <v/>
      </c>
      <c r="J413" s="1" t="str">
        <f t="shared" si="94"/>
        <v/>
      </c>
      <c r="K413" s="1" t="str">
        <f t="shared" si="95"/>
        <v/>
      </c>
      <c r="L413" s="1">
        <f t="shared" si="96"/>
        <v>0.30169491525423731</v>
      </c>
    </row>
    <row r="414" spans="1:12">
      <c r="A414" t="s">
        <v>155</v>
      </c>
      <c r="B414">
        <v>9</v>
      </c>
      <c r="C414" t="str">
        <f t="shared" si="90"/>
        <v>test.TIFFFaxDecoder_9_</v>
      </c>
      <c r="D414">
        <v>2</v>
      </c>
      <c r="E414">
        <v>0.33559322033898303</v>
      </c>
      <c r="F414">
        <v>1.25020025</v>
      </c>
      <c r="G414" s="1" t="str">
        <f t="shared" si="91"/>
        <v/>
      </c>
      <c r="H414" s="1" t="str">
        <f t="shared" si="92"/>
        <v/>
      </c>
      <c r="I414" s="1" t="str">
        <f t="shared" si="93"/>
        <v/>
      </c>
      <c r="J414" s="1" t="str">
        <f t="shared" si="94"/>
        <v/>
      </c>
      <c r="K414" s="1" t="str">
        <f t="shared" si="95"/>
        <v/>
      </c>
      <c r="L414" s="1">
        <f t="shared" si="96"/>
        <v>0.33559322033898303</v>
      </c>
    </row>
    <row r="415" spans="1:12">
      <c r="A415" t="s">
        <v>155</v>
      </c>
      <c r="B415">
        <v>9</v>
      </c>
      <c r="C415" t="str">
        <f t="shared" si="90"/>
        <v>test.TIFFFaxDecoder_9_</v>
      </c>
      <c r="D415">
        <v>3</v>
      </c>
      <c r="E415">
        <v>0.33559322033898303</v>
      </c>
      <c r="F415">
        <v>1.25022525</v>
      </c>
      <c r="G415" s="1" t="str">
        <f t="shared" si="91"/>
        <v/>
      </c>
      <c r="H415" s="1" t="str">
        <f t="shared" si="92"/>
        <v/>
      </c>
      <c r="I415" s="1" t="str">
        <f t="shared" si="93"/>
        <v/>
      </c>
      <c r="J415" s="1" t="str">
        <f t="shared" si="94"/>
        <v/>
      </c>
      <c r="K415" s="1" t="str">
        <f t="shared" si="95"/>
        <v/>
      </c>
      <c r="L415" s="1">
        <f t="shared" si="96"/>
        <v>0.33559322033898303</v>
      </c>
    </row>
    <row r="416" spans="1:12">
      <c r="A416" t="s">
        <v>155</v>
      </c>
      <c r="B416">
        <v>9</v>
      </c>
      <c r="C416" t="str">
        <f t="shared" si="90"/>
        <v>test.TIFFFaxDecoder_9_</v>
      </c>
      <c r="D416">
        <v>4</v>
      </c>
      <c r="E416">
        <v>0.33898305084745761</v>
      </c>
      <c r="F416">
        <v>1.25025035</v>
      </c>
      <c r="G416" s="1" t="str">
        <f t="shared" si="91"/>
        <v/>
      </c>
      <c r="H416" s="1" t="str">
        <f t="shared" si="92"/>
        <v/>
      </c>
      <c r="I416" s="1" t="str">
        <f t="shared" si="93"/>
        <v/>
      </c>
      <c r="J416" s="1" t="str">
        <f t="shared" si="94"/>
        <v/>
      </c>
      <c r="K416" s="1" t="str">
        <f t="shared" si="95"/>
        <v/>
      </c>
      <c r="L416" s="1">
        <f t="shared" si="96"/>
        <v>0.33898305084745761</v>
      </c>
    </row>
    <row r="417" spans="1:12">
      <c r="A417" t="s">
        <v>155</v>
      </c>
      <c r="B417">
        <v>9</v>
      </c>
      <c r="C417" t="str">
        <f t="shared" si="90"/>
        <v>test.TIFFFaxDecoder_9_</v>
      </c>
      <c r="D417">
        <v>1</v>
      </c>
      <c r="E417">
        <v>0.49152542372881358</v>
      </c>
      <c r="F417">
        <v>1.250275375</v>
      </c>
      <c r="G417" s="1" t="str">
        <f t="shared" si="91"/>
        <v/>
      </c>
      <c r="H417" s="1" t="str">
        <f t="shared" si="92"/>
        <v/>
      </c>
      <c r="I417" s="1" t="str">
        <f t="shared" si="93"/>
        <v/>
      </c>
      <c r="J417" s="1" t="str">
        <f t="shared" si="94"/>
        <v/>
      </c>
      <c r="K417" s="1" t="str">
        <f t="shared" si="95"/>
        <v/>
      </c>
      <c r="L417" s="1">
        <f t="shared" si="96"/>
        <v>0.49152542372881358</v>
      </c>
    </row>
    <row r="418" spans="1:12">
      <c r="A418" t="s">
        <v>155</v>
      </c>
      <c r="B418">
        <v>9</v>
      </c>
      <c r="C418" t="str">
        <f t="shared" si="90"/>
        <v>test.TIFFFaxDecoder_9_</v>
      </c>
      <c r="D418">
        <v>2</v>
      </c>
      <c r="E418">
        <v>0.49152542372881358</v>
      </c>
      <c r="F418">
        <v>1.2503004</v>
      </c>
      <c r="G418" s="1" t="str">
        <f t="shared" si="91"/>
        <v/>
      </c>
      <c r="H418" s="1" t="str">
        <f t="shared" si="92"/>
        <v/>
      </c>
      <c r="I418" s="1" t="str">
        <f t="shared" si="93"/>
        <v/>
      </c>
      <c r="J418" s="1" t="str">
        <f t="shared" si="94"/>
        <v/>
      </c>
      <c r="K418" s="1" t="str">
        <f t="shared" si="95"/>
        <v/>
      </c>
      <c r="L418" s="1">
        <f t="shared" si="96"/>
        <v>0.49152542372881358</v>
      </c>
    </row>
    <row r="419" spans="1:12">
      <c r="A419" t="s">
        <v>155</v>
      </c>
      <c r="B419">
        <v>9</v>
      </c>
      <c r="C419" t="str">
        <f t="shared" si="90"/>
        <v>test.TIFFFaxDecoder_9_</v>
      </c>
      <c r="D419">
        <v>3</v>
      </c>
      <c r="E419">
        <v>0.65423728813559323</v>
      </c>
      <c r="F419">
        <v>1.5</v>
      </c>
      <c r="G419" s="1" t="str">
        <f t="shared" si="91"/>
        <v/>
      </c>
      <c r="H419" s="1" t="str">
        <f t="shared" si="92"/>
        <v/>
      </c>
      <c r="I419" s="1" t="str">
        <f t="shared" si="93"/>
        <v/>
      </c>
      <c r="J419" s="1" t="str">
        <f t="shared" si="94"/>
        <v/>
      </c>
      <c r="K419" s="1" t="str">
        <f t="shared" si="95"/>
        <v/>
      </c>
      <c r="L419" s="1">
        <f t="shared" si="96"/>
        <v>0.65423728813559323</v>
      </c>
    </row>
    <row r="420" spans="1:12">
      <c r="A420" t="s">
        <v>155</v>
      </c>
      <c r="B420">
        <v>9</v>
      </c>
      <c r="C420" t="str">
        <f t="shared" si="90"/>
        <v>test.TIFFFaxDecoder_9_</v>
      </c>
      <c r="D420">
        <v>4</v>
      </c>
      <c r="E420">
        <v>0.97966101694915253</v>
      </c>
      <c r="F420">
        <v>1.75</v>
      </c>
      <c r="G420" s="1" t="str">
        <f t="shared" si="91"/>
        <v/>
      </c>
      <c r="H420" s="1" t="str">
        <f t="shared" si="92"/>
        <v/>
      </c>
      <c r="I420" s="1" t="str">
        <f t="shared" si="93"/>
        <v/>
      </c>
      <c r="J420" s="1" t="str">
        <f t="shared" si="94"/>
        <v/>
      </c>
      <c r="K420" s="1" t="str">
        <f t="shared" si="95"/>
        <v/>
      </c>
      <c r="L420" s="1">
        <f t="shared" si="96"/>
        <v>0.97966101694915253</v>
      </c>
    </row>
    <row r="421" spans="1:12">
      <c r="A421" t="s">
        <v>155</v>
      </c>
      <c r="B421">
        <v>9</v>
      </c>
      <c r="C421" t="str">
        <f t="shared" si="90"/>
        <v>test.TIFFFaxDecoder_9_</v>
      </c>
      <c r="D421">
        <v>1</v>
      </c>
      <c r="E421">
        <v>0.97966101694915253</v>
      </c>
      <c r="F421">
        <v>1.7500249999999999</v>
      </c>
      <c r="G421" s="1" t="str">
        <f t="shared" si="91"/>
        <v/>
      </c>
      <c r="H421" s="1" t="str">
        <f t="shared" si="92"/>
        <v/>
      </c>
      <c r="I421" s="1" t="str">
        <f t="shared" si="93"/>
        <v/>
      </c>
      <c r="J421" s="1" t="str">
        <f t="shared" si="94"/>
        <v/>
      </c>
      <c r="K421" s="1" t="str">
        <f t="shared" si="95"/>
        <v/>
      </c>
      <c r="L421" s="1">
        <f t="shared" si="96"/>
        <v>0.97966101694915253</v>
      </c>
    </row>
    <row r="422" spans="1:12">
      <c r="A422" t="s">
        <v>155</v>
      </c>
      <c r="B422">
        <v>9</v>
      </c>
      <c r="C422" t="str">
        <f t="shared" si="90"/>
        <v>test.TIFFFaxDecoder_9_</v>
      </c>
      <c r="D422">
        <v>2</v>
      </c>
      <c r="E422">
        <v>0.99661016949152548</v>
      </c>
      <c r="F422">
        <v>1.7500500750000001</v>
      </c>
      <c r="G422" s="1" t="str">
        <f t="shared" si="91"/>
        <v/>
      </c>
      <c r="H422" s="1" t="str">
        <f t="shared" si="92"/>
        <v/>
      </c>
      <c r="I422" s="1" t="str">
        <f t="shared" si="93"/>
        <v/>
      </c>
      <c r="J422" s="1" t="str">
        <f t="shared" si="94"/>
        <v/>
      </c>
      <c r="K422" s="1" t="str">
        <f t="shared" si="95"/>
        <v/>
      </c>
      <c r="L422" s="1">
        <f t="shared" si="96"/>
        <v>0.99661016949152548</v>
      </c>
    </row>
    <row r="423" spans="1:12">
      <c r="A423" t="s">
        <v>155</v>
      </c>
      <c r="B423">
        <v>9</v>
      </c>
      <c r="C423" t="str">
        <f t="shared" si="90"/>
        <v>test.TIFFFaxDecoder_9_</v>
      </c>
      <c r="D423">
        <v>1</v>
      </c>
      <c r="E423">
        <v>1</v>
      </c>
      <c r="F423">
        <v>1.7500751000000001</v>
      </c>
      <c r="G423" s="1" t="str">
        <f t="shared" si="91"/>
        <v/>
      </c>
      <c r="H423" s="1" t="str">
        <f t="shared" si="92"/>
        <v/>
      </c>
      <c r="I423" s="1" t="str">
        <f t="shared" si="93"/>
        <v/>
      </c>
      <c r="J423" s="1" t="str">
        <f t="shared" si="94"/>
        <v/>
      </c>
      <c r="K423" s="1" t="str">
        <f t="shared" si="95"/>
        <v/>
      </c>
      <c r="L423" s="1">
        <f t="shared" si="96"/>
        <v>1</v>
      </c>
    </row>
    <row r="424" spans="1:12">
      <c r="A424" t="s">
        <v>155</v>
      </c>
      <c r="B424">
        <v>10</v>
      </c>
      <c r="C424" t="str">
        <f t="shared" si="90"/>
        <v>test.TIFFFaxDecoder_10_</v>
      </c>
      <c r="D424">
        <v>2</v>
      </c>
      <c r="E424">
        <v>0.797427652733119</v>
      </c>
      <c r="F424">
        <v>2.25</v>
      </c>
      <c r="G424" s="1" t="str">
        <f t="shared" si="91"/>
        <v/>
      </c>
      <c r="H424" s="1" t="str">
        <f t="shared" si="92"/>
        <v/>
      </c>
      <c r="I424" s="1" t="str">
        <f t="shared" si="93"/>
        <v/>
      </c>
      <c r="J424" s="1" t="str">
        <f t="shared" si="94"/>
        <v/>
      </c>
      <c r="K424" s="1" t="str">
        <f t="shared" si="95"/>
        <v/>
      </c>
      <c r="L424" s="1">
        <f t="shared" si="96"/>
        <v>0.797427652733119</v>
      </c>
    </row>
    <row r="425" spans="1:12">
      <c r="A425" t="s">
        <v>155</v>
      </c>
      <c r="B425">
        <v>10</v>
      </c>
      <c r="C425" t="str">
        <f t="shared" si="90"/>
        <v>test.TIFFFaxDecoder_10_</v>
      </c>
      <c r="D425">
        <v>1</v>
      </c>
      <c r="E425">
        <v>0.932475884244373</v>
      </c>
      <c r="F425">
        <v>2.5</v>
      </c>
      <c r="G425" s="1" t="str">
        <f t="shared" si="91"/>
        <v/>
      </c>
      <c r="H425" s="1" t="str">
        <f t="shared" si="92"/>
        <v/>
      </c>
      <c r="I425" s="1" t="str">
        <f t="shared" si="93"/>
        <v/>
      </c>
      <c r="J425" s="1" t="str">
        <f t="shared" si="94"/>
        <v/>
      </c>
      <c r="K425" s="1" t="str">
        <f t="shared" si="95"/>
        <v/>
      </c>
      <c r="L425" s="1">
        <f t="shared" si="96"/>
        <v>0.932475884244373</v>
      </c>
    </row>
    <row r="426" spans="1:12">
      <c r="A426" t="s">
        <v>155</v>
      </c>
      <c r="B426">
        <v>10</v>
      </c>
      <c r="C426" t="str">
        <f t="shared" si="90"/>
        <v>test.TIFFFaxDecoder_10_</v>
      </c>
      <c r="D426">
        <v>2</v>
      </c>
      <c r="E426">
        <v>1</v>
      </c>
      <c r="F426">
        <v>2.5000249999999999</v>
      </c>
      <c r="G426" s="1" t="str">
        <f t="shared" si="91"/>
        <v/>
      </c>
      <c r="H426" s="1" t="str">
        <f t="shared" si="92"/>
        <v/>
      </c>
      <c r="I426" s="1" t="str">
        <f t="shared" si="93"/>
        <v/>
      </c>
      <c r="J426" s="1" t="str">
        <f t="shared" si="94"/>
        <v/>
      </c>
      <c r="K426" s="1" t="str">
        <f t="shared" si="95"/>
        <v/>
      </c>
      <c r="L426" s="1">
        <f t="shared" si="96"/>
        <v>1</v>
      </c>
    </row>
    <row r="427" spans="1:12">
      <c r="A427" t="s">
        <v>155</v>
      </c>
      <c r="B427">
        <v>10</v>
      </c>
      <c r="C427" t="str">
        <f t="shared" si="90"/>
        <v>test.TIFFFaxDecoder_10_</v>
      </c>
      <c r="D427">
        <v>3</v>
      </c>
      <c r="E427">
        <v>1</v>
      </c>
      <c r="F427">
        <v>2.5000499999999999</v>
      </c>
      <c r="G427" s="1" t="str">
        <f t="shared" si="91"/>
        <v/>
      </c>
      <c r="H427" s="1" t="str">
        <f t="shared" si="92"/>
        <v/>
      </c>
      <c r="I427" s="1" t="str">
        <f t="shared" si="93"/>
        <v/>
      </c>
      <c r="J427" s="1" t="str">
        <f t="shared" si="94"/>
        <v/>
      </c>
      <c r="K427" s="1" t="str">
        <f t="shared" si="95"/>
        <v/>
      </c>
      <c r="L427" s="1">
        <f t="shared" si="96"/>
        <v>1</v>
      </c>
    </row>
    <row r="428" spans="1:12">
      <c r="A428" t="s">
        <v>155</v>
      </c>
      <c r="B428">
        <v>11</v>
      </c>
      <c r="C428" t="str">
        <f t="shared" si="90"/>
        <v>test.TIFFFaxDecoder_11_</v>
      </c>
      <c r="D428">
        <v>4</v>
      </c>
      <c r="E428">
        <v>2.2157996146435453E-2</v>
      </c>
      <c r="F428">
        <v>0.7</v>
      </c>
      <c r="G428" s="1" t="str">
        <f t="shared" si="91"/>
        <v/>
      </c>
      <c r="H428" s="1" t="str">
        <f t="shared" si="92"/>
        <v/>
      </c>
      <c r="I428" s="1" t="str">
        <f t="shared" si="93"/>
        <v/>
      </c>
      <c r="J428" s="1">
        <f t="shared" si="94"/>
        <v>2.2157996146435453E-2</v>
      </c>
      <c r="K428" s="1" t="str">
        <f t="shared" si="95"/>
        <v/>
      </c>
      <c r="L428" s="1" t="str">
        <f t="shared" si="96"/>
        <v/>
      </c>
    </row>
    <row r="429" spans="1:12">
      <c r="A429" t="s">
        <v>155</v>
      </c>
      <c r="B429">
        <v>11</v>
      </c>
      <c r="C429" t="str">
        <f t="shared" si="90"/>
        <v>test.TIFFFaxDecoder_11_</v>
      </c>
      <c r="D429">
        <v>1</v>
      </c>
      <c r="E429">
        <v>0.20841361592806679</v>
      </c>
      <c r="F429">
        <v>1.1000000000000001</v>
      </c>
      <c r="G429" s="1" t="str">
        <f t="shared" si="91"/>
        <v/>
      </c>
      <c r="H429" s="1" t="str">
        <f t="shared" si="92"/>
        <v/>
      </c>
      <c r="I429" s="1" t="str">
        <f t="shared" si="93"/>
        <v/>
      </c>
      <c r="J429" s="1" t="str">
        <f t="shared" si="94"/>
        <v/>
      </c>
      <c r="K429" s="1">
        <f t="shared" si="95"/>
        <v>0.20841361592806679</v>
      </c>
      <c r="L429" s="1" t="str">
        <f t="shared" si="96"/>
        <v/>
      </c>
    </row>
    <row r="430" spans="1:12">
      <c r="A430" t="s">
        <v>155</v>
      </c>
      <c r="B430">
        <v>11</v>
      </c>
      <c r="C430" t="str">
        <f t="shared" si="90"/>
        <v>test.TIFFFaxDecoder_11_</v>
      </c>
      <c r="D430">
        <v>2</v>
      </c>
      <c r="E430">
        <v>0.25883108542068078</v>
      </c>
      <c r="F430">
        <v>1.1000099999999999</v>
      </c>
      <c r="G430" s="1" t="str">
        <f t="shared" si="91"/>
        <v/>
      </c>
      <c r="H430" s="1" t="str">
        <f t="shared" si="92"/>
        <v/>
      </c>
      <c r="I430" s="1" t="str">
        <f t="shared" si="93"/>
        <v/>
      </c>
      <c r="J430" s="1" t="str">
        <f t="shared" si="94"/>
        <v/>
      </c>
      <c r="K430" s="1" t="str">
        <f t="shared" si="95"/>
        <v/>
      </c>
      <c r="L430" s="1">
        <f t="shared" si="96"/>
        <v>0.25883108542068078</v>
      </c>
    </row>
    <row r="431" spans="1:12">
      <c r="A431" t="s">
        <v>155</v>
      </c>
      <c r="B431">
        <v>11</v>
      </c>
      <c r="C431" t="str">
        <f t="shared" si="90"/>
        <v>test.TIFFFaxDecoder_11_</v>
      </c>
      <c r="D431">
        <v>3</v>
      </c>
      <c r="E431">
        <v>0.30667951188182402</v>
      </c>
      <c r="F431">
        <v>1.10002</v>
      </c>
      <c r="G431" s="1" t="str">
        <f t="shared" si="91"/>
        <v/>
      </c>
      <c r="H431" s="1" t="str">
        <f t="shared" si="92"/>
        <v/>
      </c>
      <c r="I431" s="1" t="str">
        <f t="shared" si="93"/>
        <v/>
      </c>
      <c r="J431" s="1" t="str">
        <f t="shared" si="94"/>
        <v/>
      </c>
      <c r="K431" s="1" t="str">
        <f t="shared" si="95"/>
        <v/>
      </c>
      <c r="L431" s="1">
        <f t="shared" si="96"/>
        <v>0.30667951188182402</v>
      </c>
    </row>
    <row r="432" spans="1:12">
      <c r="A432" t="s">
        <v>155</v>
      </c>
      <c r="B432">
        <v>11</v>
      </c>
      <c r="C432" t="str">
        <f t="shared" si="90"/>
        <v>test.TIFFFaxDecoder_11_</v>
      </c>
      <c r="D432">
        <v>4</v>
      </c>
      <c r="E432">
        <v>0.36929993577392423</v>
      </c>
      <c r="F432">
        <v>1.2</v>
      </c>
      <c r="G432" s="1" t="str">
        <f t="shared" si="91"/>
        <v/>
      </c>
      <c r="H432" s="1" t="str">
        <f t="shared" si="92"/>
        <v/>
      </c>
      <c r="I432" s="1" t="str">
        <f t="shared" si="93"/>
        <v/>
      </c>
      <c r="J432" s="1" t="str">
        <f t="shared" si="94"/>
        <v/>
      </c>
      <c r="K432" s="1" t="str">
        <f t="shared" si="95"/>
        <v/>
      </c>
      <c r="L432" s="1">
        <f t="shared" si="96"/>
        <v>0.36929993577392423</v>
      </c>
    </row>
    <row r="433" spans="1:12">
      <c r="A433" t="s">
        <v>155</v>
      </c>
      <c r="B433">
        <v>11</v>
      </c>
      <c r="C433" t="str">
        <f t="shared" si="90"/>
        <v>test.TIFFFaxDecoder_11_</v>
      </c>
      <c r="D433">
        <v>1</v>
      </c>
      <c r="E433">
        <v>0.58863198458574184</v>
      </c>
      <c r="F433">
        <v>1.20001</v>
      </c>
      <c r="G433" s="1" t="str">
        <f t="shared" si="91"/>
        <v/>
      </c>
      <c r="H433" s="1" t="str">
        <f t="shared" si="92"/>
        <v/>
      </c>
      <c r="I433" s="1" t="str">
        <f t="shared" si="93"/>
        <v/>
      </c>
      <c r="J433" s="1" t="str">
        <f t="shared" si="94"/>
        <v/>
      </c>
      <c r="K433" s="1" t="str">
        <f t="shared" si="95"/>
        <v/>
      </c>
      <c r="L433" s="1">
        <f t="shared" si="96"/>
        <v>0.58863198458574184</v>
      </c>
    </row>
    <row r="434" spans="1:12">
      <c r="A434" t="s">
        <v>155</v>
      </c>
      <c r="B434">
        <v>11</v>
      </c>
      <c r="C434" t="str">
        <f t="shared" si="90"/>
        <v>test.TIFFFaxDecoder_11_</v>
      </c>
      <c r="D434">
        <v>2</v>
      </c>
      <c r="E434">
        <v>0.59826589595375723</v>
      </c>
      <c r="F434">
        <v>1.2000199999999999</v>
      </c>
      <c r="G434" s="1" t="str">
        <f t="shared" si="91"/>
        <v/>
      </c>
      <c r="H434" s="1" t="str">
        <f t="shared" si="92"/>
        <v/>
      </c>
      <c r="I434" s="1" t="str">
        <f t="shared" si="93"/>
        <v/>
      </c>
      <c r="J434" s="1" t="str">
        <f t="shared" si="94"/>
        <v/>
      </c>
      <c r="K434" s="1" t="str">
        <f t="shared" si="95"/>
        <v/>
      </c>
      <c r="L434" s="1">
        <f t="shared" si="96"/>
        <v>0.59826589595375723</v>
      </c>
    </row>
    <row r="435" spans="1:12">
      <c r="A435" t="s">
        <v>155</v>
      </c>
      <c r="B435">
        <v>11</v>
      </c>
      <c r="C435" t="str">
        <f t="shared" si="90"/>
        <v>test.TIFFFaxDecoder_11_</v>
      </c>
      <c r="D435">
        <v>3</v>
      </c>
      <c r="E435">
        <v>0.60629415542710341</v>
      </c>
      <c r="F435">
        <v>1.3</v>
      </c>
      <c r="G435" s="1" t="str">
        <f t="shared" si="91"/>
        <v/>
      </c>
      <c r="H435" s="1" t="str">
        <f t="shared" si="92"/>
        <v/>
      </c>
      <c r="I435" s="1" t="str">
        <f t="shared" si="93"/>
        <v/>
      </c>
      <c r="J435" s="1" t="str">
        <f t="shared" si="94"/>
        <v/>
      </c>
      <c r="K435" s="1" t="str">
        <f t="shared" si="95"/>
        <v/>
      </c>
      <c r="L435" s="1">
        <f t="shared" si="96"/>
        <v>0.60629415542710341</v>
      </c>
    </row>
    <row r="436" spans="1:12">
      <c r="A436" t="s">
        <v>155</v>
      </c>
      <c r="B436">
        <v>11</v>
      </c>
      <c r="C436" t="str">
        <f t="shared" si="90"/>
        <v>test.TIFFFaxDecoder_11_</v>
      </c>
      <c r="D436">
        <v>4</v>
      </c>
      <c r="E436">
        <v>0.6217084136159281</v>
      </c>
      <c r="F436">
        <v>1.3000099999999999</v>
      </c>
      <c r="G436" s="1" t="str">
        <f t="shared" si="91"/>
        <v/>
      </c>
      <c r="H436" s="1" t="str">
        <f t="shared" si="92"/>
        <v/>
      </c>
      <c r="I436" s="1" t="str">
        <f t="shared" si="93"/>
        <v/>
      </c>
      <c r="J436" s="1" t="str">
        <f t="shared" si="94"/>
        <v/>
      </c>
      <c r="K436" s="1" t="str">
        <f t="shared" si="95"/>
        <v/>
      </c>
      <c r="L436" s="1">
        <f t="shared" si="96"/>
        <v>0.6217084136159281</v>
      </c>
    </row>
    <row r="437" spans="1:12">
      <c r="A437" t="s">
        <v>155</v>
      </c>
      <c r="B437">
        <v>11</v>
      </c>
      <c r="C437" t="str">
        <f t="shared" si="90"/>
        <v>test.TIFFFaxDecoder_11_</v>
      </c>
      <c r="D437">
        <v>5</v>
      </c>
      <c r="E437">
        <v>0.72703917790622996</v>
      </c>
      <c r="F437">
        <v>1.30002</v>
      </c>
      <c r="G437" s="1" t="str">
        <f t="shared" si="91"/>
        <v/>
      </c>
      <c r="H437" s="1" t="str">
        <f t="shared" si="92"/>
        <v/>
      </c>
      <c r="I437" s="1" t="str">
        <f t="shared" si="93"/>
        <v/>
      </c>
      <c r="J437" s="1" t="str">
        <f t="shared" si="94"/>
        <v/>
      </c>
      <c r="K437" s="1" t="str">
        <f t="shared" si="95"/>
        <v/>
      </c>
      <c r="L437" s="1">
        <f t="shared" si="96"/>
        <v>0.72703917790622996</v>
      </c>
    </row>
    <row r="438" spans="1:12">
      <c r="A438" t="s">
        <v>155</v>
      </c>
      <c r="B438">
        <v>11</v>
      </c>
      <c r="C438" t="str">
        <f t="shared" si="90"/>
        <v>test.TIFFFaxDecoder_11_</v>
      </c>
      <c r="D438">
        <v>6</v>
      </c>
      <c r="E438">
        <v>0.72703917790622996</v>
      </c>
      <c r="F438">
        <v>1.4</v>
      </c>
      <c r="G438" s="1" t="str">
        <f t="shared" si="91"/>
        <v/>
      </c>
      <c r="H438" s="1" t="str">
        <f t="shared" si="92"/>
        <v/>
      </c>
      <c r="I438" s="1" t="str">
        <f t="shared" si="93"/>
        <v/>
      </c>
      <c r="J438" s="1" t="str">
        <f t="shared" si="94"/>
        <v/>
      </c>
      <c r="K438" s="1" t="str">
        <f t="shared" si="95"/>
        <v/>
      </c>
      <c r="L438" s="1">
        <f t="shared" si="96"/>
        <v>0.72703917790622996</v>
      </c>
    </row>
    <row r="439" spans="1:12">
      <c r="A439" t="s">
        <v>155</v>
      </c>
      <c r="B439">
        <v>11</v>
      </c>
      <c r="C439" t="str">
        <f t="shared" si="90"/>
        <v>test.TIFFFaxDecoder_11_</v>
      </c>
      <c r="D439">
        <v>7</v>
      </c>
      <c r="E439">
        <v>0.75016056518946694</v>
      </c>
      <c r="F439">
        <v>1.40001</v>
      </c>
      <c r="G439" s="1" t="str">
        <f t="shared" si="91"/>
        <v/>
      </c>
      <c r="H439" s="1" t="str">
        <f t="shared" si="92"/>
        <v/>
      </c>
      <c r="I439" s="1" t="str">
        <f t="shared" si="93"/>
        <v/>
      </c>
      <c r="J439" s="1" t="str">
        <f t="shared" si="94"/>
        <v/>
      </c>
      <c r="K439" s="1" t="str">
        <f t="shared" si="95"/>
        <v/>
      </c>
      <c r="L439" s="1">
        <f t="shared" si="96"/>
        <v>0.75016056518946694</v>
      </c>
    </row>
    <row r="440" spans="1:12">
      <c r="A440" t="s">
        <v>155</v>
      </c>
      <c r="B440">
        <v>11</v>
      </c>
      <c r="C440" t="str">
        <f t="shared" si="90"/>
        <v>test.TIFFFaxDecoder_11_</v>
      </c>
      <c r="D440">
        <v>8</v>
      </c>
      <c r="E440">
        <v>0.76557482337829164</v>
      </c>
      <c r="F440">
        <v>1.40002</v>
      </c>
      <c r="G440" s="1" t="str">
        <f t="shared" si="91"/>
        <v/>
      </c>
      <c r="H440" s="1" t="str">
        <f t="shared" si="92"/>
        <v/>
      </c>
      <c r="I440" s="1" t="str">
        <f t="shared" si="93"/>
        <v/>
      </c>
      <c r="J440" s="1" t="str">
        <f t="shared" si="94"/>
        <v/>
      </c>
      <c r="K440" s="1" t="str">
        <f t="shared" si="95"/>
        <v/>
      </c>
      <c r="L440" s="1">
        <f t="shared" si="96"/>
        <v>0.76557482337829164</v>
      </c>
    </row>
    <row r="441" spans="1:12">
      <c r="A441" t="s">
        <v>155</v>
      </c>
      <c r="B441">
        <v>11</v>
      </c>
      <c r="C441" t="str">
        <f t="shared" si="90"/>
        <v>test.TIFFFaxDecoder_11_</v>
      </c>
      <c r="D441">
        <v>1</v>
      </c>
      <c r="E441">
        <v>0.76557482337829164</v>
      </c>
      <c r="F441">
        <v>1.4000299999999999</v>
      </c>
      <c r="G441" s="1" t="str">
        <f t="shared" si="91"/>
        <v/>
      </c>
      <c r="H441" s="1" t="str">
        <f t="shared" si="92"/>
        <v/>
      </c>
      <c r="I441" s="1" t="str">
        <f t="shared" si="93"/>
        <v/>
      </c>
      <c r="J441" s="1" t="str">
        <f t="shared" si="94"/>
        <v/>
      </c>
      <c r="K441" s="1" t="str">
        <f t="shared" si="95"/>
        <v/>
      </c>
      <c r="L441" s="1">
        <f t="shared" si="96"/>
        <v>0.76557482337829164</v>
      </c>
    </row>
    <row r="442" spans="1:12">
      <c r="A442" t="s">
        <v>155</v>
      </c>
      <c r="B442">
        <v>11</v>
      </c>
      <c r="C442" t="str">
        <f t="shared" si="90"/>
        <v>test.TIFFFaxDecoder_11_</v>
      </c>
      <c r="D442">
        <v>2</v>
      </c>
      <c r="E442">
        <v>0.96467565831727686</v>
      </c>
      <c r="F442">
        <v>1.4000401</v>
      </c>
      <c r="G442" s="1" t="str">
        <f t="shared" si="91"/>
        <v/>
      </c>
      <c r="H442" s="1" t="str">
        <f t="shared" si="92"/>
        <v/>
      </c>
      <c r="I442" s="1" t="str">
        <f t="shared" si="93"/>
        <v/>
      </c>
      <c r="J442" s="1" t="str">
        <f t="shared" si="94"/>
        <v/>
      </c>
      <c r="K442" s="1" t="str">
        <f t="shared" si="95"/>
        <v/>
      </c>
      <c r="L442" s="1">
        <f t="shared" si="96"/>
        <v>0.96467565831727686</v>
      </c>
    </row>
    <row r="443" spans="1:12">
      <c r="A443" t="s">
        <v>155</v>
      </c>
      <c r="B443">
        <v>11</v>
      </c>
      <c r="C443" t="str">
        <f t="shared" si="90"/>
        <v>test.TIFFFaxDecoder_11_</v>
      </c>
      <c r="D443">
        <v>3</v>
      </c>
      <c r="E443">
        <v>0.98554913294797686</v>
      </c>
      <c r="F443">
        <v>1.4000501000000001</v>
      </c>
      <c r="G443" s="1" t="str">
        <f t="shared" si="91"/>
        <v/>
      </c>
      <c r="H443" s="1" t="str">
        <f t="shared" si="92"/>
        <v/>
      </c>
      <c r="I443" s="1" t="str">
        <f t="shared" si="93"/>
        <v/>
      </c>
      <c r="J443" s="1" t="str">
        <f t="shared" si="94"/>
        <v/>
      </c>
      <c r="K443" s="1" t="str">
        <f t="shared" si="95"/>
        <v/>
      </c>
      <c r="L443" s="1">
        <f t="shared" si="96"/>
        <v>0.98554913294797686</v>
      </c>
    </row>
    <row r="444" spans="1:12">
      <c r="A444" t="s">
        <v>155</v>
      </c>
      <c r="B444">
        <v>11</v>
      </c>
      <c r="C444" t="str">
        <f t="shared" si="90"/>
        <v>test.TIFFFaxDecoder_11_</v>
      </c>
      <c r="D444">
        <v>4</v>
      </c>
      <c r="E444">
        <v>0.9887604367373154</v>
      </c>
      <c r="F444">
        <v>1.5</v>
      </c>
      <c r="G444" s="1" t="str">
        <f t="shared" si="91"/>
        <v/>
      </c>
      <c r="H444" s="1" t="str">
        <f t="shared" si="92"/>
        <v/>
      </c>
      <c r="I444" s="1" t="str">
        <f t="shared" si="93"/>
        <v/>
      </c>
      <c r="J444" s="1" t="str">
        <f t="shared" si="94"/>
        <v/>
      </c>
      <c r="K444" s="1" t="str">
        <f t="shared" si="95"/>
        <v/>
      </c>
      <c r="L444" s="1">
        <f t="shared" si="96"/>
        <v>0.9887604367373154</v>
      </c>
    </row>
    <row r="445" spans="1:12">
      <c r="A445" t="s">
        <v>155</v>
      </c>
      <c r="B445">
        <v>11</v>
      </c>
      <c r="C445" t="str">
        <f t="shared" si="90"/>
        <v>test.TIFFFaxDecoder_11_</v>
      </c>
      <c r="D445">
        <v>5</v>
      </c>
      <c r="E445">
        <v>0.99678869621066157</v>
      </c>
      <c r="F445">
        <v>1.6</v>
      </c>
      <c r="G445" s="1" t="str">
        <f t="shared" si="91"/>
        <v/>
      </c>
      <c r="H445" s="1" t="str">
        <f t="shared" si="92"/>
        <v/>
      </c>
      <c r="I445" s="1" t="str">
        <f t="shared" si="93"/>
        <v/>
      </c>
      <c r="J445" s="1" t="str">
        <f t="shared" si="94"/>
        <v/>
      </c>
      <c r="K445" s="1" t="str">
        <f t="shared" si="95"/>
        <v/>
      </c>
      <c r="L445" s="1">
        <f t="shared" si="96"/>
        <v>0.99678869621066157</v>
      </c>
    </row>
    <row r="446" spans="1:12">
      <c r="A446" t="s">
        <v>155</v>
      </c>
      <c r="B446">
        <v>11</v>
      </c>
      <c r="C446" t="str">
        <f t="shared" si="90"/>
        <v>test.TIFFFaxDecoder_11_</v>
      </c>
      <c r="D446">
        <v>1</v>
      </c>
      <c r="E446">
        <v>1</v>
      </c>
      <c r="F446">
        <v>2.2999999999999998</v>
      </c>
      <c r="G446" s="1" t="str">
        <f t="shared" si="91"/>
        <v/>
      </c>
      <c r="H446" s="1" t="str">
        <f t="shared" si="92"/>
        <v/>
      </c>
      <c r="I446" s="1" t="str">
        <f t="shared" si="93"/>
        <v/>
      </c>
      <c r="J446" s="1" t="str">
        <f t="shared" si="94"/>
        <v/>
      </c>
      <c r="K446" s="1" t="str">
        <f t="shared" si="95"/>
        <v/>
      </c>
      <c r="L446" s="1">
        <f t="shared" si="96"/>
        <v>1</v>
      </c>
    </row>
    <row r="447" spans="1:12">
      <c r="A447" t="s">
        <v>155</v>
      </c>
      <c r="B447">
        <v>12</v>
      </c>
      <c r="C447" t="str">
        <f t="shared" si="90"/>
        <v>test.TIFFFaxDecoder_12_</v>
      </c>
      <c r="D447">
        <v>2</v>
      </c>
      <c r="E447">
        <v>4.7422680412371132E-2</v>
      </c>
      <c r="F447">
        <v>0.8571428571428571</v>
      </c>
      <c r="G447" s="1" t="str">
        <f t="shared" si="91"/>
        <v/>
      </c>
      <c r="H447" s="1" t="str">
        <f t="shared" si="92"/>
        <v/>
      </c>
      <c r="I447" s="1" t="str">
        <f t="shared" si="93"/>
        <v/>
      </c>
      <c r="J447" s="1" t="str">
        <f t="shared" si="94"/>
        <v/>
      </c>
      <c r="K447" s="1">
        <f t="shared" si="95"/>
        <v>4.7422680412371132E-2</v>
      </c>
      <c r="L447" s="1" t="str">
        <f t="shared" si="96"/>
        <v/>
      </c>
    </row>
    <row r="448" spans="1:12">
      <c r="A448" t="s">
        <v>155</v>
      </c>
      <c r="B448">
        <v>12</v>
      </c>
      <c r="C448" t="str">
        <f t="shared" si="90"/>
        <v>test.TIFFFaxDecoder_12_</v>
      </c>
      <c r="D448">
        <v>3</v>
      </c>
      <c r="E448">
        <v>0.31958762886597936</v>
      </c>
      <c r="F448">
        <v>1.2857142857142858</v>
      </c>
      <c r="G448" s="1" t="str">
        <f t="shared" si="91"/>
        <v/>
      </c>
      <c r="H448" s="1" t="str">
        <f t="shared" si="92"/>
        <v/>
      </c>
      <c r="I448" s="1" t="str">
        <f t="shared" si="93"/>
        <v/>
      </c>
      <c r="J448" s="1" t="str">
        <f t="shared" si="94"/>
        <v/>
      </c>
      <c r="K448" s="1" t="str">
        <f t="shared" si="95"/>
        <v/>
      </c>
      <c r="L448" s="1">
        <f t="shared" si="96"/>
        <v>0.31958762886597936</v>
      </c>
    </row>
    <row r="449" spans="1:12">
      <c r="A449" t="s">
        <v>155</v>
      </c>
      <c r="B449">
        <v>12</v>
      </c>
      <c r="C449" t="str">
        <f t="shared" si="90"/>
        <v>test.TIFFFaxDecoder_12_</v>
      </c>
      <c r="D449">
        <v>4</v>
      </c>
      <c r="E449">
        <v>0.37594501718213058</v>
      </c>
      <c r="F449">
        <v>1.2857285714285713</v>
      </c>
      <c r="G449" s="1" t="str">
        <f t="shared" si="91"/>
        <v/>
      </c>
      <c r="H449" s="1" t="str">
        <f t="shared" si="92"/>
        <v/>
      </c>
      <c r="I449" s="1" t="str">
        <f t="shared" si="93"/>
        <v/>
      </c>
      <c r="J449" s="1" t="str">
        <f t="shared" si="94"/>
        <v/>
      </c>
      <c r="K449" s="1" t="str">
        <f t="shared" si="95"/>
        <v/>
      </c>
      <c r="L449" s="1">
        <f t="shared" si="96"/>
        <v>0.37594501718213058</v>
      </c>
    </row>
    <row r="450" spans="1:12">
      <c r="A450" t="s">
        <v>155</v>
      </c>
      <c r="B450">
        <v>12</v>
      </c>
      <c r="C450" t="str">
        <f t="shared" si="90"/>
        <v>test.TIFFFaxDecoder_12_</v>
      </c>
      <c r="D450">
        <v>5</v>
      </c>
      <c r="E450">
        <v>0.6</v>
      </c>
      <c r="F450">
        <v>1.2857428571428571</v>
      </c>
      <c r="G450" s="1" t="str">
        <f t="shared" si="91"/>
        <v/>
      </c>
      <c r="H450" s="1" t="str">
        <f t="shared" si="92"/>
        <v/>
      </c>
      <c r="I450" s="1" t="str">
        <f t="shared" si="93"/>
        <v/>
      </c>
      <c r="J450" s="1" t="str">
        <f t="shared" si="94"/>
        <v/>
      </c>
      <c r="K450" s="1" t="str">
        <f t="shared" si="95"/>
        <v/>
      </c>
      <c r="L450" s="1">
        <f t="shared" si="96"/>
        <v>0.6</v>
      </c>
    </row>
    <row r="451" spans="1:12">
      <c r="A451" t="s">
        <v>155</v>
      </c>
      <c r="B451">
        <v>12</v>
      </c>
      <c r="C451" t="str">
        <f t="shared" ref="C451:C472" si="97">CONCATENATE(A451, "_",B451,"_")</f>
        <v>test.TIFFFaxDecoder_12_</v>
      </c>
      <c r="D451">
        <v>1</v>
      </c>
      <c r="E451">
        <v>0.7305841924398625</v>
      </c>
      <c r="F451">
        <v>1.4285714285714286</v>
      </c>
      <c r="G451" s="1" t="str">
        <f t="shared" ref="G451:G472" si="98">IF($F451 &lt;= 0.2,$E451,"")</f>
        <v/>
      </c>
      <c r="H451" s="1" t="str">
        <f t="shared" ref="H451:H472" si="99">IF(AND($F451 &gt; 0.2,$F451 &lt;= 0.4),$E451,"")</f>
        <v/>
      </c>
      <c r="I451" s="1" t="str">
        <f t="shared" ref="I451:I472" si="100">IF(AND($F451 &gt; 0.4,$F451 &lt;= 0.6),$E451,"")</f>
        <v/>
      </c>
      <c r="J451" s="1" t="str">
        <f t="shared" ref="J451:J472" si="101">IF(AND($F451 &gt; 0.6,$F451 &lt;= 0.8),$E451,"")</f>
        <v/>
      </c>
      <c r="K451" s="1" t="str">
        <f t="shared" ref="K451:K472" si="102">IF(AND($F451 &gt; 0.8, $F451 &lt;=1.1),$E451,"")</f>
        <v/>
      </c>
      <c r="L451" s="1">
        <f t="shared" ref="L451:L472" si="103">IF(AND($F451 &gt; 1.1),$E451,"")</f>
        <v>0.7305841924398625</v>
      </c>
    </row>
    <row r="452" spans="1:12">
      <c r="A452" t="s">
        <v>155</v>
      </c>
      <c r="B452">
        <v>12</v>
      </c>
      <c r="C452" t="str">
        <f t="shared" si="97"/>
        <v>test.TIFFFaxDecoder_12_</v>
      </c>
      <c r="D452">
        <v>2</v>
      </c>
      <c r="E452">
        <v>0.78213058419243986</v>
      </c>
      <c r="F452">
        <v>1.4285857142857143</v>
      </c>
      <c r="G452" s="1" t="str">
        <f t="shared" si="98"/>
        <v/>
      </c>
      <c r="H452" s="1" t="str">
        <f t="shared" si="99"/>
        <v/>
      </c>
      <c r="I452" s="1" t="str">
        <f t="shared" si="100"/>
        <v/>
      </c>
      <c r="J452" s="1" t="str">
        <f t="shared" si="101"/>
        <v/>
      </c>
      <c r="K452" s="1" t="str">
        <f t="shared" si="102"/>
        <v/>
      </c>
      <c r="L452" s="1">
        <f t="shared" si="103"/>
        <v>0.78213058419243986</v>
      </c>
    </row>
    <row r="453" spans="1:12">
      <c r="A453" t="s">
        <v>155</v>
      </c>
      <c r="B453">
        <v>12</v>
      </c>
      <c r="C453" t="str">
        <f t="shared" si="97"/>
        <v>test.TIFFFaxDecoder_12_</v>
      </c>
      <c r="D453">
        <v>3</v>
      </c>
      <c r="E453">
        <v>0.92783505154639179</v>
      </c>
      <c r="F453">
        <v>1.5714285714285714</v>
      </c>
      <c r="G453" s="1" t="str">
        <f t="shared" si="98"/>
        <v/>
      </c>
      <c r="H453" s="1" t="str">
        <f t="shared" si="99"/>
        <v/>
      </c>
      <c r="I453" s="1" t="str">
        <f t="shared" si="100"/>
        <v/>
      </c>
      <c r="J453" s="1" t="str">
        <f t="shared" si="101"/>
        <v/>
      </c>
      <c r="K453" s="1" t="str">
        <f t="shared" si="102"/>
        <v/>
      </c>
      <c r="L453" s="1">
        <f t="shared" si="103"/>
        <v>0.92783505154639179</v>
      </c>
    </row>
    <row r="454" spans="1:12">
      <c r="A454" t="s">
        <v>155</v>
      </c>
      <c r="B454">
        <v>12</v>
      </c>
      <c r="C454" t="str">
        <f t="shared" si="97"/>
        <v>test.TIFFFaxDecoder_12_</v>
      </c>
      <c r="D454">
        <v>1</v>
      </c>
      <c r="E454">
        <v>0.97938144329896903</v>
      </c>
      <c r="F454">
        <v>1.5714428571428571</v>
      </c>
      <c r="G454" s="1" t="str">
        <f t="shared" si="98"/>
        <v/>
      </c>
      <c r="H454" s="1" t="str">
        <f t="shared" si="99"/>
        <v/>
      </c>
      <c r="I454" s="1" t="str">
        <f t="shared" si="100"/>
        <v/>
      </c>
      <c r="J454" s="1" t="str">
        <f t="shared" si="101"/>
        <v/>
      </c>
      <c r="K454" s="1" t="str">
        <f t="shared" si="102"/>
        <v/>
      </c>
      <c r="L454" s="1">
        <f t="shared" si="103"/>
        <v>0.97938144329896903</v>
      </c>
    </row>
    <row r="455" spans="1:12">
      <c r="A455" t="s">
        <v>155</v>
      </c>
      <c r="B455">
        <v>12</v>
      </c>
      <c r="C455" t="str">
        <f t="shared" si="97"/>
        <v>test.TIFFFaxDecoder_12_</v>
      </c>
      <c r="D455">
        <v>2</v>
      </c>
      <c r="E455">
        <v>1</v>
      </c>
      <c r="F455">
        <v>5.7142857142857144</v>
      </c>
      <c r="G455" s="1" t="str">
        <f t="shared" si="98"/>
        <v/>
      </c>
      <c r="H455" s="1" t="str">
        <f t="shared" si="99"/>
        <v/>
      </c>
      <c r="I455" s="1" t="str">
        <f t="shared" si="100"/>
        <v/>
      </c>
      <c r="J455" s="1" t="str">
        <f t="shared" si="101"/>
        <v/>
      </c>
      <c r="K455" s="1" t="str">
        <f t="shared" si="102"/>
        <v/>
      </c>
      <c r="L455" s="1">
        <f t="shared" si="103"/>
        <v>1</v>
      </c>
    </row>
    <row r="456" spans="1:12">
      <c r="A456" t="s">
        <v>155</v>
      </c>
      <c r="B456">
        <v>13</v>
      </c>
      <c r="C456" t="str">
        <f t="shared" si="97"/>
        <v>test.TIFFFaxDecoder_13_</v>
      </c>
      <c r="D456">
        <v>3</v>
      </c>
      <c r="E456">
        <v>0.32142857142857145</v>
      </c>
      <c r="F456">
        <v>1.5</v>
      </c>
      <c r="G456" s="1" t="str">
        <f t="shared" si="98"/>
        <v/>
      </c>
      <c r="H456" s="1" t="str">
        <f t="shared" si="99"/>
        <v/>
      </c>
      <c r="I456" s="1" t="str">
        <f t="shared" si="100"/>
        <v/>
      </c>
      <c r="J456" s="1" t="str">
        <f t="shared" si="101"/>
        <v/>
      </c>
      <c r="K456" s="1" t="str">
        <f t="shared" si="102"/>
        <v/>
      </c>
      <c r="L456" s="1">
        <f t="shared" si="103"/>
        <v>0.32142857142857145</v>
      </c>
    </row>
    <row r="457" spans="1:12">
      <c r="A457" t="s">
        <v>155</v>
      </c>
      <c r="B457">
        <v>13</v>
      </c>
      <c r="C457" t="str">
        <f t="shared" si="97"/>
        <v>test.TIFFFaxDecoder_13_</v>
      </c>
      <c r="D457">
        <v>4</v>
      </c>
      <c r="E457">
        <v>1</v>
      </c>
      <c r="F457">
        <v>2</v>
      </c>
      <c r="G457" s="1" t="str">
        <f t="shared" si="98"/>
        <v/>
      </c>
      <c r="H457" s="1" t="str">
        <f t="shared" si="99"/>
        <v/>
      </c>
      <c r="I457" s="1" t="str">
        <f t="shared" si="100"/>
        <v/>
      </c>
      <c r="J457" s="1" t="str">
        <f t="shared" si="101"/>
        <v/>
      </c>
      <c r="K457" s="1" t="str">
        <f t="shared" si="102"/>
        <v/>
      </c>
      <c r="L457" s="1">
        <f t="shared" si="103"/>
        <v>1</v>
      </c>
    </row>
    <row r="458" spans="1:12">
      <c r="A458" t="s">
        <v>199</v>
      </c>
      <c r="B458">
        <v>2</v>
      </c>
      <c r="C458" t="str">
        <f t="shared" si="97"/>
        <v>test.TIFFFaxEncoder_2_</v>
      </c>
      <c r="D458">
        <v>5</v>
      </c>
      <c r="E458">
        <v>1.5432098765432098E-2</v>
      </c>
      <c r="F458">
        <v>0.625</v>
      </c>
      <c r="G458" s="1" t="str">
        <f t="shared" si="98"/>
        <v/>
      </c>
      <c r="H458" s="1" t="str">
        <f t="shared" si="99"/>
        <v/>
      </c>
      <c r="I458" s="1" t="str">
        <f t="shared" si="100"/>
        <v/>
      </c>
      <c r="J458" s="1">
        <f t="shared" si="101"/>
        <v>1.5432098765432098E-2</v>
      </c>
      <c r="K458" s="1" t="str">
        <f t="shared" si="102"/>
        <v/>
      </c>
      <c r="L458" s="1" t="str">
        <f t="shared" si="103"/>
        <v/>
      </c>
    </row>
    <row r="459" spans="1:12">
      <c r="A459" t="s">
        <v>199</v>
      </c>
      <c r="B459">
        <v>2</v>
      </c>
      <c r="C459" t="str">
        <f t="shared" si="97"/>
        <v>test.TIFFFaxEncoder_2_</v>
      </c>
      <c r="D459">
        <v>6</v>
      </c>
      <c r="E459">
        <v>0.28163580246913578</v>
      </c>
      <c r="F459">
        <v>1.125</v>
      </c>
      <c r="G459" s="1" t="str">
        <f t="shared" si="98"/>
        <v/>
      </c>
      <c r="H459" s="1" t="str">
        <f t="shared" si="99"/>
        <v/>
      </c>
      <c r="I459" s="1" t="str">
        <f t="shared" si="100"/>
        <v/>
      </c>
      <c r="J459" s="1" t="str">
        <f t="shared" si="101"/>
        <v/>
      </c>
      <c r="K459" s="1" t="str">
        <f t="shared" si="102"/>
        <v/>
      </c>
      <c r="L459" s="1">
        <f t="shared" si="103"/>
        <v>0.28163580246913578</v>
      </c>
    </row>
    <row r="460" spans="1:12">
      <c r="A460" t="s">
        <v>199</v>
      </c>
      <c r="B460">
        <v>2</v>
      </c>
      <c r="C460" t="str">
        <f t="shared" si="97"/>
        <v>test.TIFFFaxEncoder_2_</v>
      </c>
      <c r="D460">
        <v>7</v>
      </c>
      <c r="E460">
        <v>0.31790123456790126</v>
      </c>
      <c r="F460">
        <v>1.375</v>
      </c>
      <c r="G460" s="1" t="str">
        <f t="shared" si="98"/>
        <v/>
      </c>
      <c r="H460" s="1" t="str">
        <f t="shared" si="99"/>
        <v/>
      </c>
      <c r="I460" s="1" t="str">
        <f t="shared" si="100"/>
        <v/>
      </c>
      <c r="J460" s="1" t="str">
        <f t="shared" si="101"/>
        <v/>
      </c>
      <c r="K460" s="1" t="str">
        <f t="shared" si="102"/>
        <v/>
      </c>
      <c r="L460" s="1">
        <f t="shared" si="103"/>
        <v>0.31790123456790126</v>
      </c>
    </row>
    <row r="461" spans="1:12">
      <c r="A461" t="s">
        <v>199</v>
      </c>
      <c r="B461">
        <v>2</v>
      </c>
      <c r="C461" t="str">
        <f t="shared" si="97"/>
        <v>test.TIFFFaxEncoder_2_</v>
      </c>
      <c r="D461">
        <v>8</v>
      </c>
      <c r="E461">
        <v>0.66666666666666663</v>
      </c>
      <c r="F461">
        <v>1.5</v>
      </c>
      <c r="G461" s="1" t="str">
        <f t="shared" si="98"/>
        <v/>
      </c>
      <c r="H461" s="1" t="str">
        <f t="shared" si="99"/>
        <v/>
      </c>
      <c r="I461" s="1" t="str">
        <f t="shared" si="100"/>
        <v/>
      </c>
      <c r="J461" s="1" t="str">
        <f t="shared" si="101"/>
        <v/>
      </c>
      <c r="K461" s="1" t="str">
        <f t="shared" si="102"/>
        <v/>
      </c>
      <c r="L461" s="1">
        <f t="shared" si="103"/>
        <v>0.66666666666666663</v>
      </c>
    </row>
    <row r="462" spans="1:12">
      <c r="A462" t="s">
        <v>199</v>
      </c>
      <c r="B462">
        <v>2</v>
      </c>
      <c r="C462" t="str">
        <f t="shared" si="97"/>
        <v>test.TIFFFaxEncoder_2_</v>
      </c>
      <c r="D462">
        <v>9</v>
      </c>
      <c r="E462">
        <v>0.98842592592592593</v>
      </c>
      <c r="F462">
        <v>1.5000125</v>
      </c>
      <c r="G462" s="1" t="str">
        <f t="shared" si="98"/>
        <v/>
      </c>
      <c r="H462" s="1" t="str">
        <f t="shared" si="99"/>
        <v/>
      </c>
      <c r="I462" s="1" t="str">
        <f t="shared" si="100"/>
        <v/>
      </c>
      <c r="J462" s="1" t="str">
        <f t="shared" si="101"/>
        <v/>
      </c>
      <c r="K462" s="1" t="str">
        <f t="shared" si="102"/>
        <v/>
      </c>
      <c r="L462" s="1">
        <f t="shared" si="103"/>
        <v>0.98842592592592593</v>
      </c>
    </row>
    <row r="463" spans="1:12">
      <c r="A463" t="s">
        <v>199</v>
      </c>
      <c r="B463">
        <v>2</v>
      </c>
      <c r="C463" t="str">
        <f t="shared" si="97"/>
        <v>test.TIFFFaxEncoder_2_</v>
      </c>
      <c r="D463">
        <v>10</v>
      </c>
      <c r="E463">
        <v>0.99228395061728392</v>
      </c>
      <c r="F463">
        <v>1.5000249999999999</v>
      </c>
      <c r="G463" s="1" t="str">
        <f t="shared" si="98"/>
        <v/>
      </c>
      <c r="H463" s="1" t="str">
        <f t="shared" si="99"/>
        <v/>
      </c>
      <c r="I463" s="1" t="str">
        <f t="shared" si="100"/>
        <v/>
      </c>
      <c r="J463" s="1" t="str">
        <f t="shared" si="101"/>
        <v/>
      </c>
      <c r="K463" s="1" t="str">
        <f t="shared" si="102"/>
        <v/>
      </c>
      <c r="L463" s="1">
        <f t="shared" si="103"/>
        <v>0.99228395061728392</v>
      </c>
    </row>
    <row r="464" spans="1:12">
      <c r="A464" t="s">
        <v>199</v>
      </c>
      <c r="B464">
        <v>2</v>
      </c>
      <c r="C464" t="str">
        <f t="shared" si="97"/>
        <v>test.TIFFFaxEncoder_2_</v>
      </c>
      <c r="D464">
        <v>11</v>
      </c>
      <c r="E464">
        <v>1</v>
      </c>
      <c r="F464">
        <v>1.75</v>
      </c>
      <c r="G464" s="1" t="str">
        <f t="shared" si="98"/>
        <v/>
      </c>
      <c r="H464" s="1" t="str">
        <f t="shared" si="99"/>
        <v/>
      </c>
      <c r="I464" s="1" t="str">
        <f t="shared" si="100"/>
        <v/>
      </c>
      <c r="J464" s="1" t="str">
        <f t="shared" si="101"/>
        <v/>
      </c>
      <c r="K464" s="1" t="str">
        <f t="shared" si="102"/>
        <v/>
      </c>
      <c r="L464" s="1">
        <f t="shared" si="103"/>
        <v>1</v>
      </c>
    </row>
    <row r="465" spans="1:12">
      <c r="A465" t="s">
        <v>199</v>
      </c>
      <c r="B465">
        <v>6</v>
      </c>
      <c r="C465" t="str">
        <f t="shared" si="97"/>
        <v>test.TIFFFaxEncoder_6_</v>
      </c>
      <c r="D465">
        <v>12</v>
      </c>
      <c r="E465">
        <v>0.69818913480885314</v>
      </c>
      <c r="F465">
        <v>2</v>
      </c>
      <c r="G465" s="1" t="str">
        <f t="shared" si="98"/>
        <v/>
      </c>
      <c r="H465" s="1" t="str">
        <f t="shared" si="99"/>
        <v/>
      </c>
      <c r="I465" s="1" t="str">
        <f t="shared" si="100"/>
        <v/>
      </c>
      <c r="J465" s="1" t="str">
        <f t="shared" si="101"/>
        <v/>
      </c>
      <c r="K465" s="1" t="str">
        <f t="shared" si="102"/>
        <v/>
      </c>
      <c r="L465" s="1">
        <f t="shared" si="103"/>
        <v>0.69818913480885314</v>
      </c>
    </row>
    <row r="466" spans="1:12">
      <c r="A466" t="s">
        <v>199</v>
      </c>
      <c r="B466">
        <v>6</v>
      </c>
      <c r="C466" t="str">
        <f t="shared" si="97"/>
        <v>test.TIFFFaxEncoder_6_</v>
      </c>
      <c r="D466">
        <v>13</v>
      </c>
      <c r="E466">
        <v>0.9758551307847082</v>
      </c>
      <c r="F466">
        <v>2.0000200000000001</v>
      </c>
      <c r="G466" s="1" t="str">
        <f t="shared" si="98"/>
        <v/>
      </c>
      <c r="H466" s="1" t="str">
        <f t="shared" si="99"/>
        <v/>
      </c>
      <c r="I466" s="1" t="str">
        <f t="shared" si="100"/>
        <v/>
      </c>
      <c r="J466" s="1" t="str">
        <f t="shared" si="101"/>
        <v/>
      </c>
      <c r="K466" s="1" t="str">
        <f t="shared" si="102"/>
        <v/>
      </c>
      <c r="L466" s="1">
        <f t="shared" si="103"/>
        <v>0.9758551307847082</v>
      </c>
    </row>
    <row r="467" spans="1:12">
      <c r="A467" t="s">
        <v>199</v>
      </c>
      <c r="B467">
        <v>6</v>
      </c>
      <c r="C467" t="str">
        <f t="shared" si="97"/>
        <v>test.TIFFFaxEncoder_6_</v>
      </c>
      <c r="D467">
        <v>14</v>
      </c>
      <c r="E467">
        <v>0.9758551307847082</v>
      </c>
      <c r="F467">
        <v>2.2000000000000002</v>
      </c>
      <c r="G467" s="1" t="str">
        <f t="shared" si="98"/>
        <v/>
      </c>
      <c r="H467" s="1" t="str">
        <f t="shared" si="99"/>
        <v/>
      </c>
      <c r="I467" s="1" t="str">
        <f t="shared" si="100"/>
        <v/>
      </c>
      <c r="J467" s="1" t="str">
        <f t="shared" si="101"/>
        <v/>
      </c>
      <c r="K467" s="1" t="str">
        <f t="shared" si="102"/>
        <v/>
      </c>
      <c r="L467" s="1">
        <f t="shared" si="103"/>
        <v>0.9758551307847082</v>
      </c>
    </row>
    <row r="468" spans="1:12">
      <c r="A468" t="s">
        <v>199</v>
      </c>
      <c r="B468">
        <v>6</v>
      </c>
      <c r="C468" t="str">
        <f t="shared" si="97"/>
        <v>test.TIFFFaxEncoder_6_</v>
      </c>
      <c r="D468">
        <v>15</v>
      </c>
      <c r="E468">
        <v>1</v>
      </c>
      <c r="F468">
        <v>2.2000199999999999</v>
      </c>
      <c r="G468" s="1" t="str">
        <f t="shared" si="98"/>
        <v/>
      </c>
      <c r="H468" s="1" t="str">
        <f t="shared" si="99"/>
        <v/>
      </c>
      <c r="I468" s="1" t="str">
        <f t="shared" si="100"/>
        <v/>
      </c>
      <c r="J468" s="1" t="str">
        <f t="shared" si="101"/>
        <v/>
      </c>
      <c r="K468" s="1" t="str">
        <f t="shared" si="102"/>
        <v/>
      </c>
      <c r="L468" s="1">
        <f t="shared" si="103"/>
        <v>1</v>
      </c>
    </row>
    <row r="469" spans="1:12">
      <c r="A469" t="s">
        <v>199</v>
      </c>
      <c r="B469">
        <v>6</v>
      </c>
      <c r="C469" t="str">
        <f t="shared" si="97"/>
        <v>test.TIFFFaxEncoder_6_</v>
      </c>
      <c r="D469">
        <v>16</v>
      </c>
      <c r="E469">
        <v>1</v>
      </c>
      <c r="F469">
        <v>2.20004</v>
      </c>
      <c r="G469" s="1" t="str">
        <f t="shared" si="98"/>
        <v/>
      </c>
      <c r="H469" s="1" t="str">
        <f t="shared" si="99"/>
        <v/>
      </c>
      <c r="I469" s="1" t="str">
        <f t="shared" si="100"/>
        <v/>
      </c>
      <c r="J469" s="1" t="str">
        <f t="shared" si="101"/>
        <v/>
      </c>
      <c r="K469" s="1" t="str">
        <f t="shared" si="102"/>
        <v/>
      </c>
      <c r="L469" s="1">
        <f t="shared" si="103"/>
        <v>1</v>
      </c>
    </row>
    <row r="470" spans="1:12">
      <c r="A470" t="s">
        <v>199</v>
      </c>
      <c r="B470">
        <v>6</v>
      </c>
      <c r="C470" t="str">
        <f t="shared" si="97"/>
        <v>test.TIFFFaxEncoder_6_</v>
      </c>
      <c r="D470">
        <v>17</v>
      </c>
      <c r="E470">
        <v>1</v>
      </c>
      <c r="F470">
        <v>2.2000599999999997</v>
      </c>
      <c r="G470" s="1" t="str">
        <f t="shared" si="98"/>
        <v/>
      </c>
      <c r="H470" s="1" t="str">
        <f t="shared" si="99"/>
        <v/>
      </c>
      <c r="I470" s="1" t="str">
        <f t="shared" si="100"/>
        <v/>
      </c>
      <c r="J470" s="1" t="str">
        <f t="shared" si="101"/>
        <v/>
      </c>
      <c r="K470" s="1" t="str">
        <f t="shared" si="102"/>
        <v/>
      </c>
      <c r="L470" s="1">
        <f t="shared" si="103"/>
        <v>1</v>
      </c>
    </row>
    <row r="471" spans="1:12">
      <c r="A471" t="s">
        <v>199</v>
      </c>
      <c r="B471">
        <v>8</v>
      </c>
      <c r="C471" t="str">
        <f t="shared" si="97"/>
        <v>test.TIFFFaxEncoder_8_</v>
      </c>
      <c r="D471">
        <v>18</v>
      </c>
      <c r="E471">
        <v>0.92438563327032142</v>
      </c>
      <c r="F471">
        <v>2.75</v>
      </c>
      <c r="G471" s="1" t="str">
        <f t="shared" si="98"/>
        <v/>
      </c>
      <c r="H471" s="1" t="str">
        <f t="shared" si="99"/>
        <v/>
      </c>
      <c r="I471" s="1" t="str">
        <f t="shared" si="100"/>
        <v/>
      </c>
      <c r="J471" s="1" t="str">
        <f t="shared" si="101"/>
        <v/>
      </c>
      <c r="K471" s="1" t="str">
        <f t="shared" si="102"/>
        <v/>
      </c>
      <c r="L471" s="1">
        <f t="shared" si="103"/>
        <v>0.92438563327032142</v>
      </c>
    </row>
    <row r="472" spans="1:12">
      <c r="A472" t="s">
        <v>199</v>
      </c>
      <c r="B472">
        <v>8</v>
      </c>
      <c r="C472" t="str">
        <f t="shared" si="97"/>
        <v>test.TIFFFaxEncoder_8_</v>
      </c>
      <c r="D472">
        <v>1</v>
      </c>
      <c r="E472">
        <v>1</v>
      </c>
      <c r="F472">
        <v>3</v>
      </c>
      <c r="G472" s="1" t="str">
        <f t="shared" si="98"/>
        <v/>
      </c>
      <c r="H472" s="1" t="str">
        <f t="shared" si="99"/>
        <v/>
      </c>
      <c r="I472" s="1" t="str">
        <f t="shared" si="100"/>
        <v/>
      </c>
      <c r="J472" s="1" t="str">
        <f t="shared" si="101"/>
        <v/>
      </c>
      <c r="K472" s="1" t="str">
        <f t="shared" si="102"/>
        <v/>
      </c>
      <c r="L472" s="1">
        <f t="shared" si="103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2"/>
  <sheetViews>
    <sheetView workbookViewId="0">
      <pane xSplit="3" ySplit="1" topLeftCell="D454" activePane="bottomRight" state="frozen"/>
      <selection pane="topRight" activeCell="D1" sqref="D1"/>
      <selection pane="bottomLeft" activeCell="A2" sqref="A2"/>
      <selection pane="bottomRight" activeCell="J2" sqref="J2:J472"/>
    </sheetView>
  </sheetViews>
  <sheetFormatPr baseColWidth="10" defaultRowHeight="15" x14ac:dyDescent="0"/>
  <cols>
    <col min="1" max="2" width="20.6640625" customWidth="1"/>
  </cols>
  <sheetData>
    <row r="1" spans="1:10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211</v>
      </c>
      <c r="H1" t="s">
        <v>210</v>
      </c>
      <c r="I1" t="s">
        <v>213</v>
      </c>
      <c r="J1" t="s">
        <v>212</v>
      </c>
    </row>
    <row r="2" spans="1:10">
      <c r="A2" t="s">
        <v>4</v>
      </c>
      <c r="B2">
        <v>1</v>
      </c>
      <c r="C2" t="s">
        <v>306</v>
      </c>
      <c r="D2">
        <v>1</v>
      </c>
      <c r="E2">
        <v>17</v>
      </c>
      <c r="F2">
        <v>15</v>
      </c>
      <c r="G2">
        <v>2378</v>
      </c>
      <c r="H2">
        <v>2518</v>
      </c>
      <c r="I2" s="1">
        <f>F2/E2</f>
        <v>0.88235294117647056</v>
      </c>
      <c r="J2" s="1">
        <f>G2/H2</f>
        <v>0.94440031771247024</v>
      </c>
    </row>
    <row r="3" spans="1:10">
      <c r="A3" t="s">
        <v>4</v>
      </c>
      <c r="B3">
        <v>1</v>
      </c>
      <c r="C3" t="s">
        <v>180</v>
      </c>
      <c r="D3">
        <v>2</v>
      </c>
      <c r="E3">
        <v>17</v>
      </c>
      <c r="F3">
        <v>15.0001</v>
      </c>
      <c r="G3">
        <v>2502</v>
      </c>
      <c r="H3">
        <v>2518</v>
      </c>
      <c r="I3" s="1">
        <f t="shared" ref="I3:I66" si="0">F3/E3</f>
        <v>0.88235882352941175</v>
      </c>
      <c r="J3" s="1">
        <f t="shared" ref="J3:J66" si="1">G3/H3</f>
        <v>0.99364575059571092</v>
      </c>
    </row>
    <row r="4" spans="1:10">
      <c r="A4" t="s">
        <v>4</v>
      </c>
      <c r="B4">
        <v>1</v>
      </c>
      <c r="C4" t="s">
        <v>307</v>
      </c>
      <c r="D4">
        <v>3</v>
      </c>
      <c r="E4">
        <v>17</v>
      </c>
      <c r="F4">
        <v>15.0002</v>
      </c>
      <c r="G4">
        <v>2518</v>
      </c>
      <c r="H4">
        <v>2518</v>
      </c>
      <c r="I4" s="1">
        <f t="shared" si="0"/>
        <v>0.88236470588235294</v>
      </c>
      <c r="J4" s="1">
        <f t="shared" si="1"/>
        <v>1</v>
      </c>
    </row>
    <row r="5" spans="1:10">
      <c r="A5" t="s">
        <v>4</v>
      </c>
      <c r="B5">
        <v>1</v>
      </c>
      <c r="C5" t="s">
        <v>308</v>
      </c>
      <c r="D5">
        <v>4</v>
      </c>
      <c r="E5">
        <v>17</v>
      </c>
      <c r="F5">
        <v>15.000299999999999</v>
      </c>
      <c r="G5">
        <v>2518</v>
      </c>
      <c r="H5">
        <v>2518</v>
      </c>
      <c r="I5" s="1">
        <f t="shared" si="0"/>
        <v>0.88237058823529413</v>
      </c>
      <c r="J5" s="1">
        <f t="shared" si="1"/>
        <v>1</v>
      </c>
    </row>
    <row r="6" spans="1:10">
      <c r="A6" t="s">
        <v>4</v>
      </c>
      <c r="B6">
        <v>1</v>
      </c>
      <c r="C6" t="s">
        <v>309</v>
      </c>
      <c r="D6">
        <v>5</v>
      </c>
      <c r="E6">
        <v>17</v>
      </c>
      <c r="F6">
        <v>15.000401</v>
      </c>
      <c r="G6">
        <v>2518</v>
      </c>
      <c r="H6">
        <v>2518</v>
      </c>
      <c r="I6" s="1">
        <f t="shared" si="0"/>
        <v>0.8823765294117647</v>
      </c>
      <c r="J6" s="1">
        <f t="shared" si="1"/>
        <v>1</v>
      </c>
    </row>
    <row r="7" spans="1:10">
      <c r="A7" t="s">
        <v>4</v>
      </c>
      <c r="B7">
        <v>1</v>
      </c>
      <c r="C7" t="s">
        <v>310</v>
      </c>
      <c r="D7">
        <v>6</v>
      </c>
      <c r="E7">
        <v>17</v>
      </c>
      <c r="F7">
        <v>15.000501</v>
      </c>
      <c r="G7">
        <v>2518</v>
      </c>
      <c r="H7">
        <v>2518</v>
      </c>
      <c r="I7" s="1">
        <f t="shared" si="0"/>
        <v>0.88238241176470589</v>
      </c>
      <c r="J7" s="1">
        <f t="shared" si="1"/>
        <v>1</v>
      </c>
    </row>
    <row r="8" spans="1:10">
      <c r="A8" t="s">
        <v>4</v>
      </c>
      <c r="B8">
        <v>1</v>
      </c>
      <c r="C8" t="s">
        <v>311</v>
      </c>
      <c r="D8">
        <v>7</v>
      </c>
      <c r="E8">
        <v>17</v>
      </c>
      <c r="F8">
        <v>16</v>
      </c>
      <c r="G8">
        <v>2518</v>
      </c>
      <c r="H8">
        <v>2518</v>
      </c>
      <c r="I8" s="1">
        <f t="shared" si="0"/>
        <v>0.94117647058823528</v>
      </c>
      <c r="J8" s="1">
        <f t="shared" si="1"/>
        <v>1</v>
      </c>
    </row>
    <row r="9" spans="1:10">
      <c r="A9" t="s">
        <v>4</v>
      </c>
      <c r="B9">
        <v>1</v>
      </c>
      <c r="C9" t="s">
        <v>312</v>
      </c>
      <c r="D9">
        <v>8</v>
      </c>
      <c r="E9">
        <v>17</v>
      </c>
      <c r="F9">
        <v>18</v>
      </c>
      <c r="G9">
        <v>2518</v>
      </c>
      <c r="H9">
        <v>2518</v>
      </c>
      <c r="I9" s="1">
        <f t="shared" si="0"/>
        <v>1.0588235294117647</v>
      </c>
      <c r="J9" s="1">
        <f t="shared" si="1"/>
        <v>1</v>
      </c>
    </row>
    <row r="10" spans="1:10">
      <c r="A10" t="s">
        <v>4</v>
      </c>
      <c r="B10">
        <v>2</v>
      </c>
      <c r="C10" t="s">
        <v>3</v>
      </c>
      <c r="D10">
        <v>1</v>
      </c>
      <c r="E10">
        <v>7</v>
      </c>
      <c r="F10">
        <v>3</v>
      </c>
      <c r="G10">
        <v>232</v>
      </c>
      <c r="H10">
        <v>1238</v>
      </c>
      <c r="I10" s="1">
        <f t="shared" si="0"/>
        <v>0.42857142857142855</v>
      </c>
      <c r="J10" s="1">
        <f t="shared" si="1"/>
        <v>0.18739903069466882</v>
      </c>
    </row>
    <row r="11" spans="1:10">
      <c r="A11" t="s">
        <v>4</v>
      </c>
      <c r="B11">
        <v>2</v>
      </c>
      <c r="C11" t="s">
        <v>9</v>
      </c>
      <c r="D11">
        <v>2</v>
      </c>
      <c r="E11">
        <v>7</v>
      </c>
      <c r="F11">
        <v>4</v>
      </c>
      <c r="G11">
        <v>751</v>
      </c>
      <c r="H11">
        <v>1238</v>
      </c>
      <c r="I11" s="1">
        <f t="shared" si="0"/>
        <v>0.5714285714285714</v>
      </c>
      <c r="J11" s="1">
        <f t="shared" si="1"/>
        <v>0.60662358642972536</v>
      </c>
    </row>
    <row r="12" spans="1:10">
      <c r="A12" t="s">
        <v>4</v>
      </c>
      <c r="B12">
        <v>2</v>
      </c>
      <c r="C12" t="s">
        <v>12</v>
      </c>
      <c r="D12">
        <v>3</v>
      </c>
      <c r="E12">
        <v>7</v>
      </c>
      <c r="F12">
        <v>4.0000999999999998</v>
      </c>
      <c r="G12">
        <v>751</v>
      </c>
      <c r="H12">
        <v>1238</v>
      </c>
      <c r="I12" s="1">
        <f t="shared" si="0"/>
        <v>0.57144285714285714</v>
      </c>
      <c r="J12" s="1">
        <f t="shared" si="1"/>
        <v>0.60662358642972536</v>
      </c>
    </row>
    <row r="13" spans="1:10">
      <c r="A13" t="s">
        <v>4</v>
      </c>
      <c r="B13">
        <v>2</v>
      </c>
      <c r="C13" t="s">
        <v>5</v>
      </c>
      <c r="D13">
        <v>4</v>
      </c>
      <c r="E13">
        <v>7</v>
      </c>
      <c r="F13">
        <v>4.0002003000000004</v>
      </c>
      <c r="G13">
        <v>843</v>
      </c>
      <c r="H13">
        <v>1238</v>
      </c>
      <c r="I13" s="1">
        <f t="shared" si="0"/>
        <v>0.57145718571428572</v>
      </c>
      <c r="J13" s="1">
        <f t="shared" si="1"/>
        <v>0.68093699515347339</v>
      </c>
    </row>
    <row r="14" spans="1:10">
      <c r="A14" t="s">
        <v>4</v>
      </c>
      <c r="B14">
        <v>2</v>
      </c>
      <c r="C14" t="s">
        <v>11</v>
      </c>
      <c r="D14">
        <v>5</v>
      </c>
      <c r="E14">
        <v>7</v>
      </c>
      <c r="F14">
        <v>4.0003004000000004</v>
      </c>
      <c r="G14">
        <v>843</v>
      </c>
      <c r="H14">
        <v>1238</v>
      </c>
      <c r="I14" s="1">
        <f t="shared" si="0"/>
        <v>0.57147148571428574</v>
      </c>
      <c r="J14" s="1">
        <f t="shared" si="1"/>
        <v>0.68093699515347339</v>
      </c>
    </row>
    <row r="15" spans="1:10">
      <c r="A15" t="s">
        <v>4</v>
      </c>
      <c r="B15">
        <v>2</v>
      </c>
      <c r="C15" t="s">
        <v>6</v>
      </c>
      <c r="D15">
        <v>6</v>
      </c>
      <c r="E15">
        <v>7</v>
      </c>
      <c r="F15">
        <v>4.0004004999999996</v>
      </c>
      <c r="G15">
        <v>843</v>
      </c>
      <c r="H15">
        <v>1238</v>
      </c>
      <c r="I15" s="1">
        <f t="shared" si="0"/>
        <v>0.57148578571428565</v>
      </c>
      <c r="J15" s="1">
        <f t="shared" si="1"/>
        <v>0.68093699515347339</v>
      </c>
    </row>
    <row r="16" spans="1:10">
      <c r="A16" t="s">
        <v>4</v>
      </c>
      <c r="B16">
        <v>2</v>
      </c>
      <c r="C16" t="s">
        <v>18</v>
      </c>
      <c r="D16">
        <v>7</v>
      </c>
      <c r="E16">
        <v>7</v>
      </c>
      <c r="F16">
        <v>4.0005006999999999</v>
      </c>
      <c r="G16">
        <v>847</v>
      </c>
      <c r="H16">
        <v>1238</v>
      </c>
      <c r="I16" s="1">
        <f t="shared" si="0"/>
        <v>0.57150009999999996</v>
      </c>
      <c r="J16" s="1">
        <f t="shared" si="1"/>
        <v>0.68416801292407103</v>
      </c>
    </row>
    <row r="17" spans="1:10">
      <c r="A17" t="s">
        <v>4</v>
      </c>
      <c r="B17">
        <v>2</v>
      </c>
      <c r="C17" t="s">
        <v>8</v>
      </c>
      <c r="D17">
        <v>8</v>
      </c>
      <c r="E17">
        <v>7</v>
      </c>
      <c r="F17">
        <v>5</v>
      </c>
      <c r="G17">
        <v>1226</v>
      </c>
      <c r="H17">
        <v>1238</v>
      </c>
      <c r="I17" s="1">
        <f t="shared" si="0"/>
        <v>0.7142857142857143</v>
      </c>
      <c r="J17" s="1">
        <f t="shared" si="1"/>
        <v>0.99030694668820674</v>
      </c>
    </row>
    <row r="18" spans="1:10">
      <c r="A18" t="s">
        <v>4</v>
      </c>
      <c r="B18">
        <v>2</v>
      </c>
      <c r="C18" t="s">
        <v>10</v>
      </c>
      <c r="D18">
        <v>9</v>
      </c>
      <c r="E18">
        <v>7</v>
      </c>
      <c r="F18">
        <v>5.0000999999999998</v>
      </c>
      <c r="G18">
        <v>1238</v>
      </c>
      <c r="H18">
        <v>1238</v>
      </c>
      <c r="I18" s="1">
        <f t="shared" si="0"/>
        <v>0.71429999999999993</v>
      </c>
      <c r="J18" s="1">
        <f t="shared" si="1"/>
        <v>1</v>
      </c>
    </row>
    <row r="19" spans="1:10">
      <c r="A19" t="s">
        <v>4</v>
      </c>
      <c r="B19">
        <v>2</v>
      </c>
      <c r="C19" t="s">
        <v>14</v>
      </c>
      <c r="D19">
        <v>10</v>
      </c>
      <c r="E19">
        <v>7</v>
      </c>
      <c r="F19">
        <v>5.0002003000000004</v>
      </c>
      <c r="G19">
        <v>1238</v>
      </c>
      <c r="H19">
        <v>1238</v>
      </c>
      <c r="I19" s="1">
        <f t="shared" si="0"/>
        <v>0.71431432857142863</v>
      </c>
      <c r="J19" s="1">
        <f t="shared" si="1"/>
        <v>1</v>
      </c>
    </row>
    <row r="20" spans="1:10">
      <c r="A20" t="s">
        <v>4</v>
      </c>
      <c r="B20">
        <v>2</v>
      </c>
      <c r="C20" t="s">
        <v>7</v>
      </c>
      <c r="D20">
        <v>11</v>
      </c>
      <c r="E20">
        <v>7</v>
      </c>
      <c r="F20">
        <v>5.0003004000000004</v>
      </c>
      <c r="G20">
        <v>1238</v>
      </c>
      <c r="H20">
        <v>1238</v>
      </c>
      <c r="I20" s="1">
        <f t="shared" si="0"/>
        <v>0.71432862857142865</v>
      </c>
      <c r="J20" s="1">
        <f t="shared" si="1"/>
        <v>1</v>
      </c>
    </row>
    <row r="21" spans="1:10">
      <c r="A21" t="s">
        <v>4</v>
      </c>
      <c r="B21">
        <v>2</v>
      </c>
      <c r="C21" t="s">
        <v>15</v>
      </c>
      <c r="D21">
        <v>12</v>
      </c>
      <c r="E21">
        <v>7</v>
      </c>
      <c r="F21">
        <v>5.0004004999999996</v>
      </c>
      <c r="G21">
        <v>1238</v>
      </c>
      <c r="H21">
        <v>1238</v>
      </c>
      <c r="I21" s="1">
        <f t="shared" si="0"/>
        <v>0.71434292857142856</v>
      </c>
      <c r="J21" s="1">
        <f t="shared" si="1"/>
        <v>1</v>
      </c>
    </row>
    <row r="22" spans="1:10">
      <c r="A22" t="s">
        <v>4</v>
      </c>
      <c r="B22">
        <v>2</v>
      </c>
      <c r="C22" t="s">
        <v>17</v>
      </c>
      <c r="D22">
        <v>13</v>
      </c>
      <c r="E22">
        <v>7</v>
      </c>
      <c r="F22">
        <v>5.0005006999999999</v>
      </c>
      <c r="G22">
        <v>1238</v>
      </c>
      <c r="H22">
        <v>1238</v>
      </c>
      <c r="I22" s="1">
        <f t="shared" si="0"/>
        <v>0.71435724285714286</v>
      </c>
      <c r="J22" s="1">
        <f t="shared" si="1"/>
        <v>1</v>
      </c>
    </row>
    <row r="23" spans="1:10">
      <c r="A23" t="s">
        <v>4</v>
      </c>
      <c r="B23">
        <v>2</v>
      </c>
      <c r="C23" t="s">
        <v>13</v>
      </c>
      <c r="D23">
        <v>14</v>
      </c>
      <c r="E23">
        <v>7</v>
      </c>
      <c r="F23">
        <v>6</v>
      </c>
      <c r="G23">
        <v>1238</v>
      </c>
      <c r="H23">
        <v>1238</v>
      </c>
      <c r="I23" s="1">
        <f t="shared" si="0"/>
        <v>0.8571428571428571</v>
      </c>
      <c r="J23" s="1">
        <f t="shared" si="1"/>
        <v>1</v>
      </c>
    </row>
    <row r="24" spans="1:10">
      <c r="A24" t="s">
        <v>4</v>
      </c>
      <c r="B24">
        <v>2</v>
      </c>
      <c r="C24" t="s">
        <v>16</v>
      </c>
      <c r="D24">
        <v>15</v>
      </c>
      <c r="E24">
        <v>7</v>
      </c>
      <c r="F24">
        <v>6.0000999999999998</v>
      </c>
      <c r="G24">
        <v>1238</v>
      </c>
      <c r="H24">
        <v>1238</v>
      </c>
      <c r="I24" s="1">
        <f t="shared" si="0"/>
        <v>0.85715714285714284</v>
      </c>
      <c r="J24" s="1">
        <f t="shared" si="1"/>
        <v>1</v>
      </c>
    </row>
    <row r="25" spans="1:10">
      <c r="A25" t="s">
        <v>4</v>
      </c>
      <c r="B25">
        <v>6</v>
      </c>
      <c r="C25" t="s">
        <v>1</v>
      </c>
      <c r="D25">
        <v>1</v>
      </c>
      <c r="E25">
        <v>2</v>
      </c>
      <c r="F25">
        <v>2</v>
      </c>
      <c r="G25">
        <v>24</v>
      </c>
      <c r="H25">
        <v>80</v>
      </c>
      <c r="I25" s="1">
        <f t="shared" si="0"/>
        <v>1</v>
      </c>
      <c r="J25" s="1">
        <f t="shared" si="1"/>
        <v>0.3</v>
      </c>
    </row>
    <row r="26" spans="1:10">
      <c r="A26" t="s">
        <v>4</v>
      </c>
      <c r="B26">
        <v>6</v>
      </c>
      <c r="C26" t="s">
        <v>20</v>
      </c>
      <c r="D26">
        <v>2</v>
      </c>
      <c r="E26">
        <v>2</v>
      </c>
      <c r="F26">
        <v>3</v>
      </c>
      <c r="G26">
        <v>71</v>
      </c>
      <c r="H26">
        <v>80</v>
      </c>
      <c r="I26" s="1">
        <f t="shared" si="0"/>
        <v>1.5</v>
      </c>
      <c r="J26" s="1">
        <f t="shared" si="1"/>
        <v>0.88749999999999996</v>
      </c>
    </row>
    <row r="27" spans="1:10">
      <c r="A27" t="s">
        <v>4</v>
      </c>
      <c r="B27">
        <v>6</v>
      </c>
      <c r="C27" t="s">
        <v>19</v>
      </c>
      <c r="D27">
        <v>3</v>
      </c>
      <c r="E27">
        <v>2</v>
      </c>
      <c r="F27">
        <v>3.0001000000000002</v>
      </c>
      <c r="G27">
        <v>71</v>
      </c>
      <c r="H27">
        <v>80</v>
      </c>
      <c r="I27" s="1">
        <f t="shared" si="0"/>
        <v>1.5000500000000001</v>
      </c>
      <c r="J27" s="1">
        <f t="shared" si="1"/>
        <v>0.88749999999999996</v>
      </c>
    </row>
    <row r="28" spans="1:10">
      <c r="A28" t="s">
        <v>4</v>
      </c>
      <c r="B28">
        <v>6</v>
      </c>
      <c r="C28" t="s">
        <v>21</v>
      </c>
      <c r="D28">
        <v>4</v>
      </c>
      <c r="E28">
        <v>2</v>
      </c>
      <c r="F28">
        <v>3.0001997999999999</v>
      </c>
      <c r="G28">
        <v>80</v>
      </c>
      <c r="H28">
        <v>80</v>
      </c>
      <c r="I28" s="1">
        <f t="shared" si="0"/>
        <v>1.5000998999999999</v>
      </c>
      <c r="J28" s="1">
        <f t="shared" si="1"/>
        <v>1</v>
      </c>
    </row>
    <row r="29" spans="1:10">
      <c r="A29" t="s">
        <v>4</v>
      </c>
      <c r="B29">
        <v>6</v>
      </c>
      <c r="C29" t="s">
        <v>22</v>
      </c>
      <c r="D29">
        <v>5</v>
      </c>
      <c r="E29">
        <v>2</v>
      </c>
      <c r="F29">
        <v>3.0002996999999998</v>
      </c>
      <c r="G29">
        <v>80</v>
      </c>
      <c r="H29">
        <v>80</v>
      </c>
      <c r="I29" s="1">
        <f t="shared" si="0"/>
        <v>1.5001498499999999</v>
      </c>
      <c r="J29" s="1">
        <f t="shared" si="1"/>
        <v>1</v>
      </c>
    </row>
    <row r="30" spans="1:10">
      <c r="A30" t="s">
        <v>4</v>
      </c>
      <c r="B30">
        <v>9</v>
      </c>
      <c r="C30" t="s">
        <v>23</v>
      </c>
      <c r="D30">
        <v>1</v>
      </c>
      <c r="E30">
        <v>14</v>
      </c>
      <c r="F30">
        <v>3</v>
      </c>
      <c r="G30">
        <v>131</v>
      </c>
      <c r="H30">
        <v>5239</v>
      </c>
      <c r="I30" s="1">
        <f t="shared" si="0"/>
        <v>0.21428571428571427</v>
      </c>
      <c r="J30" s="1">
        <f t="shared" si="1"/>
        <v>2.500477190303493E-2</v>
      </c>
    </row>
    <row r="31" spans="1:10">
      <c r="A31" t="s">
        <v>4</v>
      </c>
      <c r="B31">
        <v>9</v>
      </c>
      <c r="C31" t="s">
        <v>24</v>
      </c>
      <c r="D31">
        <v>2</v>
      </c>
      <c r="E31">
        <v>14</v>
      </c>
      <c r="F31">
        <v>3.0001000000000002</v>
      </c>
      <c r="G31">
        <v>505</v>
      </c>
      <c r="H31">
        <v>5239</v>
      </c>
      <c r="I31" s="1">
        <f t="shared" si="0"/>
        <v>0.21429285714285715</v>
      </c>
      <c r="J31" s="1">
        <f t="shared" si="1"/>
        <v>9.6392441305592672E-2</v>
      </c>
    </row>
    <row r="32" spans="1:10">
      <c r="A32" t="s">
        <v>4</v>
      </c>
      <c r="B32">
        <v>9</v>
      </c>
      <c r="C32" t="s">
        <v>25</v>
      </c>
      <c r="D32">
        <v>3</v>
      </c>
      <c r="E32">
        <v>14</v>
      </c>
      <c r="F32">
        <v>4</v>
      </c>
      <c r="G32">
        <v>740</v>
      </c>
      <c r="H32">
        <v>5239</v>
      </c>
      <c r="I32" s="1">
        <f t="shared" si="0"/>
        <v>0.2857142857142857</v>
      </c>
      <c r="J32" s="1">
        <f t="shared" si="1"/>
        <v>0.14124832983393779</v>
      </c>
    </row>
    <row r="33" spans="1:10">
      <c r="A33" t="s">
        <v>4</v>
      </c>
      <c r="B33">
        <v>9</v>
      </c>
      <c r="C33" t="s">
        <v>26</v>
      </c>
      <c r="D33">
        <v>4</v>
      </c>
      <c r="E33">
        <v>14</v>
      </c>
      <c r="F33">
        <v>4.0000999999999998</v>
      </c>
      <c r="G33">
        <v>997</v>
      </c>
      <c r="H33">
        <v>5239</v>
      </c>
      <c r="I33" s="1">
        <f t="shared" si="0"/>
        <v>0.28572142857142857</v>
      </c>
      <c r="J33" s="1">
        <f t="shared" si="1"/>
        <v>0.19030349303302158</v>
      </c>
    </row>
    <row r="34" spans="1:10">
      <c r="A34" t="s">
        <v>4</v>
      </c>
      <c r="B34">
        <v>9</v>
      </c>
      <c r="C34" t="s">
        <v>3</v>
      </c>
      <c r="D34">
        <v>5</v>
      </c>
      <c r="E34">
        <v>14</v>
      </c>
      <c r="F34">
        <v>4.0002003000000004</v>
      </c>
      <c r="G34">
        <v>1210</v>
      </c>
      <c r="H34">
        <v>5239</v>
      </c>
      <c r="I34" s="1">
        <f t="shared" si="0"/>
        <v>0.28572859285714286</v>
      </c>
      <c r="J34" s="1">
        <f t="shared" si="1"/>
        <v>0.23096010689062799</v>
      </c>
    </row>
    <row r="35" spans="1:10">
      <c r="A35" t="s">
        <v>4</v>
      </c>
      <c r="B35">
        <v>9</v>
      </c>
      <c r="C35" t="s">
        <v>27</v>
      </c>
      <c r="D35">
        <v>6</v>
      </c>
      <c r="E35">
        <v>14</v>
      </c>
      <c r="F35">
        <v>6</v>
      </c>
      <c r="G35">
        <v>2501</v>
      </c>
      <c r="H35">
        <v>5239</v>
      </c>
      <c r="I35" s="1">
        <f t="shared" si="0"/>
        <v>0.42857142857142855</v>
      </c>
      <c r="J35" s="1">
        <f t="shared" si="1"/>
        <v>0.47738117961443022</v>
      </c>
    </row>
    <row r="36" spans="1:10">
      <c r="A36" t="s">
        <v>4</v>
      </c>
      <c r="B36">
        <v>9</v>
      </c>
      <c r="C36" t="s">
        <v>29</v>
      </c>
      <c r="D36">
        <v>7</v>
      </c>
      <c r="E36">
        <v>14</v>
      </c>
      <c r="F36">
        <v>6.0000999999999998</v>
      </c>
      <c r="G36">
        <v>3123</v>
      </c>
      <c r="H36">
        <v>5239</v>
      </c>
      <c r="I36" s="1">
        <f t="shared" si="0"/>
        <v>0.42857857142857142</v>
      </c>
      <c r="J36" s="1">
        <f t="shared" si="1"/>
        <v>0.59610612712349687</v>
      </c>
    </row>
    <row r="37" spans="1:10">
      <c r="A37" t="s">
        <v>4</v>
      </c>
      <c r="B37">
        <v>9</v>
      </c>
      <c r="C37" t="s">
        <v>31</v>
      </c>
      <c r="D37">
        <v>8</v>
      </c>
      <c r="E37">
        <v>14</v>
      </c>
      <c r="F37">
        <v>6.0002003000000004</v>
      </c>
      <c r="G37">
        <v>3974</v>
      </c>
      <c r="H37">
        <v>5239</v>
      </c>
      <c r="I37" s="1">
        <f t="shared" si="0"/>
        <v>0.42858573571428576</v>
      </c>
      <c r="J37" s="1">
        <f t="shared" si="1"/>
        <v>0.75854170643252528</v>
      </c>
    </row>
    <row r="38" spans="1:10">
      <c r="A38" t="s">
        <v>4</v>
      </c>
      <c r="B38">
        <v>9</v>
      </c>
      <c r="C38" t="s">
        <v>30</v>
      </c>
      <c r="D38">
        <v>9</v>
      </c>
      <c r="E38">
        <v>14</v>
      </c>
      <c r="F38">
        <v>6.0003004000000004</v>
      </c>
      <c r="G38">
        <v>5019</v>
      </c>
      <c r="H38">
        <v>5239</v>
      </c>
      <c r="I38" s="1">
        <f t="shared" si="0"/>
        <v>0.42859288571428572</v>
      </c>
      <c r="J38" s="1">
        <f t="shared" si="1"/>
        <v>0.95800725329261305</v>
      </c>
    </row>
    <row r="39" spans="1:10">
      <c r="A39" t="s">
        <v>4</v>
      </c>
      <c r="B39">
        <v>9</v>
      </c>
      <c r="C39" t="s">
        <v>28</v>
      </c>
      <c r="D39">
        <v>10</v>
      </c>
      <c r="E39">
        <v>14</v>
      </c>
      <c r="F39">
        <v>8</v>
      </c>
      <c r="G39">
        <v>5239</v>
      </c>
      <c r="H39">
        <v>5239</v>
      </c>
      <c r="I39" s="1">
        <f t="shared" si="0"/>
        <v>0.5714285714285714</v>
      </c>
      <c r="J39" s="1">
        <f t="shared" si="1"/>
        <v>1</v>
      </c>
    </row>
    <row r="40" spans="1:10">
      <c r="A40" t="s">
        <v>32</v>
      </c>
      <c r="B40">
        <v>2</v>
      </c>
      <c r="C40" t="s">
        <v>33</v>
      </c>
      <c r="D40">
        <v>1</v>
      </c>
      <c r="E40">
        <v>4</v>
      </c>
      <c r="F40">
        <v>2</v>
      </c>
      <c r="G40">
        <v>41</v>
      </c>
      <c r="H40">
        <v>364</v>
      </c>
      <c r="I40" s="1">
        <f t="shared" si="0"/>
        <v>0.5</v>
      </c>
      <c r="J40" s="1">
        <f t="shared" si="1"/>
        <v>0.11263736263736264</v>
      </c>
    </row>
    <row r="41" spans="1:10">
      <c r="A41" t="s">
        <v>32</v>
      </c>
      <c r="B41">
        <v>2</v>
      </c>
      <c r="C41" t="s">
        <v>35</v>
      </c>
      <c r="D41">
        <v>2</v>
      </c>
      <c r="E41">
        <v>4</v>
      </c>
      <c r="F41">
        <v>3</v>
      </c>
      <c r="G41">
        <v>351</v>
      </c>
      <c r="H41">
        <v>364</v>
      </c>
      <c r="I41" s="1">
        <f t="shared" si="0"/>
        <v>0.75</v>
      </c>
      <c r="J41" s="1">
        <f t="shared" si="1"/>
        <v>0.9642857142857143</v>
      </c>
    </row>
    <row r="42" spans="1:10">
      <c r="A42" t="s">
        <v>32</v>
      </c>
      <c r="B42">
        <v>2</v>
      </c>
      <c r="C42" t="s">
        <v>34</v>
      </c>
      <c r="D42">
        <v>3</v>
      </c>
      <c r="E42">
        <v>4</v>
      </c>
      <c r="F42">
        <v>3.0001000000000002</v>
      </c>
      <c r="G42">
        <v>364</v>
      </c>
      <c r="H42">
        <v>364</v>
      </c>
      <c r="I42" s="1">
        <f t="shared" si="0"/>
        <v>0.75002500000000005</v>
      </c>
      <c r="J42" s="1">
        <f t="shared" si="1"/>
        <v>1</v>
      </c>
    </row>
    <row r="43" spans="1:10">
      <c r="A43" t="s">
        <v>32</v>
      </c>
      <c r="B43">
        <v>2</v>
      </c>
      <c r="C43" t="s">
        <v>0</v>
      </c>
      <c r="D43">
        <v>4</v>
      </c>
      <c r="E43">
        <v>4</v>
      </c>
      <c r="F43">
        <v>3.0001997999999999</v>
      </c>
      <c r="G43">
        <v>364</v>
      </c>
      <c r="H43">
        <v>364</v>
      </c>
      <c r="I43" s="1">
        <f t="shared" si="0"/>
        <v>0.75004994999999997</v>
      </c>
      <c r="J43" s="1">
        <f t="shared" si="1"/>
        <v>1</v>
      </c>
    </row>
    <row r="44" spans="1:10">
      <c r="A44" t="s">
        <v>32</v>
      </c>
      <c r="B44">
        <v>4</v>
      </c>
      <c r="C44" t="s">
        <v>34</v>
      </c>
      <c r="D44">
        <v>1</v>
      </c>
      <c r="E44">
        <v>3</v>
      </c>
      <c r="F44">
        <v>3</v>
      </c>
      <c r="G44">
        <v>119</v>
      </c>
      <c r="H44">
        <v>364</v>
      </c>
      <c r="I44" s="1">
        <f t="shared" si="0"/>
        <v>1</v>
      </c>
      <c r="J44" s="1">
        <f t="shared" si="1"/>
        <v>0.32692307692307693</v>
      </c>
    </row>
    <row r="45" spans="1:10">
      <c r="A45" t="s">
        <v>32</v>
      </c>
      <c r="B45">
        <v>4</v>
      </c>
      <c r="C45" t="s">
        <v>33</v>
      </c>
      <c r="D45">
        <v>2</v>
      </c>
      <c r="E45">
        <v>3</v>
      </c>
      <c r="F45">
        <v>3.0001000000000002</v>
      </c>
      <c r="G45">
        <v>139</v>
      </c>
      <c r="H45">
        <v>364</v>
      </c>
      <c r="I45" s="1">
        <f t="shared" si="0"/>
        <v>1.0000333333333333</v>
      </c>
      <c r="J45" s="1">
        <f t="shared" si="1"/>
        <v>0.38186813186813184</v>
      </c>
    </row>
    <row r="46" spans="1:10">
      <c r="A46" t="s">
        <v>32</v>
      </c>
      <c r="B46">
        <v>4</v>
      </c>
      <c r="C46" t="s">
        <v>0</v>
      </c>
      <c r="D46">
        <v>3</v>
      </c>
      <c r="E46">
        <v>3</v>
      </c>
      <c r="F46">
        <v>3.0001997999999999</v>
      </c>
      <c r="G46">
        <v>312</v>
      </c>
      <c r="H46">
        <v>364</v>
      </c>
      <c r="I46" s="1">
        <f t="shared" si="0"/>
        <v>1.0000666</v>
      </c>
      <c r="J46" s="1">
        <f t="shared" si="1"/>
        <v>0.8571428571428571</v>
      </c>
    </row>
    <row r="47" spans="1:10">
      <c r="A47" t="s">
        <v>32</v>
      </c>
      <c r="B47">
        <v>4</v>
      </c>
      <c r="C47" t="s">
        <v>35</v>
      </c>
      <c r="D47">
        <v>4</v>
      </c>
      <c r="E47">
        <v>3</v>
      </c>
      <c r="F47">
        <v>5</v>
      </c>
      <c r="G47">
        <v>364</v>
      </c>
      <c r="H47">
        <v>364</v>
      </c>
      <c r="I47" s="1">
        <f t="shared" si="0"/>
        <v>1.6666666666666667</v>
      </c>
      <c r="J47" s="1">
        <f t="shared" si="1"/>
        <v>1</v>
      </c>
    </row>
    <row r="48" spans="1:10">
      <c r="A48" t="s">
        <v>32</v>
      </c>
      <c r="B48">
        <v>13</v>
      </c>
      <c r="C48" t="s">
        <v>313</v>
      </c>
      <c r="D48">
        <v>1</v>
      </c>
      <c r="E48">
        <v>1</v>
      </c>
      <c r="F48">
        <v>2</v>
      </c>
      <c r="G48">
        <v>5</v>
      </c>
      <c r="H48">
        <v>6</v>
      </c>
      <c r="I48" s="1">
        <f t="shared" si="0"/>
        <v>2</v>
      </c>
      <c r="J48" s="1">
        <f t="shared" si="1"/>
        <v>0.83333333333333337</v>
      </c>
    </row>
    <row r="49" spans="1:10">
      <c r="A49" t="s">
        <v>32</v>
      </c>
      <c r="B49">
        <v>13</v>
      </c>
      <c r="C49" t="s">
        <v>314</v>
      </c>
      <c r="D49">
        <v>2</v>
      </c>
      <c r="E49">
        <v>1</v>
      </c>
      <c r="F49">
        <v>2.0001000000000002</v>
      </c>
      <c r="G49">
        <v>6</v>
      </c>
      <c r="H49">
        <v>6</v>
      </c>
      <c r="I49" s="1">
        <f t="shared" si="0"/>
        <v>2.0001000000000002</v>
      </c>
      <c r="J49" s="1">
        <f t="shared" si="1"/>
        <v>1</v>
      </c>
    </row>
    <row r="50" spans="1:10">
      <c r="A50" t="s">
        <v>32</v>
      </c>
      <c r="B50">
        <v>16</v>
      </c>
      <c r="C50" t="s">
        <v>36</v>
      </c>
      <c r="D50">
        <v>1</v>
      </c>
      <c r="E50">
        <v>52</v>
      </c>
      <c r="F50">
        <v>4</v>
      </c>
      <c r="G50">
        <v>9</v>
      </c>
      <c r="H50">
        <v>19454</v>
      </c>
      <c r="I50" s="1">
        <f t="shared" si="0"/>
        <v>7.6923076923076927E-2</v>
      </c>
      <c r="J50" s="1">
        <f t="shared" si="1"/>
        <v>4.6262979335869232E-4</v>
      </c>
    </row>
    <row r="51" spans="1:10">
      <c r="A51" t="s">
        <v>32</v>
      </c>
      <c r="B51">
        <v>16</v>
      </c>
      <c r="C51" t="s">
        <v>37</v>
      </c>
      <c r="D51">
        <v>2</v>
      </c>
      <c r="E51">
        <v>52</v>
      </c>
      <c r="F51">
        <v>4.0000999999999998</v>
      </c>
      <c r="G51">
        <v>22</v>
      </c>
      <c r="H51">
        <v>19454</v>
      </c>
      <c r="I51" s="1">
        <f t="shared" si="0"/>
        <v>7.6924999999999993E-2</v>
      </c>
      <c r="J51" s="1">
        <f t="shared" si="1"/>
        <v>1.1308728282101368E-3</v>
      </c>
    </row>
    <row r="52" spans="1:10">
      <c r="A52" t="s">
        <v>32</v>
      </c>
      <c r="B52">
        <v>16</v>
      </c>
      <c r="C52" t="s">
        <v>39</v>
      </c>
      <c r="D52">
        <v>3</v>
      </c>
      <c r="E52">
        <v>52</v>
      </c>
      <c r="F52">
        <v>52</v>
      </c>
      <c r="G52">
        <v>16526</v>
      </c>
      <c r="H52">
        <v>19454</v>
      </c>
      <c r="I52" s="1">
        <f t="shared" si="0"/>
        <v>1</v>
      </c>
      <c r="J52" s="1">
        <f t="shared" si="1"/>
        <v>0.84949110722730548</v>
      </c>
    </row>
    <row r="53" spans="1:10">
      <c r="A53" t="s">
        <v>32</v>
      </c>
      <c r="B53">
        <v>16</v>
      </c>
      <c r="C53" t="s">
        <v>38</v>
      </c>
      <c r="D53">
        <v>4</v>
      </c>
      <c r="E53">
        <v>52</v>
      </c>
      <c r="F53">
        <v>54</v>
      </c>
      <c r="G53">
        <v>19454</v>
      </c>
      <c r="H53">
        <v>19454</v>
      </c>
      <c r="I53" s="1">
        <f t="shared" si="0"/>
        <v>1.0384615384615385</v>
      </c>
      <c r="J53" s="1">
        <f t="shared" si="1"/>
        <v>1</v>
      </c>
    </row>
    <row r="54" spans="1:10">
      <c r="A54" t="s">
        <v>32</v>
      </c>
      <c r="B54">
        <v>18</v>
      </c>
      <c r="C54" t="s">
        <v>33</v>
      </c>
      <c r="D54">
        <v>1</v>
      </c>
      <c r="E54">
        <v>47</v>
      </c>
      <c r="F54">
        <v>3</v>
      </c>
      <c r="G54">
        <v>17</v>
      </c>
      <c r="H54">
        <v>9280</v>
      </c>
      <c r="I54" s="1">
        <f t="shared" si="0"/>
        <v>6.3829787234042548E-2</v>
      </c>
      <c r="J54" s="1">
        <f t="shared" si="1"/>
        <v>1.8318965517241379E-3</v>
      </c>
    </row>
    <row r="55" spans="1:10">
      <c r="A55" t="s">
        <v>32</v>
      </c>
      <c r="B55">
        <v>18</v>
      </c>
      <c r="C55" t="s">
        <v>2</v>
      </c>
      <c r="D55">
        <v>2</v>
      </c>
      <c r="E55">
        <v>47</v>
      </c>
      <c r="F55">
        <v>4</v>
      </c>
      <c r="G55">
        <v>33</v>
      </c>
      <c r="H55">
        <v>9280</v>
      </c>
      <c r="I55" s="1">
        <f t="shared" si="0"/>
        <v>8.5106382978723402E-2</v>
      </c>
      <c r="J55" s="1">
        <f t="shared" si="1"/>
        <v>3.5560344827586209E-3</v>
      </c>
    </row>
    <row r="56" spans="1:10">
      <c r="A56" t="s">
        <v>32</v>
      </c>
      <c r="B56">
        <v>18</v>
      </c>
      <c r="C56" t="s">
        <v>41</v>
      </c>
      <c r="D56">
        <v>3</v>
      </c>
      <c r="E56">
        <v>47</v>
      </c>
      <c r="F56">
        <v>4.0000999999999998</v>
      </c>
      <c r="G56">
        <v>246</v>
      </c>
      <c r="H56">
        <v>9280</v>
      </c>
      <c r="I56" s="1">
        <f t="shared" si="0"/>
        <v>8.5108510638297871E-2</v>
      </c>
      <c r="J56" s="1">
        <f t="shared" si="1"/>
        <v>2.6508620689655173E-2</v>
      </c>
    </row>
    <row r="57" spans="1:10">
      <c r="A57" t="s">
        <v>32</v>
      </c>
      <c r="B57">
        <v>18</v>
      </c>
      <c r="C57" t="s">
        <v>40</v>
      </c>
      <c r="D57">
        <v>4</v>
      </c>
      <c r="E57">
        <v>47</v>
      </c>
      <c r="F57">
        <v>4.0002003000000004</v>
      </c>
      <c r="G57">
        <v>246</v>
      </c>
      <c r="H57">
        <v>9280</v>
      </c>
      <c r="I57" s="1">
        <f t="shared" si="0"/>
        <v>8.5110644680851069E-2</v>
      </c>
      <c r="J57" s="1">
        <f t="shared" si="1"/>
        <v>2.6508620689655173E-2</v>
      </c>
    </row>
    <row r="58" spans="1:10">
      <c r="A58" t="s">
        <v>32</v>
      </c>
      <c r="B58">
        <v>18</v>
      </c>
      <c r="C58" t="s">
        <v>44</v>
      </c>
      <c r="D58">
        <v>5</v>
      </c>
      <c r="E58">
        <v>47</v>
      </c>
      <c r="F58">
        <v>5</v>
      </c>
      <c r="G58">
        <v>680</v>
      </c>
      <c r="H58">
        <v>9280</v>
      </c>
      <c r="I58" s="1">
        <f t="shared" si="0"/>
        <v>0.10638297872340426</v>
      </c>
      <c r="J58" s="1">
        <f t="shared" si="1"/>
        <v>7.3275862068965511E-2</v>
      </c>
    </row>
    <row r="59" spans="1:10">
      <c r="A59" t="s">
        <v>32</v>
      </c>
      <c r="B59">
        <v>18</v>
      </c>
      <c r="C59" t="s">
        <v>42</v>
      </c>
      <c r="D59">
        <v>6</v>
      </c>
      <c r="E59">
        <v>47</v>
      </c>
      <c r="F59">
        <v>5.0000999999999998</v>
      </c>
      <c r="G59">
        <v>874</v>
      </c>
      <c r="H59">
        <v>9280</v>
      </c>
      <c r="I59" s="1">
        <f t="shared" si="0"/>
        <v>0.10638510638297873</v>
      </c>
      <c r="J59" s="1">
        <f t="shared" si="1"/>
        <v>9.4181034482758622E-2</v>
      </c>
    </row>
    <row r="60" spans="1:10">
      <c r="A60" t="s">
        <v>32</v>
      </c>
      <c r="B60">
        <v>18</v>
      </c>
      <c r="C60" t="s">
        <v>53</v>
      </c>
      <c r="D60">
        <v>7</v>
      </c>
      <c r="E60">
        <v>47</v>
      </c>
      <c r="F60">
        <v>5.0002003000000004</v>
      </c>
      <c r="G60">
        <v>874</v>
      </c>
      <c r="H60">
        <v>9280</v>
      </c>
      <c r="I60" s="1">
        <f t="shared" si="0"/>
        <v>0.10638724042553192</v>
      </c>
      <c r="J60" s="1">
        <f t="shared" si="1"/>
        <v>9.4181034482758622E-2</v>
      </c>
    </row>
    <row r="61" spans="1:10">
      <c r="A61" t="s">
        <v>32</v>
      </c>
      <c r="B61">
        <v>18</v>
      </c>
      <c r="C61" t="s">
        <v>45</v>
      </c>
      <c r="D61">
        <v>8</v>
      </c>
      <c r="E61">
        <v>47</v>
      </c>
      <c r="F61">
        <v>6</v>
      </c>
      <c r="G61">
        <v>932</v>
      </c>
      <c r="H61">
        <v>9280</v>
      </c>
      <c r="I61" s="1">
        <f t="shared" si="0"/>
        <v>0.1276595744680851</v>
      </c>
      <c r="J61" s="1">
        <f t="shared" si="1"/>
        <v>0.10043103448275863</v>
      </c>
    </row>
    <row r="62" spans="1:10">
      <c r="A62" t="s">
        <v>32</v>
      </c>
      <c r="B62">
        <v>18</v>
      </c>
      <c r="C62" t="s">
        <v>43</v>
      </c>
      <c r="D62">
        <v>9</v>
      </c>
      <c r="E62">
        <v>47</v>
      </c>
      <c r="F62">
        <v>6.0000999999999998</v>
      </c>
      <c r="G62">
        <v>943</v>
      </c>
      <c r="H62">
        <v>9280</v>
      </c>
      <c r="I62" s="1">
        <f t="shared" si="0"/>
        <v>0.12766170212765957</v>
      </c>
      <c r="J62" s="1">
        <f t="shared" si="1"/>
        <v>0.10161637931034483</v>
      </c>
    </row>
    <row r="63" spans="1:10">
      <c r="A63" t="s">
        <v>32</v>
      </c>
      <c r="B63">
        <v>18</v>
      </c>
      <c r="C63" t="s">
        <v>52</v>
      </c>
      <c r="D63">
        <v>10</v>
      </c>
      <c r="E63">
        <v>47</v>
      </c>
      <c r="F63">
        <v>6.0002003000000004</v>
      </c>
      <c r="G63">
        <v>943</v>
      </c>
      <c r="H63">
        <v>9280</v>
      </c>
      <c r="I63" s="1">
        <f t="shared" si="0"/>
        <v>0.12766383617021276</v>
      </c>
      <c r="J63" s="1">
        <f t="shared" si="1"/>
        <v>0.10161637931034483</v>
      </c>
    </row>
    <row r="64" spans="1:10">
      <c r="A64" t="s">
        <v>32</v>
      </c>
      <c r="B64">
        <v>18</v>
      </c>
      <c r="C64" t="s">
        <v>51</v>
      </c>
      <c r="D64">
        <v>11</v>
      </c>
      <c r="E64">
        <v>47</v>
      </c>
      <c r="F64">
        <v>6.0003004000000004</v>
      </c>
      <c r="G64">
        <v>948</v>
      </c>
      <c r="H64">
        <v>9280</v>
      </c>
      <c r="I64" s="1">
        <f t="shared" si="0"/>
        <v>0.12766596595744681</v>
      </c>
      <c r="J64" s="1">
        <f t="shared" si="1"/>
        <v>0.1021551724137931</v>
      </c>
    </row>
    <row r="65" spans="1:10">
      <c r="A65" t="s">
        <v>32</v>
      </c>
      <c r="B65">
        <v>18</v>
      </c>
      <c r="C65" t="s">
        <v>54</v>
      </c>
      <c r="D65">
        <v>12</v>
      </c>
      <c r="E65">
        <v>47</v>
      </c>
      <c r="F65">
        <v>6.0004004999999996</v>
      </c>
      <c r="G65">
        <v>948</v>
      </c>
      <c r="H65">
        <v>9280</v>
      </c>
      <c r="I65" s="1">
        <f t="shared" si="0"/>
        <v>0.12766809574468085</v>
      </c>
      <c r="J65" s="1">
        <f t="shared" si="1"/>
        <v>0.1021551724137931</v>
      </c>
    </row>
    <row r="66" spans="1:10">
      <c r="A66" t="s">
        <v>32</v>
      </c>
      <c r="B66">
        <v>18</v>
      </c>
      <c r="C66" t="s">
        <v>55</v>
      </c>
      <c r="D66">
        <v>13</v>
      </c>
      <c r="E66">
        <v>47</v>
      </c>
      <c r="F66">
        <v>6.0005006999999999</v>
      </c>
      <c r="G66">
        <v>948</v>
      </c>
      <c r="H66">
        <v>9280</v>
      </c>
      <c r="I66" s="1">
        <f t="shared" si="0"/>
        <v>0.12767022765957448</v>
      </c>
      <c r="J66" s="1">
        <f t="shared" si="1"/>
        <v>0.1021551724137931</v>
      </c>
    </row>
    <row r="67" spans="1:10">
      <c r="A67" t="s">
        <v>32</v>
      </c>
      <c r="B67">
        <v>18</v>
      </c>
      <c r="C67" t="s">
        <v>47</v>
      </c>
      <c r="D67">
        <v>14</v>
      </c>
      <c r="E67">
        <v>47</v>
      </c>
      <c r="F67">
        <v>7</v>
      </c>
      <c r="G67">
        <v>948</v>
      </c>
      <c r="H67">
        <v>9280</v>
      </c>
      <c r="I67" s="1">
        <f t="shared" ref="I67:I130" si="2">F67/E67</f>
        <v>0.14893617021276595</v>
      </c>
      <c r="J67" s="1">
        <f t="shared" ref="J67:J130" si="3">G67/H67</f>
        <v>0.1021551724137931</v>
      </c>
    </row>
    <row r="68" spans="1:10">
      <c r="A68" t="s">
        <v>32</v>
      </c>
      <c r="B68">
        <v>18</v>
      </c>
      <c r="C68" t="s">
        <v>46</v>
      </c>
      <c r="D68">
        <v>15</v>
      </c>
      <c r="E68">
        <v>47</v>
      </c>
      <c r="F68">
        <v>7.0000999999999998</v>
      </c>
      <c r="G68">
        <v>1168</v>
      </c>
      <c r="H68">
        <v>9280</v>
      </c>
      <c r="I68" s="1">
        <f t="shared" si="2"/>
        <v>0.14893829787234042</v>
      </c>
      <c r="J68" s="1">
        <f t="shared" si="3"/>
        <v>0.12586206896551724</v>
      </c>
    </row>
    <row r="69" spans="1:10">
      <c r="A69" t="s">
        <v>32</v>
      </c>
      <c r="B69">
        <v>18</v>
      </c>
      <c r="C69" t="s">
        <v>48</v>
      </c>
      <c r="D69">
        <v>16</v>
      </c>
      <c r="E69">
        <v>47</v>
      </c>
      <c r="F69">
        <v>7.0002003000000004</v>
      </c>
      <c r="G69">
        <v>1168</v>
      </c>
      <c r="H69">
        <v>9280</v>
      </c>
      <c r="I69" s="1">
        <f t="shared" si="2"/>
        <v>0.14894043191489362</v>
      </c>
      <c r="J69" s="1">
        <f t="shared" si="3"/>
        <v>0.12586206896551724</v>
      </c>
    </row>
    <row r="70" spans="1:10">
      <c r="A70" t="s">
        <v>32</v>
      </c>
      <c r="B70">
        <v>18</v>
      </c>
      <c r="C70" t="s">
        <v>50</v>
      </c>
      <c r="D70">
        <v>17</v>
      </c>
      <c r="E70">
        <v>47</v>
      </c>
      <c r="F70">
        <v>7.0003004000000004</v>
      </c>
      <c r="G70">
        <v>1175</v>
      </c>
      <c r="H70">
        <v>9280</v>
      </c>
      <c r="I70" s="1">
        <f t="shared" si="2"/>
        <v>0.14894256170212766</v>
      </c>
      <c r="J70" s="1">
        <f t="shared" si="3"/>
        <v>0.12661637931034483</v>
      </c>
    </row>
    <row r="71" spans="1:10">
      <c r="A71" t="s">
        <v>32</v>
      </c>
      <c r="B71">
        <v>18</v>
      </c>
      <c r="C71" t="s">
        <v>49</v>
      </c>
      <c r="D71">
        <v>18</v>
      </c>
      <c r="E71">
        <v>47</v>
      </c>
      <c r="F71">
        <v>7.0004004999999996</v>
      </c>
      <c r="G71">
        <v>1175</v>
      </c>
      <c r="H71">
        <v>9280</v>
      </c>
      <c r="I71" s="1">
        <f t="shared" si="2"/>
        <v>0.14894469148936168</v>
      </c>
      <c r="J71" s="1">
        <f t="shared" si="3"/>
        <v>0.12661637931034483</v>
      </c>
    </row>
    <row r="72" spans="1:10">
      <c r="A72" t="s">
        <v>32</v>
      </c>
      <c r="B72">
        <v>18</v>
      </c>
      <c r="C72" t="s">
        <v>315</v>
      </c>
      <c r="D72">
        <v>19</v>
      </c>
      <c r="E72">
        <v>47</v>
      </c>
      <c r="F72">
        <v>39</v>
      </c>
      <c r="G72">
        <v>6957</v>
      </c>
      <c r="H72">
        <v>9280</v>
      </c>
      <c r="I72" s="1">
        <f t="shared" si="2"/>
        <v>0.82978723404255317</v>
      </c>
      <c r="J72" s="1">
        <f t="shared" si="3"/>
        <v>0.74967672413793107</v>
      </c>
    </row>
    <row r="73" spans="1:10">
      <c r="A73" t="s">
        <v>32</v>
      </c>
      <c r="B73">
        <v>18</v>
      </c>
      <c r="C73" t="s">
        <v>316</v>
      </c>
      <c r="D73">
        <v>20</v>
      </c>
      <c r="E73">
        <v>47</v>
      </c>
      <c r="F73">
        <v>40</v>
      </c>
      <c r="G73">
        <v>8590</v>
      </c>
      <c r="H73">
        <v>9280</v>
      </c>
      <c r="I73" s="1">
        <f t="shared" si="2"/>
        <v>0.85106382978723405</v>
      </c>
      <c r="J73" s="1">
        <f t="shared" si="3"/>
        <v>0.9256465517241379</v>
      </c>
    </row>
    <row r="74" spans="1:10">
      <c r="A74" t="s">
        <v>32</v>
      </c>
      <c r="B74">
        <v>18</v>
      </c>
      <c r="C74" t="s">
        <v>317</v>
      </c>
      <c r="D74">
        <v>21</v>
      </c>
      <c r="E74">
        <v>47</v>
      </c>
      <c r="F74">
        <v>41</v>
      </c>
      <c r="G74">
        <v>8606</v>
      </c>
      <c r="H74">
        <v>9280</v>
      </c>
      <c r="I74" s="1">
        <f t="shared" si="2"/>
        <v>0.87234042553191493</v>
      </c>
      <c r="J74" s="1">
        <f t="shared" si="3"/>
        <v>0.92737068965517244</v>
      </c>
    </row>
    <row r="75" spans="1:10">
      <c r="A75" t="s">
        <v>32</v>
      </c>
      <c r="B75">
        <v>18</v>
      </c>
      <c r="C75" t="s">
        <v>318</v>
      </c>
      <c r="D75">
        <v>22</v>
      </c>
      <c r="E75">
        <v>47</v>
      </c>
      <c r="F75">
        <v>42</v>
      </c>
      <c r="G75">
        <v>9256</v>
      </c>
      <c r="H75">
        <v>9280</v>
      </c>
      <c r="I75" s="1">
        <f t="shared" si="2"/>
        <v>0.8936170212765957</v>
      </c>
      <c r="J75" s="1">
        <f t="shared" si="3"/>
        <v>0.99741379310344824</v>
      </c>
    </row>
    <row r="76" spans="1:10">
      <c r="A76" t="s">
        <v>32</v>
      </c>
      <c r="B76">
        <v>18</v>
      </c>
      <c r="C76" t="s">
        <v>319</v>
      </c>
      <c r="D76">
        <v>23</v>
      </c>
      <c r="E76">
        <v>47</v>
      </c>
      <c r="F76">
        <v>43</v>
      </c>
      <c r="G76">
        <v>9272</v>
      </c>
      <c r="H76">
        <v>9280</v>
      </c>
      <c r="I76" s="1">
        <f t="shared" si="2"/>
        <v>0.91489361702127658</v>
      </c>
      <c r="J76" s="1">
        <f t="shared" si="3"/>
        <v>0.99913793103448278</v>
      </c>
    </row>
    <row r="77" spans="1:10">
      <c r="A77" t="s">
        <v>32</v>
      </c>
      <c r="B77">
        <v>18</v>
      </c>
      <c r="C77" t="s">
        <v>320</v>
      </c>
      <c r="D77">
        <v>24</v>
      </c>
      <c r="E77">
        <v>47</v>
      </c>
      <c r="F77">
        <v>43.000100000000003</v>
      </c>
      <c r="G77">
        <v>9280</v>
      </c>
      <c r="H77">
        <v>9280</v>
      </c>
      <c r="I77" s="1">
        <f t="shared" si="2"/>
        <v>0.91489574468085111</v>
      </c>
      <c r="J77" s="1">
        <f t="shared" si="3"/>
        <v>1</v>
      </c>
    </row>
    <row r="78" spans="1:10">
      <c r="A78" t="s">
        <v>32</v>
      </c>
      <c r="B78">
        <v>18</v>
      </c>
      <c r="C78" t="s">
        <v>321</v>
      </c>
      <c r="D78">
        <v>25</v>
      </c>
      <c r="E78">
        <v>47</v>
      </c>
      <c r="F78">
        <v>49</v>
      </c>
      <c r="G78">
        <v>9280</v>
      </c>
      <c r="H78">
        <v>9280</v>
      </c>
      <c r="I78" s="1">
        <f t="shared" si="2"/>
        <v>1.0425531914893618</v>
      </c>
      <c r="J78" s="1">
        <f t="shared" si="3"/>
        <v>1</v>
      </c>
    </row>
    <row r="79" spans="1:10">
      <c r="A79" t="s">
        <v>32</v>
      </c>
      <c r="B79">
        <v>19</v>
      </c>
      <c r="C79" t="s">
        <v>2</v>
      </c>
      <c r="D79">
        <v>1</v>
      </c>
      <c r="E79">
        <v>48</v>
      </c>
      <c r="F79">
        <v>2</v>
      </c>
      <c r="G79">
        <v>24</v>
      </c>
      <c r="H79">
        <v>9183</v>
      </c>
      <c r="I79" s="1">
        <f t="shared" si="2"/>
        <v>4.1666666666666664E-2</v>
      </c>
      <c r="J79" s="1">
        <f t="shared" si="3"/>
        <v>2.6135249918327343E-3</v>
      </c>
    </row>
    <row r="80" spans="1:10">
      <c r="A80" t="s">
        <v>32</v>
      </c>
      <c r="B80">
        <v>19</v>
      </c>
      <c r="C80" t="s">
        <v>33</v>
      </c>
      <c r="D80">
        <v>2</v>
      </c>
      <c r="E80">
        <v>48</v>
      </c>
      <c r="F80">
        <v>2.0001000000000002</v>
      </c>
      <c r="G80">
        <v>38</v>
      </c>
      <c r="H80">
        <v>9183</v>
      </c>
      <c r="I80" s="1">
        <f t="shared" si="2"/>
        <v>4.1668750000000004E-2</v>
      </c>
      <c r="J80" s="1">
        <f t="shared" si="3"/>
        <v>4.138081237068496E-3</v>
      </c>
    </row>
    <row r="81" spans="1:10">
      <c r="A81" t="s">
        <v>32</v>
      </c>
      <c r="B81">
        <v>19</v>
      </c>
      <c r="C81" t="s">
        <v>307</v>
      </c>
      <c r="D81">
        <v>3</v>
      </c>
      <c r="E81">
        <v>48</v>
      </c>
      <c r="F81">
        <v>11</v>
      </c>
      <c r="G81">
        <v>3190</v>
      </c>
      <c r="H81">
        <v>9183</v>
      </c>
      <c r="I81" s="1">
        <f t="shared" si="2"/>
        <v>0.22916666666666666</v>
      </c>
      <c r="J81" s="1">
        <f t="shared" si="3"/>
        <v>0.34738103016443428</v>
      </c>
    </row>
    <row r="82" spans="1:10">
      <c r="A82" t="s">
        <v>32</v>
      </c>
      <c r="B82">
        <v>19</v>
      </c>
      <c r="C82" t="s">
        <v>322</v>
      </c>
      <c r="D82">
        <v>4</v>
      </c>
      <c r="E82">
        <v>48</v>
      </c>
      <c r="F82">
        <v>14</v>
      </c>
      <c r="G82">
        <v>3492</v>
      </c>
      <c r="H82">
        <v>9183</v>
      </c>
      <c r="I82" s="1">
        <f t="shared" si="2"/>
        <v>0.29166666666666669</v>
      </c>
      <c r="J82" s="1">
        <f t="shared" si="3"/>
        <v>0.38026788631166286</v>
      </c>
    </row>
    <row r="83" spans="1:10">
      <c r="A83" t="s">
        <v>32</v>
      </c>
      <c r="B83">
        <v>19</v>
      </c>
      <c r="C83" t="s">
        <v>323</v>
      </c>
      <c r="D83">
        <v>5</v>
      </c>
      <c r="E83">
        <v>48</v>
      </c>
      <c r="F83">
        <v>14.0001</v>
      </c>
      <c r="G83">
        <v>4778</v>
      </c>
      <c r="H83">
        <v>9183</v>
      </c>
      <c r="I83" s="1">
        <f t="shared" si="2"/>
        <v>0.29166874999999998</v>
      </c>
      <c r="J83" s="1">
        <f t="shared" si="3"/>
        <v>0.52030926712403358</v>
      </c>
    </row>
    <row r="84" spans="1:10">
      <c r="A84" t="s">
        <v>32</v>
      </c>
      <c r="B84">
        <v>19</v>
      </c>
      <c r="C84" t="s">
        <v>324</v>
      </c>
      <c r="D84">
        <v>6</v>
      </c>
      <c r="E84">
        <v>48</v>
      </c>
      <c r="F84">
        <v>14.0002</v>
      </c>
      <c r="G84">
        <v>4926</v>
      </c>
      <c r="H84">
        <v>9183</v>
      </c>
      <c r="I84" s="1">
        <f t="shared" si="2"/>
        <v>0.29167083333333332</v>
      </c>
      <c r="J84" s="1">
        <f t="shared" si="3"/>
        <v>0.53642600457366874</v>
      </c>
    </row>
    <row r="85" spans="1:10">
      <c r="A85" t="s">
        <v>32</v>
      </c>
      <c r="B85">
        <v>19</v>
      </c>
      <c r="C85" t="s">
        <v>325</v>
      </c>
      <c r="D85">
        <v>7</v>
      </c>
      <c r="E85">
        <v>48</v>
      </c>
      <c r="F85">
        <v>15</v>
      </c>
      <c r="G85">
        <v>4926</v>
      </c>
      <c r="H85">
        <v>9183</v>
      </c>
      <c r="I85" s="1">
        <f t="shared" si="2"/>
        <v>0.3125</v>
      </c>
      <c r="J85" s="1">
        <f t="shared" si="3"/>
        <v>0.53642600457366874</v>
      </c>
    </row>
    <row r="86" spans="1:10">
      <c r="A86" t="s">
        <v>32</v>
      </c>
      <c r="B86">
        <v>19</v>
      </c>
      <c r="C86" t="s">
        <v>326</v>
      </c>
      <c r="D86">
        <v>8</v>
      </c>
      <c r="E86">
        <v>48</v>
      </c>
      <c r="F86">
        <v>15.0001</v>
      </c>
      <c r="G86">
        <v>5743</v>
      </c>
      <c r="H86">
        <v>9183</v>
      </c>
      <c r="I86" s="1">
        <f t="shared" si="2"/>
        <v>0.31250208333333335</v>
      </c>
      <c r="J86" s="1">
        <f t="shared" si="3"/>
        <v>0.62539475117064136</v>
      </c>
    </row>
    <row r="87" spans="1:10">
      <c r="A87" t="s">
        <v>32</v>
      </c>
      <c r="B87">
        <v>19</v>
      </c>
      <c r="C87" t="s">
        <v>327</v>
      </c>
      <c r="D87">
        <v>9</v>
      </c>
      <c r="E87">
        <v>48</v>
      </c>
      <c r="F87">
        <v>15.0002</v>
      </c>
      <c r="G87">
        <v>5743</v>
      </c>
      <c r="H87">
        <v>9183</v>
      </c>
      <c r="I87" s="1">
        <f t="shared" si="2"/>
        <v>0.31250416666666664</v>
      </c>
      <c r="J87" s="1">
        <f t="shared" si="3"/>
        <v>0.62539475117064136</v>
      </c>
    </row>
    <row r="88" spans="1:10">
      <c r="A88" t="s">
        <v>32</v>
      </c>
      <c r="B88">
        <v>19</v>
      </c>
      <c r="C88" t="s">
        <v>328</v>
      </c>
      <c r="D88">
        <v>10</v>
      </c>
      <c r="E88">
        <v>48</v>
      </c>
      <c r="F88">
        <v>16</v>
      </c>
      <c r="G88">
        <v>6264</v>
      </c>
      <c r="H88">
        <v>9183</v>
      </c>
      <c r="I88" s="1">
        <f t="shared" si="2"/>
        <v>0.33333333333333331</v>
      </c>
      <c r="J88" s="1">
        <f t="shared" si="3"/>
        <v>0.68213002286834368</v>
      </c>
    </row>
    <row r="89" spans="1:10">
      <c r="A89" t="s">
        <v>32</v>
      </c>
      <c r="B89">
        <v>19</v>
      </c>
      <c r="C89" t="s">
        <v>329</v>
      </c>
      <c r="D89">
        <v>11</v>
      </c>
      <c r="E89">
        <v>48</v>
      </c>
      <c r="F89">
        <v>16.0001</v>
      </c>
      <c r="G89">
        <v>6271</v>
      </c>
      <c r="H89">
        <v>9183</v>
      </c>
      <c r="I89" s="1">
        <f t="shared" si="2"/>
        <v>0.33333541666666666</v>
      </c>
      <c r="J89" s="1">
        <f t="shared" si="3"/>
        <v>0.68289230099096154</v>
      </c>
    </row>
    <row r="90" spans="1:10">
      <c r="A90" t="s">
        <v>32</v>
      </c>
      <c r="B90">
        <v>19</v>
      </c>
      <c r="C90" t="s">
        <v>330</v>
      </c>
      <c r="D90">
        <v>12</v>
      </c>
      <c r="E90">
        <v>48</v>
      </c>
      <c r="F90">
        <v>16.000198000000001</v>
      </c>
      <c r="G90">
        <v>6278</v>
      </c>
      <c r="H90">
        <v>9183</v>
      </c>
      <c r="I90" s="1">
        <f t="shared" si="2"/>
        <v>0.33333745833333334</v>
      </c>
      <c r="J90" s="1">
        <f t="shared" si="3"/>
        <v>0.68365457911357941</v>
      </c>
    </row>
    <row r="91" spans="1:10">
      <c r="A91" t="s">
        <v>32</v>
      </c>
      <c r="B91">
        <v>19</v>
      </c>
      <c r="C91" t="s">
        <v>331</v>
      </c>
      <c r="D91">
        <v>13</v>
      </c>
      <c r="E91">
        <v>48</v>
      </c>
      <c r="F91">
        <v>16.000298000000001</v>
      </c>
      <c r="G91">
        <v>6278</v>
      </c>
      <c r="H91">
        <v>9183</v>
      </c>
      <c r="I91" s="1">
        <f t="shared" si="2"/>
        <v>0.33333954166666668</v>
      </c>
      <c r="J91" s="1">
        <f t="shared" si="3"/>
        <v>0.68365457911357941</v>
      </c>
    </row>
    <row r="92" spans="1:10">
      <c r="A92" t="s">
        <v>32</v>
      </c>
      <c r="B92">
        <v>19</v>
      </c>
      <c r="C92" t="s">
        <v>332</v>
      </c>
      <c r="D92">
        <v>14</v>
      </c>
      <c r="E92">
        <v>48</v>
      </c>
      <c r="F92">
        <v>16.000397</v>
      </c>
      <c r="G92">
        <v>6285</v>
      </c>
      <c r="H92">
        <v>9183</v>
      </c>
      <c r="I92" s="1">
        <f t="shared" si="2"/>
        <v>0.33334160416666664</v>
      </c>
      <c r="J92" s="1">
        <f t="shared" si="3"/>
        <v>0.68441685723619727</v>
      </c>
    </row>
    <row r="93" spans="1:10">
      <c r="A93" t="s">
        <v>32</v>
      </c>
      <c r="B93">
        <v>19</v>
      </c>
      <c r="C93" t="s">
        <v>333</v>
      </c>
      <c r="D93">
        <v>15</v>
      </c>
      <c r="E93">
        <v>48</v>
      </c>
      <c r="F93">
        <v>16.000495999999998</v>
      </c>
      <c r="G93">
        <v>6285</v>
      </c>
      <c r="H93">
        <v>9183</v>
      </c>
      <c r="I93" s="1">
        <f t="shared" si="2"/>
        <v>0.33334366666666665</v>
      </c>
      <c r="J93" s="1">
        <f t="shared" si="3"/>
        <v>0.68441685723619727</v>
      </c>
    </row>
    <row r="94" spans="1:10">
      <c r="A94" t="s">
        <v>32</v>
      </c>
      <c r="B94">
        <v>19</v>
      </c>
      <c r="C94" t="s">
        <v>334</v>
      </c>
      <c r="D94">
        <v>16</v>
      </c>
      <c r="E94">
        <v>48</v>
      </c>
      <c r="F94">
        <v>16.000595000000001</v>
      </c>
      <c r="G94">
        <v>7344</v>
      </c>
      <c r="H94">
        <v>9183</v>
      </c>
      <c r="I94" s="1">
        <f t="shared" si="2"/>
        <v>0.33334572916666666</v>
      </c>
      <c r="J94" s="1">
        <f t="shared" si="3"/>
        <v>0.79973864750081669</v>
      </c>
    </row>
    <row r="95" spans="1:10">
      <c r="A95" t="s">
        <v>32</v>
      </c>
      <c r="B95">
        <v>19</v>
      </c>
      <c r="C95" t="s">
        <v>335</v>
      </c>
      <c r="D95">
        <v>17</v>
      </c>
      <c r="E95">
        <v>48</v>
      </c>
      <c r="F95">
        <v>17</v>
      </c>
      <c r="G95">
        <v>7357</v>
      </c>
      <c r="H95">
        <v>9183</v>
      </c>
      <c r="I95" s="1">
        <f t="shared" si="2"/>
        <v>0.35416666666666669</v>
      </c>
      <c r="J95" s="1">
        <f t="shared" si="3"/>
        <v>0.80115430687139277</v>
      </c>
    </row>
    <row r="96" spans="1:10">
      <c r="A96" t="s">
        <v>32</v>
      </c>
      <c r="B96">
        <v>19</v>
      </c>
      <c r="C96" t="s">
        <v>336</v>
      </c>
      <c r="D96">
        <v>18</v>
      </c>
      <c r="E96">
        <v>48</v>
      </c>
      <c r="F96">
        <v>17.0001</v>
      </c>
      <c r="G96">
        <v>7370</v>
      </c>
      <c r="H96">
        <v>9183</v>
      </c>
      <c r="I96" s="1">
        <f t="shared" si="2"/>
        <v>0.35416874999999998</v>
      </c>
      <c r="J96" s="1">
        <f t="shared" si="3"/>
        <v>0.80256996624196886</v>
      </c>
    </row>
    <row r="97" spans="1:10">
      <c r="A97" t="s">
        <v>32</v>
      </c>
      <c r="B97">
        <v>19</v>
      </c>
      <c r="C97" t="s">
        <v>337</v>
      </c>
      <c r="D97">
        <v>19</v>
      </c>
      <c r="E97">
        <v>48</v>
      </c>
      <c r="F97">
        <v>17.000198000000001</v>
      </c>
      <c r="G97">
        <v>7370</v>
      </c>
      <c r="H97">
        <v>9183</v>
      </c>
      <c r="I97" s="1">
        <f t="shared" si="2"/>
        <v>0.35417079166666671</v>
      </c>
      <c r="J97" s="1">
        <f t="shared" si="3"/>
        <v>0.80256996624196886</v>
      </c>
    </row>
    <row r="98" spans="1:10">
      <c r="A98" t="s">
        <v>32</v>
      </c>
      <c r="B98">
        <v>19</v>
      </c>
      <c r="C98" t="s">
        <v>338</v>
      </c>
      <c r="D98">
        <v>20</v>
      </c>
      <c r="E98">
        <v>48</v>
      </c>
      <c r="F98">
        <v>17.000298000000001</v>
      </c>
      <c r="G98">
        <v>7591</v>
      </c>
      <c r="H98">
        <v>9183</v>
      </c>
      <c r="I98" s="1">
        <f t="shared" si="2"/>
        <v>0.354172875</v>
      </c>
      <c r="J98" s="1">
        <f t="shared" si="3"/>
        <v>0.82663617554176194</v>
      </c>
    </row>
    <row r="99" spans="1:10">
      <c r="A99" t="s">
        <v>32</v>
      </c>
      <c r="B99">
        <v>19</v>
      </c>
      <c r="C99" t="s">
        <v>339</v>
      </c>
      <c r="D99">
        <v>21</v>
      </c>
      <c r="E99">
        <v>48</v>
      </c>
      <c r="F99">
        <v>18</v>
      </c>
      <c r="G99">
        <v>7591</v>
      </c>
      <c r="H99">
        <v>9183</v>
      </c>
      <c r="I99" s="1">
        <f t="shared" si="2"/>
        <v>0.375</v>
      </c>
      <c r="J99" s="1">
        <f t="shared" si="3"/>
        <v>0.82663617554176194</v>
      </c>
    </row>
    <row r="100" spans="1:10">
      <c r="A100" t="s">
        <v>32</v>
      </c>
      <c r="B100">
        <v>19</v>
      </c>
      <c r="C100" t="s">
        <v>340</v>
      </c>
      <c r="D100">
        <v>22</v>
      </c>
      <c r="E100">
        <v>48</v>
      </c>
      <c r="F100">
        <v>19</v>
      </c>
      <c r="G100">
        <v>7591</v>
      </c>
      <c r="H100">
        <v>9183</v>
      </c>
      <c r="I100" s="1">
        <f t="shared" si="2"/>
        <v>0.39583333333333331</v>
      </c>
      <c r="J100" s="1">
        <f t="shared" si="3"/>
        <v>0.82663617554176194</v>
      </c>
    </row>
    <row r="101" spans="1:10">
      <c r="A101" t="s">
        <v>32</v>
      </c>
      <c r="B101">
        <v>19</v>
      </c>
      <c r="C101" t="s">
        <v>341</v>
      </c>
      <c r="D101">
        <v>23</v>
      </c>
      <c r="E101">
        <v>48</v>
      </c>
      <c r="F101">
        <v>19.0001</v>
      </c>
      <c r="G101">
        <v>7591</v>
      </c>
      <c r="H101">
        <v>9183</v>
      </c>
      <c r="I101" s="1">
        <f t="shared" si="2"/>
        <v>0.39583541666666666</v>
      </c>
      <c r="J101" s="1">
        <f t="shared" si="3"/>
        <v>0.82663617554176194</v>
      </c>
    </row>
    <row r="102" spans="1:10">
      <c r="A102" t="s">
        <v>32</v>
      </c>
      <c r="B102">
        <v>19</v>
      </c>
      <c r="C102" t="s">
        <v>342</v>
      </c>
      <c r="D102">
        <v>24</v>
      </c>
      <c r="E102">
        <v>48</v>
      </c>
      <c r="F102">
        <v>20</v>
      </c>
      <c r="G102">
        <v>9183</v>
      </c>
      <c r="H102">
        <v>9183</v>
      </c>
      <c r="I102" s="1">
        <f t="shared" si="2"/>
        <v>0.41666666666666669</v>
      </c>
      <c r="J102" s="1">
        <f t="shared" si="3"/>
        <v>1</v>
      </c>
    </row>
    <row r="103" spans="1:10">
      <c r="A103" t="s">
        <v>32</v>
      </c>
      <c r="B103">
        <v>19</v>
      </c>
      <c r="C103" t="s">
        <v>343</v>
      </c>
      <c r="D103">
        <v>25</v>
      </c>
      <c r="E103">
        <v>48</v>
      </c>
      <c r="F103">
        <v>20.0001</v>
      </c>
      <c r="G103">
        <v>9183</v>
      </c>
      <c r="H103">
        <v>9183</v>
      </c>
      <c r="I103" s="1">
        <f t="shared" si="2"/>
        <v>0.41666874999999998</v>
      </c>
      <c r="J103" s="1">
        <f t="shared" si="3"/>
        <v>1</v>
      </c>
    </row>
    <row r="104" spans="1:10">
      <c r="A104" t="s">
        <v>32</v>
      </c>
      <c r="B104">
        <v>20</v>
      </c>
      <c r="C104" t="s">
        <v>344</v>
      </c>
      <c r="D104">
        <v>1</v>
      </c>
      <c r="E104">
        <v>20</v>
      </c>
      <c r="F104">
        <v>12</v>
      </c>
      <c r="G104">
        <v>3162</v>
      </c>
      <c r="H104">
        <v>6785</v>
      </c>
      <c r="I104" s="1">
        <f t="shared" si="2"/>
        <v>0.6</v>
      </c>
      <c r="J104" s="1">
        <f t="shared" si="3"/>
        <v>0.46602800294767871</v>
      </c>
    </row>
    <row r="105" spans="1:10">
      <c r="A105" t="s">
        <v>32</v>
      </c>
      <c r="B105">
        <v>20</v>
      </c>
      <c r="C105" t="s">
        <v>345</v>
      </c>
      <c r="D105">
        <v>2</v>
      </c>
      <c r="E105">
        <v>20</v>
      </c>
      <c r="F105">
        <v>13</v>
      </c>
      <c r="G105">
        <v>3276</v>
      </c>
      <c r="H105">
        <v>6785</v>
      </c>
      <c r="I105" s="1">
        <f t="shared" si="2"/>
        <v>0.65</v>
      </c>
      <c r="J105" s="1">
        <f t="shared" si="3"/>
        <v>0.48282977155490053</v>
      </c>
    </row>
    <row r="106" spans="1:10">
      <c r="A106" t="s">
        <v>32</v>
      </c>
      <c r="B106">
        <v>20</v>
      </c>
      <c r="C106" t="s">
        <v>346</v>
      </c>
      <c r="D106">
        <v>3</v>
      </c>
      <c r="E106">
        <v>20</v>
      </c>
      <c r="F106">
        <v>13.0001</v>
      </c>
      <c r="G106">
        <v>3906</v>
      </c>
      <c r="H106">
        <v>6785</v>
      </c>
      <c r="I106" s="1">
        <f t="shared" si="2"/>
        <v>0.65000499999999994</v>
      </c>
      <c r="J106" s="1">
        <f t="shared" si="3"/>
        <v>0.57568165070007371</v>
      </c>
    </row>
    <row r="107" spans="1:10">
      <c r="A107" t="s">
        <v>32</v>
      </c>
      <c r="B107">
        <v>20</v>
      </c>
      <c r="C107" t="s">
        <v>347</v>
      </c>
      <c r="D107">
        <v>4</v>
      </c>
      <c r="E107">
        <v>20</v>
      </c>
      <c r="F107">
        <v>13.0002</v>
      </c>
      <c r="G107">
        <v>4076</v>
      </c>
      <c r="H107">
        <v>6785</v>
      </c>
      <c r="I107" s="1">
        <f t="shared" si="2"/>
        <v>0.65000999999999998</v>
      </c>
      <c r="J107" s="1">
        <f t="shared" si="3"/>
        <v>0.60073691967575538</v>
      </c>
    </row>
    <row r="108" spans="1:10">
      <c r="A108" t="s">
        <v>32</v>
      </c>
      <c r="B108">
        <v>20</v>
      </c>
      <c r="C108" t="s">
        <v>348</v>
      </c>
      <c r="D108">
        <v>5</v>
      </c>
      <c r="E108">
        <v>20</v>
      </c>
      <c r="F108">
        <v>14</v>
      </c>
      <c r="G108">
        <v>5311</v>
      </c>
      <c r="H108">
        <v>6785</v>
      </c>
      <c r="I108" s="1">
        <f t="shared" si="2"/>
        <v>0.7</v>
      </c>
      <c r="J108" s="1">
        <f t="shared" si="3"/>
        <v>0.78275607958732496</v>
      </c>
    </row>
    <row r="109" spans="1:10">
      <c r="A109" t="s">
        <v>32</v>
      </c>
      <c r="B109">
        <v>20</v>
      </c>
      <c r="C109" t="s">
        <v>349</v>
      </c>
      <c r="D109">
        <v>6</v>
      </c>
      <c r="E109">
        <v>20</v>
      </c>
      <c r="F109">
        <v>14.0001</v>
      </c>
      <c r="G109">
        <v>5314</v>
      </c>
      <c r="H109">
        <v>6785</v>
      </c>
      <c r="I109" s="1">
        <f t="shared" si="2"/>
        <v>0.70000499999999999</v>
      </c>
      <c r="J109" s="1">
        <f t="shared" si="3"/>
        <v>0.78319823139277822</v>
      </c>
    </row>
    <row r="110" spans="1:10">
      <c r="A110" t="s">
        <v>32</v>
      </c>
      <c r="B110">
        <v>20</v>
      </c>
      <c r="C110" t="s">
        <v>350</v>
      </c>
      <c r="D110">
        <v>7</v>
      </c>
      <c r="E110">
        <v>20</v>
      </c>
      <c r="F110">
        <v>14.0002</v>
      </c>
      <c r="G110">
        <v>5319</v>
      </c>
      <c r="H110">
        <v>6785</v>
      </c>
      <c r="I110" s="1">
        <f t="shared" si="2"/>
        <v>0.70001000000000002</v>
      </c>
      <c r="J110" s="1">
        <f t="shared" si="3"/>
        <v>0.78393515106853351</v>
      </c>
    </row>
    <row r="111" spans="1:10">
      <c r="A111" t="s">
        <v>32</v>
      </c>
      <c r="B111">
        <v>20</v>
      </c>
      <c r="C111" t="s">
        <v>351</v>
      </c>
      <c r="D111">
        <v>8</v>
      </c>
      <c r="E111">
        <v>20</v>
      </c>
      <c r="F111">
        <v>14.000299999999999</v>
      </c>
      <c r="G111">
        <v>5322</v>
      </c>
      <c r="H111">
        <v>6785</v>
      </c>
      <c r="I111" s="1">
        <f t="shared" si="2"/>
        <v>0.70001499999999994</v>
      </c>
      <c r="J111" s="1">
        <f t="shared" si="3"/>
        <v>0.78437730287398677</v>
      </c>
    </row>
    <row r="112" spans="1:10">
      <c r="A112" t="s">
        <v>32</v>
      </c>
      <c r="B112">
        <v>20</v>
      </c>
      <c r="C112" t="s">
        <v>352</v>
      </c>
      <c r="D112">
        <v>9</v>
      </c>
      <c r="E112">
        <v>20</v>
      </c>
      <c r="F112">
        <v>14.000401</v>
      </c>
      <c r="G112">
        <v>5501</v>
      </c>
      <c r="H112">
        <v>6785</v>
      </c>
      <c r="I112" s="1">
        <f t="shared" si="2"/>
        <v>0.70002005</v>
      </c>
      <c r="J112" s="1">
        <f t="shared" si="3"/>
        <v>0.810759027266028</v>
      </c>
    </row>
    <row r="113" spans="1:10">
      <c r="A113" t="s">
        <v>32</v>
      </c>
      <c r="B113">
        <v>20</v>
      </c>
      <c r="C113" t="s">
        <v>353</v>
      </c>
      <c r="D113">
        <v>10</v>
      </c>
      <c r="E113">
        <v>20</v>
      </c>
      <c r="F113">
        <v>14.000501</v>
      </c>
      <c r="G113">
        <v>5501</v>
      </c>
      <c r="H113">
        <v>6785</v>
      </c>
      <c r="I113" s="1">
        <f t="shared" si="2"/>
        <v>0.70002505000000004</v>
      </c>
      <c r="J113" s="1">
        <f t="shared" si="3"/>
        <v>0.810759027266028</v>
      </c>
    </row>
    <row r="114" spans="1:10">
      <c r="A114" t="s">
        <v>32</v>
      </c>
      <c r="B114">
        <v>20</v>
      </c>
      <c r="C114" t="s">
        <v>354</v>
      </c>
      <c r="D114">
        <v>11</v>
      </c>
      <c r="E114">
        <v>20</v>
      </c>
      <c r="F114">
        <v>14.000601</v>
      </c>
      <c r="G114">
        <v>5507</v>
      </c>
      <c r="H114">
        <v>6785</v>
      </c>
      <c r="I114" s="1">
        <f t="shared" si="2"/>
        <v>0.70003004999999996</v>
      </c>
      <c r="J114" s="1">
        <f t="shared" si="3"/>
        <v>0.81164333087693441</v>
      </c>
    </row>
    <row r="115" spans="1:10">
      <c r="A115" t="s">
        <v>32</v>
      </c>
      <c r="B115">
        <v>20</v>
      </c>
      <c r="C115" t="s">
        <v>355</v>
      </c>
      <c r="D115">
        <v>12</v>
      </c>
      <c r="E115">
        <v>20</v>
      </c>
      <c r="F115">
        <v>15</v>
      </c>
      <c r="G115">
        <v>5507</v>
      </c>
      <c r="H115">
        <v>6785</v>
      </c>
      <c r="I115" s="1">
        <f t="shared" si="2"/>
        <v>0.75</v>
      </c>
      <c r="J115" s="1">
        <f t="shared" si="3"/>
        <v>0.81164333087693441</v>
      </c>
    </row>
    <row r="116" spans="1:10">
      <c r="A116" t="s">
        <v>32</v>
      </c>
      <c r="B116">
        <v>20</v>
      </c>
      <c r="C116" t="s">
        <v>356</v>
      </c>
      <c r="D116">
        <v>13</v>
      </c>
      <c r="E116">
        <v>20</v>
      </c>
      <c r="F116">
        <v>15.0001</v>
      </c>
      <c r="G116">
        <v>6779</v>
      </c>
      <c r="H116">
        <v>6785</v>
      </c>
      <c r="I116" s="1">
        <f t="shared" si="2"/>
        <v>0.75000500000000003</v>
      </c>
      <c r="J116" s="1">
        <f t="shared" si="3"/>
        <v>0.99911569638909359</v>
      </c>
    </row>
    <row r="117" spans="1:10">
      <c r="A117" t="s">
        <v>32</v>
      </c>
      <c r="B117">
        <v>20</v>
      </c>
      <c r="C117" t="s">
        <v>357</v>
      </c>
      <c r="D117">
        <v>14</v>
      </c>
      <c r="E117">
        <v>20</v>
      </c>
      <c r="F117">
        <v>15.0002</v>
      </c>
      <c r="G117">
        <v>6779</v>
      </c>
      <c r="H117">
        <v>6785</v>
      </c>
      <c r="I117" s="1">
        <f t="shared" si="2"/>
        <v>0.75000999999999995</v>
      </c>
      <c r="J117" s="1">
        <f t="shared" si="3"/>
        <v>0.99911569638909359</v>
      </c>
    </row>
    <row r="118" spans="1:10">
      <c r="A118" t="s">
        <v>32</v>
      </c>
      <c r="B118">
        <v>20</v>
      </c>
      <c r="C118" t="s">
        <v>358</v>
      </c>
      <c r="D118">
        <v>15</v>
      </c>
      <c r="E118">
        <v>20</v>
      </c>
      <c r="F118">
        <v>15.000299999999999</v>
      </c>
      <c r="G118">
        <v>6785</v>
      </c>
      <c r="H118">
        <v>6785</v>
      </c>
      <c r="I118" s="1">
        <f t="shared" si="2"/>
        <v>0.75001499999999999</v>
      </c>
      <c r="J118" s="1">
        <f t="shared" si="3"/>
        <v>1</v>
      </c>
    </row>
    <row r="119" spans="1:10">
      <c r="A119" t="s">
        <v>32</v>
      </c>
      <c r="B119">
        <v>20</v>
      </c>
      <c r="C119" t="s">
        <v>359</v>
      </c>
      <c r="D119">
        <v>16</v>
      </c>
      <c r="E119">
        <v>20</v>
      </c>
      <c r="F119">
        <v>15.000401</v>
      </c>
      <c r="G119">
        <v>6785</v>
      </c>
      <c r="H119">
        <v>6785</v>
      </c>
      <c r="I119" s="1">
        <f t="shared" si="2"/>
        <v>0.75002005000000005</v>
      </c>
      <c r="J119" s="1">
        <f t="shared" si="3"/>
        <v>1</v>
      </c>
    </row>
    <row r="120" spans="1:10">
      <c r="A120" t="s">
        <v>32</v>
      </c>
      <c r="B120">
        <v>20</v>
      </c>
      <c r="C120" t="s">
        <v>360</v>
      </c>
      <c r="D120">
        <v>17</v>
      </c>
      <c r="E120">
        <v>20</v>
      </c>
      <c r="F120">
        <v>15.000501</v>
      </c>
      <c r="G120">
        <v>6785</v>
      </c>
      <c r="H120">
        <v>6785</v>
      </c>
      <c r="I120" s="1">
        <f t="shared" si="2"/>
        <v>0.75002504999999997</v>
      </c>
      <c r="J120" s="1">
        <f t="shared" si="3"/>
        <v>1</v>
      </c>
    </row>
    <row r="121" spans="1:10">
      <c r="A121" t="s">
        <v>32</v>
      </c>
      <c r="B121">
        <v>20</v>
      </c>
      <c r="C121" t="s">
        <v>361</v>
      </c>
      <c r="D121">
        <v>18</v>
      </c>
      <c r="E121">
        <v>20</v>
      </c>
      <c r="F121">
        <v>16</v>
      </c>
      <c r="G121">
        <v>6785</v>
      </c>
      <c r="H121">
        <v>6785</v>
      </c>
      <c r="I121" s="1">
        <f t="shared" si="2"/>
        <v>0.8</v>
      </c>
      <c r="J121" s="1">
        <f t="shared" si="3"/>
        <v>1</v>
      </c>
    </row>
    <row r="122" spans="1:10">
      <c r="A122" t="s">
        <v>32</v>
      </c>
      <c r="B122">
        <v>20</v>
      </c>
      <c r="C122" t="s">
        <v>362</v>
      </c>
      <c r="D122">
        <v>19</v>
      </c>
      <c r="E122">
        <v>20</v>
      </c>
      <c r="F122">
        <v>17</v>
      </c>
      <c r="G122">
        <v>6785</v>
      </c>
      <c r="H122">
        <v>6785</v>
      </c>
      <c r="I122" s="1">
        <f t="shared" si="2"/>
        <v>0.85</v>
      </c>
      <c r="J122" s="1">
        <f t="shared" si="3"/>
        <v>1</v>
      </c>
    </row>
    <row r="123" spans="1:10">
      <c r="A123" t="s">
        <v>32</v>
      </c>
      <c r="B123">
        <v>20</v>
      </c>
      <c r="C123" t="s">
        <v>363</v>
      </c>
      <c r="D123">
        <v>20</v>
      </c>
      <c r="E123">
        <v>20</v>
      </c>
      <c r="F123">
        <v>19</v>
      </c>
      <c r="G123">
        <v>6785</v>
      </c>
      <c r="H123">
        <v>6785</v>
      </c>
      <c r="I123" s="1">
        <f t="shared" si="2"/>
        <v>0.95</v>
      </c>
      <c r="J123" s="1">
        <f t="shared" si="3"/>
        <v>1</v>
      </c>
    </row>
    <row r="124" spans="1:10">
      <c r="A124" t="s">
        <v>32</v>
      </c>
      <c r="B124">
        <v>20</v>
      </c>
      <c r="C124" t="s">
        <v>364</v>
      </c>
      <c r="D124">
        <v>21</v>
      </c>
      <c r="E124">
        <v>20</v>
      </c>
      <c r="F124">
        <v>22</v>
      </c>
      <c r="G124">
        <v>6785</v>
      </c>
      <c r="H124">
        <v>6785</v>
      </c>
      <c r="I124" s="1">
        <f t="shared" si="2"/>
        <v>1.1000000000000001</v>
      </c>
      <c r="J124" s="1">
        <f t="shared" si="3"/>
        <v>1</v>
      </c>
    </row>
    <row r="125" spans="1:10">
      <c r="A125" t="s">
        <v>56</v>
      </c>
      <c r="B125">
        <v>10</v>
      </c>
      <c r="C125" t="s">
        <v>365</v>
      </c>
      <c r="D125">
        <v>1</v>
      </c>
      <c r="E125">
        <v>54</v>
      </c>
      <c r="F125">
        <v>5</v>
      </c>
      <c r="G125">
        <v>367</v>
      </c>
      <c r="H125">
        <v>13706</v>
      </c>
      <c r="I125" s="1">
        <f t="shared" si="2"/>
        <v>9.2592592592592587E-2</v>
      </c>
      <c r="J125" s="1">
        <f t="shared" si="3"/>
        <v>2.6776594192324529E-2</v>
      </c>
    </row>
    <row r="126" spans="1:10">
      <c r="A126" t="s">
        <v>56</v>
      </c>
      <c r="B126">
        <v>10</v>
      </c>
      <c r="C126" t="s">
        <v>366</v>
      </c>
      <c r="D126">
        <v>2</v>
      </c>
      <c r="E126">
        <v>54</v>
      </c>
      <c r="F126">
        <v>5.0000999999999998</v>
      </c>
      <c r="G126">
        <v>635</v>
      </c>
      <c r="H126">
        <v>13706</v>
      </c>
      <c r="I126" s="1">
        <f t="shared" si="2"/>
        <v>9.2594444444444438E-2</v>
      </c>
      <c r="J126" s="1">
        <f t="shared" si="3"/>
        <v>4.6330074419962057E-2</v>
      </c>
    </row>
    <row r="127" spans="1:10">
      <c r="A127" t="s">
        <v>56</v>
      </c>
      <c r="B127">
        <v>10</v>
      </c>
      <c r="C127" t="s">
        <v>367</v>
      </c>
      <c r="D127">
        <v>3</v>
      </c>
      <c r="E127">
        <v>54</v>
      </c>
      <c r="F127">
        <v>5.0002003000000004</v>
      </c>
      <c r="G127">
        <v>903</v>
      </c>
      <c r="H127">
        <v>13706</v>
      </c>
      <c r="I127" s="1">
        <f t="shared" si="2"/>
        <v>9.2596301851851859E-2</v>
      </c>
      <c r="J127" s="1">
        <f t="shared" si="3"/>
        <v>6.5883554647599596E-2</v>
      </c>
    </row>
    <row r="128" spans="1:10">
      <c r="A128" t="s">
        <v>56</v>
      </c>
      <c r="B128">
        <v>10</v>
      </c>
      <c r="C128" t="s">
        <v>368</v>
      </c>
      <c r="D128">
        <v>4</v>
      </c>
      <c r="E128">
        <v>54</v>
      </c>
      <c r="F128">
        <v>5.0003004000000004</v>
      </c>
      <c r="G128">
        <v>1078</v>
      </c>
      <c r="H128">
        <v>13706</v>
      </c>
      <c r="I128" s="1">
        <f t="shared" si="2"/>
        <v>9.2598155555555561E-2</v>
      </c>
      <c r="J128" s="1">
        <f t="shared" si="3"/>
        <v>7.8651685393258425E-2</v>
      </c>
    </row>
    <row r="129" spans="1:10">
      <c r="A129" t="s">
        <v>56</v>
      </c>
      <c r="B129">
        <v>10</v>
      </c>
      <c r="C129" t="s">
        <v>58</v>
      </c>
      <c r="D129">
        <v>5</v>
      </c>
      <c r="E129">
        <v>54</v>
      </c>
      <c r="F129">
        <v>6</v>
      </c>
      <c r="G129">
        <v>2062</v>
      </c>
      <c r="H129">
        <v>13706</v>
      </c>
      <c r="I129" s="1">
        <f t="shared" si="2"/>
        <v>0.1111111111111111</v>
      </c>
      <c r="J129" s="1">
        <f t="shared" si="3"/>
        <v>0.1504450605574201</v>
      </c>
    </row>
    <row r="130" spans="1:10">
      <c r="A130" t="s">
        <v>56</v>
      </c>
      <c r="B130">
        <v>10</v>
      </c>
      <c r="C130" t="s">
        <v>369</v>
      </c>
      <c r="D130">
        <v>6</v>
      </c>
      <c r="E130">
        <v>54</v>
      </c>
      <c r="F130">
        <v>7</v>
      </c>
      <c r="G130">
        <v>2138</v>
      </c>
      <c r="H130">
        <v>13706</v>
      </c>
      <c r="I130" s="1">
        <f t="shared" si="2"/>
        <v>0.12962962962962962</v>
      </c>
      <c r="J130" s="1">
        <f t="shared" si="3"/>
        <v>0.15599007733839196</v>
      </c>
    </row>
    <row r="131" spans="1:10">
      <c r="A131" t="s">
        <v>56</v>
      </c>
      <c r="B131">
        <v>10</v>
      </c>
      <c r="C131" t="s">
        <v>370</v>
      </c>
      <c r="D131">
        <v>7</v>
      </c>
      <c r="E131">
        <v>54</v>
      </c>
      <c r="F131">
        <v>7.0000999999999998</v>
      </c>
      <c r="G131">
        <v>2214</v>
      </c>
      <c r="H131">
        <v>13706</v>
      </c>
      <c r="I131" s="1">
        <f t="shared" ref="I131:I194" si="4">F131/E131</f>
        <v>0.12963148148148149</v>
      </c>
      <c r="J131" s="1">
        <f t="shared" ref="J131:J194" si="5">G131/H131</f>
        <v>0.16153509411936379</v>
      </c>
    </row>
    <row r="132" spans="1:10">
      <c r="A132" t="s">
        <v>56</v>
      </c>
      <c r="B132">
        <v>10</v>
      </c>
      <c r="C132" t="s">
        <v>371</v>
      </c>
      <c r="D132">
        <v>8</v>
      </c>
      <c r="E132">
        <v>54</v>
      </c>
      <c r="F132">
        <v>7.0002003000000004</v>
      </c>
      <c r="G132">
        <v>2290</v>
      </c>
      <c r="H132">
        <v>13706</v>
      </c>
      <c r="I132" s="1">
        <f t="shared" si="4"/>
        <v>0.12963333888888889</v>
      </c>
      <c r="J132" s="1">
        <f t="shared" si="5"/>
        <v>0.16708011090033562</v>
      </c>
    </row>
    <row r="133" spans="1:10">
      <c r="A133" t="s">
        <v>56</v>
      </c>
      <c r="B133">
        <v>10</v>
      </c>
      <c r="C133" t="s">
        <v>372</v>
      </c>
      <c r="D133">
        <v>9</v>
      </c>
      <c r="E133">
        <v>54</v>
      </c>
      <c r="F133">
        <v>7.0003004000000004</v>
      </c>
      <c r="G133">
        <v>2290</v>
      </c>
      <c r="H133">
        <v>13706</v>
      </c>
      <c r="I133" s="1">
        <f t="shared" si="4"/>
        <v>0.1296351925925926</v>
      </c>
      <c r="J133" s="1">
        <f t="shared" si="5"/>
        <v>0.16708011090033562</v>
      </c>
    </row>
    <row r="134" spans="1:10">
      <c r="A134" t="s">
        <v>56</v>
      </c>
      <c r="B134">
        <v>10</v>
      </c>
      <c r="C134" t="s">
        <v>373</v>
      </c>
      <c r="D134">
        <v>10</v>
      </c>
      <c r="E134">
        <v>54</v>
      </c>
      <c r="F134">
        <v>8</v>
      </c>
      <c r="G134">
        <v>2712</v>
      </c>
      <c r="H134">
        <v>13706</v>
      </c>
      <c r="I134" s="1">
        <f t="shared" si="4"/>
        <v>0.14814814814814814</v>
      </c>
      <c r="J134" s="1">
        <f t="shared" si="5"/>
        <v>0.19786954618415292</v>
      </c>
    </row>
    <row r="135" spans="1:10">
      <c r="A135" t="s">
        <v>56</v>
      </c>
      <c r="B135">
        <v>10</v>
      </c>
      <c r="C135" t="s">
        <v>374</v>
      </c>
      <c r="D135">
        <v>11</v>
      </c>
      <c r="E135">
        <v>54</v>
      </c>
      <c r="F135">
        <v>8.0000999999999998</v>
      </c>
      <c r="G135">
        <v>3042</v>
      </c>
      <c r="H135">
        <v>13706</v>
      </c>
      <c r="I135" s="1">
        <f t="shared" si="4"/>
        <v>0.14815</v>
      </c>
      <c r="J135" s="1">
        <f t="shared" si="5"/>
        <v>0.2219465927331096</v>
      </c>
    </row>
    <row r="136" spans="1:10">
      <c r="A136" t="s">
        <v>56</v>
      </c>
      <c r="B136">
        <v>10</v>
      </c>
      <c r="C136" t="s">
        <v>375</v>
      </c>
      <c r="D136">
        <v>12</v>
      </c>
      <c r="E136">
        <v>54</v>
      </c>
      <c r="F136">
        <v>8.0001999999999995</v>
      </c>
      <c r="G136">
        <v>3042</v>
      </c>
      <c r="H136">
        <v>13706</v>
      </c>
      <c r="I136" s="1">
        <f t="shared" si="4"/>
        <v>0.14815185185185184</v>
      </c>
      <c r="J136" s="1">
        <f t="shared" si="5"/>
        <v>0.2219465927331096</v>
      </c>
    </row>
    <row r="137" spans="1:10">
      <c r="A137" t="s">
        <v>56</v>
      </c>
      <c r="B137">
        <v>10</v>
      </c>
      <c r="C137" t="s">
        <v>376</v>
      </c>
      <c r="D137">
        <v>13</v>
      </c>
      <c r="E137">
        <v>54</v>
      </c>
      <c r="F137">
        <v>8.0002999999999993</v>
      </c>
      <c r="G137">
        <v>3116</v>
      </c>
      <c r="H137">
        <v>13706</v>
      </c>
      <c r="I137" s="1">
        <f t="shared" si="4"/>
        <v>0.1481537037037037</v>
      </c>
      <c r="J137" s="1">
        <f t="shared" si="5"/>
        <v>0.22734568801984531</v>
      </c>
    </row>
    <row r="138" spans="1:10">
      <c r="A138" t="s">
        <v>56</v>
      </c>
      <c r="B138">
        <v>10</v>
      </c>
      <c r="C138" t="s">
        <v>377</v>
      </c>
      <c r="D138">
        <v>14</v>
      </c>
      <c r="E138">
        <v>54</v>
      </c>
      <c r="F138">
        <v>8.0004010000000001</v>
      </c>
      <c r="G138">
        <v>3306</v>
      </c>
      <c r="H138">
        <v>13706</v>
      </c>
      <c r="I138" s="1">
        <f t="shared" si="4"/>
        <v>0.14815557407407406</v>
      </c>
      <c r="J138" s="1">
        <f t="shared" si="5"/>
        <v>0.24120822997227492</v>
      </c>
    </row>
    <row r="139" spans="1:10">
      <c r="A139" t="s">
        <v>56</v>
      </c>
      <c r="B139">
        <v>10</v>
      </c>
      <c r="C139" t="s">
        <v>378</v>
      </c>
      <c r="D139">
        <v>15</v>
      </c>
      <c r="E139">
        <v>54</v>
      </c>
      <c r="F139">
        <v>9</v>
      </c>
      <c r="G139">
        <v>3718</v>
      </c>
      <c r="H139">
        <v>13706</v>
      </c>
      <c r="I139" s="1">
        <f t="shared" si="4"/>
        <v>0.16666666666666666</v>
      </c>
      <c r="J139" s="1">
        <f t="shared" si="5"/>
        <v>0.2712680577849117</v>
      </c>
    </row>
    <row r="140" spans="1:10">
      <c r="A140" t="s">
        <v>56</v>
      </c>
      <c r="B140">
        <v>10</v>
      </c>
      <c r="C140" t="s">
        <v>379</v>
      </c>
      <c r="D140">
        <v>16</v>
      </c>
      <c r="E140">
        <v>54</v>
      </c>
      <c r="F140">
        <v>9.0000999999999998</v>
      </c>
      <c r="G140">
        <v>4046</v>
      </c>
      <c r="H140">
        <v>13706</v>
      </c>
      <c r="I140" s="1">
        <f t="shared" si="4"/>
        <v>0.16666851851851852</v>
      </c>
      <c r="J140" s="1">
        <f t="shared" si="5"/>
        <v>0.29519918283963226</v>
      </c>
    </row>
    <row r="141" spans="1:10">
      <c r="A141" t="s">
        <v>56</v>
      </c>
      <c r="B141">
        <v>10</v>
      </c>
      <c r="C141" t="s">
        <v>380</v>
      </c>
      <c r="D141">
        <v>17</v>
      </c>
      <c r="E141">
        <v>54</v>
      </c>
      <c r="F141">
        <v>9.0001999999999995</v>
      </c>
      <c r="G141">
        <v>4046</v>
      </c>
      <c r="H141">
        <v>13706</v>
      </c>
      <c r="I141" s="1">
        <f t="shared" si="4"/>
        <v>0.16667037037037036</v>
      </c>
      <c r="J141" s="1">
        <f t="shared" si="5"/>
        <v>0.29519918283963226</v>
      </c>
    </row>
    <row r="142" spans="1:10">
      <c r="A142" t="s">
        <v>56</v>
      </c>
      <c r="B142">
        <v>10</v>
      </c>
      <c r="C142" t="s">
        <v>381</v>
      </c>
      <c r="D142">
        <v>18</v>
      </c>
      <c r="E142">
        <v>54</v>
      </c>
      <c r="F142">
        <v>9.0002999999999993</v>
      </c>
      <c r="G142">
        <v>4046</v>
      </c>
      <c r="H142">
        <v>13706</v>
      </c>
      <c r="I142" s="1">
        <f t="shared" si="4"/>
        <v>0.16667222222222222</v>
      </c>
      <c r="J142" s="1">
        <f t="shared" si="5"/>
        <v>0.29519918283963226</v>
      </c>
    </row>
    <row r="143" spans="1:10">
      <c r="A143" t="s">
        <v>56</v>
      </c>
      <c r="B143">
        <v>10</v>
      </c>
      <c r="C143" t="s">
        <v>382</v>
      </c>
      <c r="D143">
        <v>19</v>
      </c>
      <c r="E143">
        <v>54</v>
      </c>
      <c r="F143">
        <v>9.0004010000000001</v>
      </c>
      <c r="G143">
        <v>4046</v>
      </c>
      <c r="H143">
        <v>13706</v>
      </c>
      <c r="I143" s="1">
        <f t="shared" si="4"/>
        <v>0.16667409259259258</v>
      </c>
      <c r="J143" s="1">
        <f t="shared" si="5"/>
        <v>0.29519918283963226</v>
      </c>
    </row>
    <row r="144" spans="1:10">
      <c r="A144" t="s">
        <v>56</v>
      </c>
      <c r="B144">
        <v>10</v>
      </c>
      <c r="C144" t="s">
        <v>383</v>
      </c>
      <c r="D144">
        <v>20</v>
      </c>
      <c r="E144">
        <v>54</v>
      </c>
      <c r="F144">
        <v>9.0005009999999999</v>
      </c>
      <c r="G144">
        <v>4155</v>
      </c>
      <c r="H144">
        <v>13706</v>
      </c>
      <c r="I144" s="1">
        <f t="shared" si="4"/>
        <v>0.16667594444444445</v>
      </c>
      <c r="J144" s="1">
        <f t="shared" si="5"/>
        <v>0.30315190427549976</v>
      </c>
    </row>
    <row r="145" spans="1:10">
      <c r="A145" t="s">
        <v>56</v>
      </c>
      <c r="B145">
        <v>10</v>
      </c>
      <c r="C145" t="s">
        <v>384</v>
      </c>
      <c r="D145">
        <v>21</v>
      </c>
      <c r="E145">
        <v>54</v>
      </c>
      <c r="F145">
        <v>9.0006009999999996</v>
      </c>
      <c r="G145">
        <v>4155</v>
      </c>
      <c r="H145">
        <v>13706</v>
      </c>
      <c r="I145" s="1">
        <f t="shared" si="4"/>
        <v>0.16667779629629628</v>
      </c>
      <c r="J145" s="1">
        <f t="shared" si="5"/>
        <v>0.30315190427549976</v>
      </c>
    </row>
    <row r="146" spans="1:10">
      <c r="A146" t="s">
        <v>56</v>
      </c>
      <c r="B146">
        <v>10</v>
      </c>
      <c r="C146" t="s">
        <v>385</v>
      </c>
      <c r="D146">
        <v>22</v>
      </c>
      <c r="E146">
        <v>54</v>
      </c>
      <c r="F146">
        <v>9.0007009999999994</v>
      </c>
      <c r="G146">
        <v>4542</v>
      </c>
      <c r="H146">
        <v>13706</v>
      </c>
      <c r="I146" s="1">
        <f t="shared" si="4"/>
        <v>0.16667964814814815</v>
      </c>
      <c r="J146" s="1">
        <f t="shared" si="5"/>
        <v>0.3313877134101853</v>
      </c>
    </row>
    <row r="147" spans="1:10">
      <c r="A147" t="s">
        <v>56</v>
      </c>
      <c r="B147">
        <v>10</v>
      </c>
      <c r="C147" t="s">
        <v>386</v>
      </c>
      <c r="D147">
        <v>23</v>
      </c>
      <c r="E147">
        <v>54</v>
      </c>
      <c r="F147">
        <v>9.0008009999999992</v>
      </c>
      <c r="G147">
        <v>4895</v>
      </c>
      <c r="H147">
        <v>13706</v>
      </c>
      <c r="I147" s="1">
        <f t="shared" si="4"/>
        <v>0.16668149999999998</v>
      </c>
      <c r="J147" s="1">
        <f t="shared" si="5"/>
        <v>0.35714285714285715</v>
      </c>
    </row>
    <row r="148" spans="1:10">
      <c r="A148" t="s">
        <v>56</v>
      </c>
      <c r="B148">
        <v>10</v>
      </c>
      <c r="C148" t="s">
        <v>387</v>
      </c>
      <c r="D148">
        <v>24</v>
      </c>
      <c r="E148">
        <v>54</v>
      </c>
      <c r="F148">
        <v>9.0009010000000007</v>
      </c>
      <c r="G148">
        <v>4929</v>
      </c>
      <c r="H148">
        <v>13706</v>
      </c>
      <c r="I148" s="1">
        <f t="shared" si="4"/>
        <v>0.16668335185185187</v>
      </c>
      <c r="J148" s="1">
        <f t="shared" si="5"/>
        <v>0.35962352254487084</v>
      </c>
    </row>
    <row r="149" spans="1:10">
      <c r="A149" t="s">
        <v>56</v>
      </c>
      <c r="B149">
        <v>10</v>
      </c>
      <c r="C149" t="s">
        <v>388</v>
      </c>
      <c r="D149">
        <v>25</v>
      </c>
      <c r="E149">
        <v>54</v>
      </c>
      <c r="F149">
        <v>9.0010010000000005</v>
      </c>
      <c r="G149">
        <v>4929</v>
      </c>
      <c r="H149">
        <v>13706</v>
      </c>
      <c r="I149" s="1">
        <f t="shared" si="4"/>
        <v>0.16668520370370371</v>
      </c>
      <c r="J149" s="1">
        <f t="shared" si="5"/>
        <v>0.35962352254487084</v>
      </c>
    </row>
    <row r="150" spans="1:10">
      <c r="A150" t="s">
        <v>56</v>
      </c>
      <c r="B150">
        <v>10</v>
      </c>
      <c r="C150" t="s">
        <v>389</v>
      </c>
      <c r="D150">
        <v>26</v>
      </c>
      <c r="E150">
        <v>54</v>
      </c>
      <c r="F150">
        <v>9.0011015000000008</v>
      </c>
      <c r="G150">
        <v>4929</v>
      </c>
      <c r="H150">
        <v>13706</v>
      </c>
      <c r="I150" s="1">
        <f t="shared" si="4"/>
        <v>0.16668706481481482</v>
      </c>
      <c r="J150" s="1">
        <f t="shared" si="5"/>
        <v>0.35962352254487084</v>
      </c>
    </row>
    <row r="151" spans="1:10">
      <c r="A151" t="s">
        <v>56</v>
      </c>
      <c r="B151">
        <v>10</v>
      </c>
      <c r="C151" t="s">
        <v>390</v>
      </c>
      <c r="D151">
        <v>27</v>
      </c>
      <c r="E151">
        <v>54</v>
      </c>
      <c r="F151">
        <v>10</v>
      </c>
      <c r="G151">
        <v>4963</v>
      </c>
      <c r="H151">
        <v>13706</v>
      </c>
      <c r="I151" s="1">
        <f t="shared" si="4"/>
        <v>0.18518518518518517</v>
      </c>
      <c r="J151" s="1">
        <f t="shared" si="5"/>
        <v>0.36210418794688459</v>
      </c>
    </row>
    <row r="152" spans="1:10">
      <c r="A152" t="s">
        <v>56</v>
      </c>
      <c r="B152">
        <v>10</v>
      </c>
      <c r="C152" t="s">
        <v>391</v>
      </c>
      <c r="D152">
        <v>28</v>
      </c>
      <c r="E152">
        <v>54</v>
      </c>
      <c r="F152">
        <v>10.0001</v>
      </c>
      <c r="G152">
        <v>5316</v>
      </c>
      <c r="H152">
        <v>13706</v>
      </c>
      <c r="I152" s="1">
        <f t="shared" si="4"/>
        <v>0.18518703703703704</v>
      </c>
      <c r="J152" s="1">
        <f t="shared" si="5"/>
        <v>0.38785933167955639</v>
      </c>
    </row>
    <row r="153" spans="1:10">
      <c r="A153" t="s">
        <v>56</v>
      </c>
      <c r="B153">
        <v>10</v>
      </c>
      <c r="C153" t="s">
        <v>5</v>
      </c>
      <c r="D153">
        <v>29</v>
      </c>
      <c r="E153">
        <v>54</v>
      </c>
      <c r="F153">
        <v>18</v>
      </c>
      <c r="G153">
        <v>7409</v>
      </c>
      <c r="H153">
        <v>13706</v>
      </c>
      <c r="I153" s="1">
        <f t="shared" si="4"/>
        <v>0.33333333333333331</v>
      </c>
      <c r="J153" s="1">
        <f t="shared" si="5"/>
        <v>0.54056617539763607</v>
      </c>
    </row>
    <row r="154" spans="1:10">
      <c r="A154" t="s">
        <v>56</v>
      </c>
      <c r="B154">
        <v>10</v>
      </c>
      <c r="C154" t="s">
        <v>392</v>
      </c>
      <c r="D154">
        <v>30</v>
      </c>
      <c r="E154">
        <v>54</v>
      </c>
      <c r="F154">
        <v>20</v>
      </c>
      <c r="G154">
        <v>9503</v>
      </c>
      <c r="H154">
        <v>13706</v>
      </c>
      <c r="I154" s="1">
        <f t="shared" si="4"/>
        <v>0.37037037037037035</v>
      </c>
      <c r="J154" s="1">
        <f t="shared" si="5"/>
        <v>0.69334597986283375</v>
      </c>
    </row>
    <row r="155" spans="1:10">
      <c r="A155" t="s">
        <v>56</v>
      </c>
      <c r="B155">
        <v>10</v>
      </c>
      <c r="C155" t="s">
        <v>393</v>
      </c>
      <c r="D155">
        <v>31</v>
      </c>
      <c r="E155">
        <v>54</v>
      </c>
      <c r="F155">
        <v>23</v>
      </c>
      <c r="G155">
        <v>13690</v>
      </c>
      <c r="H155">
        <v>13706</v>
      </c>
      <c r="I155" s="1">
        <f t="shared" si="4"/>
        <v>0.42592592592592593</v>
      </c>
      <c r="J155" s="1">
        <f t="shared" si="5"/>
        <v>0.99883262804611117</v>
      </c>
    </row>
    <row r="156" spans="1:10">
      <c r="A156" t="s">
        <v>56</v>
      </c>
      <c r="B156">
        <v>10</v>
      </c>
      <c r="C156" t="s">
        <v>33</v>
      </c>
      <c r="D156">
        <v>32</v>
      </c>
      <c r="E156">
        <v>54</v>
      </c>
      <c r="F156">
        <v>52</v>
      </c>
      <c r="G156">
        <v>13706</v>
      </c>
      <c r="H156">
        <v>13706</v>
      </c>
      <c r="I156" s="1">
        <f t="shared" si="4"/>
        <v>0.96296296296296291</v>
      </c>
      <c r="J156" s="1">
        <f t="shared" si="5"/>
        <v>1</v>
      </c>
    </row>
    <row r="157" spans="1:10">
      <c r="A157" t="s">
        <v>56</v>
      </c>
      <c r="B157">
        <v>11</v>
      </c>
      <c r="C157" t="s">
        <v>33</v>
      </c>
      <c r="D157">
        <v>1</v>
      </c>
      <c r="E157">
        <v>15</v>
      </c>
      <c r="F157">
        <v>2</v>
      </c>
      <c r="G157">
        <v>62</v>
      </c>
      <c r="H157">
        <v>4445</v>
      </c>
      <c r="I157" s="1">
        <f t="shared" si="4"/>
        <v>0.13333333333333333</v>
      </c>
      <c r="J157" s="1">
        <f t="shared" si="5"/>
        <v>1.3948256467941508E-2</v>
      </c>
    </row>
    <row r="158" spans="1:10">
      <c r="A158" t="s">
        <v>56</v>
      </c>
      <c r="B158">
        <v>11</v>
      </c>
      <c r="C158" t="s">
        <v>59</v>
      </c>
      <c r="D158">
        <v>2</v>
      </c>
      <c r="E158">
        <v>15</v>
      </c>
      <c r="F158">
        <v>7</v>
      </c>
      <c r="G158">
        <v>1317</v>
      </c>
      <c r="H158">
        <v>4445</v>
      </c>
      <c r="I158" s="1">
        <f t="shared" si="4"/>
        <v>0.46666666666666667</v>
      </c>
      <c r="J158" s="1">
        <f t="shared" si="5"/>
        <v>0.29628796400449942</v>
      </c>
    </row>
    <row r="159" spans="1:10">
      <c r="A159" t="s">
        <v>56</v>
      </c>
      <c r="B159">
        <v>11</v>
      </c>
      <c r="C159" t="s">
        <v>62</v>
      </c>
      <c r="D159">
        <v>3</v>
      </c>
      <c r="E159">
        <v>15</v>
      </c>
      <c r="F159">
        <v>8</v>
      </c>
      <c r="G159">
        <v>2091</v>
      </c>
      <c r="H159">
        <v>4445</v>
      </c>
      <c r="I159" s="1">
        <f t="shared" si="4"/>
        <v>0.53333333333333333</v>
      </c>
      <c r="J159" s="1">
        <f t="shared" si="5"/>
        <v>0.47041619797525308</v>
      </c>
    </row>
    <row r="160" spans="1:10">
      <c r="A160" t="s">
        <v>56</v>
      </c>
      <c r="B160">
        <v>11</v>
      </c>
      <c r="C160" t="s">
        <v>394</v>
      </c>
      <c r="D160">
        <v>4</v>
      </c>
      <c r="E160">
        <v>15</v>
      </c>
      <c r="F160">
        <v>8.0000999999999998</v>
      </c>
      <c r="G160">
        <v>2107</v>
      </c>
      <c r="H160">
        <v>4445</v>
      </c>
      <c r="I160" s="1">
        <f t="shared" si="4"/>
        <v>0.53334000000000004</v>
      </c>
      <c r="J160" s="1">
        <f t="shared" si="5"/>
        <v>0.47401574803149604</v>
      </c>
    </row>
    <row r="161" spans="1:10">
      <c r="A161" t="s">
        <v>56</v>
      </c>
      <c r="B161">
        <v>11</v>
      </c>
      <c r="C161" t="s">
        <v>395</v>
      </c>
      <c r="D161">
        <v>5</v>
      </c>
      <c r="E161">
        <v>15</v>
      </c>
      <c r="F161">
        <v>9</v>
      </c>
      <c r="G161">
        <v>2107</v>
      </c>
      <c r="H161">
        <v>4445</v>
      </c>
      <c r="I161" s="1">
        <f t="shared" si="4"/>
        <v>0.6</v>
      </c>
      <c r="J161" s="1">
        <f t="shared" si="5"/>
        <v>0.47401574803149604</v>
      </c>
    </row>
    <row r="162" spans="1:10">
      <c r="A162" t="s">
        <v>56</v>
      </c>
      <c r="B162">
        <v>11</v>
      </c>
      <c r="C162" t="s">
        <v>60</v>
      </c>
      <c r="D162">
        <v>6</v>
      </c>
      <c r="E162">
        <v>15</v>
      </c>
      <c r="F162">
        <v>9.0000999999999998</v>
      </c>
      <c r="G162">
        <v>2881</v>
      </c>
      <c r="H162">
        <v>4445</v>
      </c>
      <c r="I162" s="1">
        <f t="shared" si="4"/>
        <v>0.60000666666666669</v>
      </c>
      <c r="J162" s="1">
        <f t="shared" si="5"/>
        <v>0.64814398200224976</v>
      </c>
    </row>
    <row r="163" spans="1:10">
      <c r="A163" t="s">
        <v>56</v>
      </c>
      <c r="B163">
        <v>11</v>
      </c>
      <c r="C163" t="s">
        <v>396</v>
      </c>
      <c r="D163">
        <v>7</v>
      </c>
      <c r="E163">
        <v>15</v>
      </c>
      <c r="F163">
        <v>9.0001999999999995</v>
      </c>
      <c r="G163">
        <v>2881</v>
      </c>
      <c r="H163">
        <v>4445</v>
      </c>
      <c r="I163" s="1">
        <f t="shared" si="4"/>
        <v>0.60001333333333329</v>
      </c>
      <c r="J163" s="1">
        <f t="shared" si="5"/>
        <v>0.64814398200224976</v>
      </c>
    </row>
    <row r="164" spans="1:10">
      <c r="A164" t="s">
        <v>56</v>
      </c>
      <c r="B164">
        <v>11</v>
      </c>
      <c r="C164" t="s">
        <v>61</v>
      </c>
      <c r="D164">
        <v>8</v>
      </c>
      <c r="E164">
        <v>15</v>
      </c>
      <c r="F164">
        <v>9.0002999999999993</v>
      </c>
      <c r="G164">
        <v>3655</v>
      </c>
      <c r="H164">
        <v>4445</v>
      </c>
      <c r="I164" s="1">
        <f t="shared" si="4"/>
        <v>0.60002</v>
      </c>
      <c r="J164" s="1">
        <f t="shared" si="5"/>
        <v>0.82227221597300337</v>
      </c>
    </row>
    <row r="165" spans="1:10">
      <c r="A165" t="s">
        <v>56</v>
      </c>
      <c r="B165">
        <v>11</v>
      </c>
      <c r="C165" t="s">
        <v>63</v>
      </c>
      <c r="D165">
        <v>9</v>
      </c>
      <c r="E165">
        <v>15</v>
      </c>
      <c r="F165">
        <v>9.0004010000000001</v>
      </c>
      <c r="G165">
        <v>4429</v>
      </c>
      <c r="H165">
        <v>4445</v>
      </c>
      <c r="I165" s="1">
        <f t="shared" si="4"/>
        <v>0.60002673333333334</v>
      </c>
      <c r="J165" s="1">
        <f t="shared" si="5"/>
        <v>0.99640044994375698</v>
      </c>
    </row>
    <row r="166" spans="1:10">
      <c r="A166" t="s">
        <v>56</v>
      </c>
      <c r="B166">
        <v>11</v>
      </c>
      <c r="C166" t="s">
        <v>397</v>
      </c>
      <c r="D166">
        <v>10</v>
      </c>
      <c r="E166">
        <v>15</v>
      </c>
      <c r="F166">
        <v>9.0005009999999999</v>
      </c>
      <c r="G166">
        <v>4429</v>
      </c>
      <c r="H166">
        <v>4445</v>
      </c>
      <c r="I166" s="1">
        <f t="shared" si="4"/>
        <v>0.60003339999999994</v>
      </c>
      <c r="J166" s="1">
        <f t="shared" si="5"/>
        <v>0.99640044994375698</v>
      </c>
    </row>
    <row r="167" spans="1:10">
      <c r="A167" t="s">
        <v>56</v>
      </c>
      <c r="B167">
        <v>11</v>
      </c>
      <c r="C167" t="s">
        <v>398</v>
      </c>
      <c r="D167">
        <v>11</v>
      </c>
      <c r="E167">
        <v>15</v>
      </c>
      <c r="F167">
        <v>9.0006009999999996</v>
      </c>
      <c r="G167">
        <v>4429</v>
      </c>
      <c r="H167">
        <v>4445</v>
      </c>
      <c r="I167" s="1">
        <f t="shared" si="4"/>
        <v>0.60004006666666665</v>
      </c>
      <c r="J167" s="1">
        <f t="shared" si="5"/>
        <v>0.99640044994375698</v>
      </c>
    </row>
    <row r="168" spans="1:10">
      <c r="A168" t="s">
        <v>56</v>
      </c>
      <c r="B168">
        <v>11</v>
      </c>
      <c r="C168" t="s">
        <v>2</v>
      </c>
      <c r="D168">
        <v>12</v>
      </c>
      <c r="E168">
        <v>15</v>
      </c>
      <c r="F168">
        <v>15</v>
      </c>
      <c r="G168">
        <v>4445</v>
      </c>
      <c r="H168">
        <v>4445</v>
      </c>
      <c r="I168" s="1">
        <f t="shared" si="4"/>
        <v>1</v>
      </c>
      <c r="J168" s="1">
        <f t="shared" si="5"/>
        <v>1</v>
      </c>
    </row>
    <row r="169" spans="1:10">
      <c r="A169" t="s">
        <v>56</v>
      </c>
      <c r="B169">
        <v>12</v>
      </c>
      <c r="C169" t="s">
        <v>33</v>
      </c>
      <c r="D169">
        <v>1</v>
      </c>
      <c r="E169">
        <v>10</v>
      </c>
      <c r="F169">
        <v>2</v>
      </c>
      <c r="G169">
        <v>74</v>
      </c>
      <c r="H169">
        <v>2334</v>
      </c>
      <c r="I169" s="1">
        <f t="shared" si="4"/>
        <v>0.2</v>
      </c>
      <c r="J169" s="1">
        <f t="shared" si="5"/>
        <v>3.1705227077977724E-2</v>
      </c>
    </row>
    <row r="170" spans="1:10">
      <c r="A170" t="s">
        <v>56</v>
      </c>
      <c r="B170">
        <v>12</v>
      </c>
      <c r="C170" t="s">
        <v>399</v>
      </c>
      <c r="D170">
        <v>2</v>
      </c>
      <c r="E170">
        <v>10</v>
      </c>
      <c r="F170">
        <v>5</v>
      </c>
      <c r="G170">
        <v>861</v>
      </c>
      <c r="H170">
        <v>2334</v>
      </c>
      <c r="I170" s="1">
        <f t="shared" si="4"/>
        <v>0.5</v>
      </c>
      <c r="J170" s="1">
        <f t="shared" si="5"/>
        <v>0.36889460154241643</v>
      </c>
    </row>
    <row r="171" spans="1:10">
      <c r="A171" t="s">
        <v>56</v>
      </c>
      <c r="B171">
        <v>12</v>
      </c>
      <c r="C171" t="s">
        <v>400</v>
      </c>
      <c r="D171">
        <v>3</v>
      </c>
      <c r="E171">
        <v>10</v>
      </c>
      <c r="F171">
        <v>5.0000999999999998</v>
      </c>
      <c r="G171">
        <v>891</v>
      </c>
      <c r="H171">
        <v>2334</v>
      </c>
      <c r="I171" s="1">
        <f t="shared" si="4"/>
        <v>0.50000999999999995</v>
      </c>
      <c r="J171" s="1">
        <f t="shared" si="5"/>
        <v>0.38174807197943444</v>
      </c>
    </row>
    <row r="172" spans="1:10">
      <c r="A172" t="s">
        <v>56</v>
      </c>
      <c r="B172">
        <v>12</v>
      </c>
      <c r="C172" t="s">
        <v>401</v>
      </c>
      <c r="D172">
        <v>4</v>
      </c>
      <c r="E172">
        <v>10</v>
      </c>
      <c r="F172">
        <v>5.0002003000000004</v>
      </c>
      <c r="G172">
        <v>1027</v>
      </c>
      <c r="H172">
        <v>2334</v>
      </c>
      <c r="I172" s="1">
        <f t="shared" si="4"/>
        <v>0.50002003000000006</v>
      </c>
      <c r="J172" s="1">
        <f t="shared" si="5"/>
        <v>0.44001713796058267</v>
      </c>
    </row>
    <row r="173" spans="1:10">
      <c r="A173" t="s">
        <v>56</v>
      </c>
      <c r="B173">
        <v>12</v>
      </c>
      <c r="C173" t="s">
        <v>402</v>
      </c>
      <c r="D173">
        <v>5</v>
      </c>
      <c r="E173">
        <v>10</v>
      </c>
      <c r="F173">
        <v>6</v>
      </c>
      <c r="G173">
        <v>1027</v>
      </c>
      <c r="H173">
        <v>2334</v>
      </c>
      <c r="I173" s="1">
        <f t="shared" si="4"/>
        <v>0.6</v>
      </c>
      <c r="J173" s="1">
        <f t="shared" si="5"/>
        <v>0.44001713796058267</v>
      </c>
    </row>
    <row r="174" spans="1:10">
      <c r="A174" t="s">
        <v>56</v>
      </c>
      <c r="B174">
        <v>12</v>
      </c>
      <c r="C174" t="s">
        <v>403</v>
      </c>
      <c r="D174">
        <v>6</v>
      </c>
      <c r="E174">
        <v>10</v>
      </c>
      <c r="F174">
        <v>6.0000999999999998</v>
      </c>
      <c r="G174">
        <v>1044</v>
      </c>
      <c r="H174">
        <v>2334</v>
      </c>
      <c r="I174" s="1">
        <f t="shared" si="4"/>
        <v>0.60000999999999993</v>
      </c>
      <c r="J174" s="1">
        <f t="shared" si="5"/>
        <v>0.4473007712082262</v>
      </c>
    </row>
    <row r="175" spans="1:10">
      <c r="A175" t="s">
        <v>56</v>
      </c>
      <c r="B175">
        <v>12</v>
      </c>
      <c r="C175" t="s">
        <v>404</v>
      </c>
      <c r="D175">
        <v>7</v>
      </c>
      <c r="E175">
        <v>10</v>
      </c>
      <c r="F175">
        <v>6.0002003000000004</v>
      </c>
      <c r="G175">
        <v>1044</v>
      </c>
      <c r="H175">
        <v>2334</v>
      </c>
      <c r="I175" s="1">
        <f t="shared" si="4"/>
        <v>0.60002003000000004</v>
      </c>
      <c r="J175" s="1">
        <f t="shared" si="5"/>
        <v>0.4473007712082262</v>
      </c>
    </row>
    <row r="176" spans="1:10">
      <c r="A176" t="s">
        <v>56</v>
      </c>
      <c r="B176">
        <v>12</v>
      </c>
      <c r="C176" t="s">
        <v>405</v>
      </c>
      <c r="D176">
        <v>8</v>
      </c>
      <c r="E176">
        <v>10</v>
      </c>
      <c r="F176">
        <v>6.0003004000000004</v>
      </c>
      <c r="G176">
        <v>1044</v>
      </c>
      <c r="H176">
        <v>2334</v>
      </c>
      <c r="I176" s="1">
        <f t="shared" si="4"/>
        <v>0.60003004000000004</v>
      </c>
      <c r="J176" s="1">
        <f t="shared" si="5"/>
        <v>0.4473007712082262</v>
      </c>
    </row>
    <row r="177" spans="1:10">
      <c r="A177" t="s">
        <v>56</v>
      </c>
      <c r="B177">
        <v>12</v>
      </c>
      <c r="C177" t="s">
        <v>406</v>
      </c>
      <c r="D177">
        <v>9</v>
      </c>
      <c r="E177">
        <v>10</v>
      </c>
      <c r="F177">
        <v>7</v>
      </c>
      <c r="G177">
        <v>1583</v>
      </c>
      <c r="H177">
        <v>2334</v>
      </c>
      <c r="I177" s="1">
        <f t="shared" si="4"/>
        <v>0.7</v>
      </c>
      <c r="J177" s="1">
        <f t="shared" si="5"/>
        <v>0.67823479005998288</v>
      </c>
    </row>
    <row r="178" spans="1:10">
      <c r="A178" t="s">
        <v>56</v>
      </c>
      <c r="B178">
        <v>12</v>
      </c>
      <c r="C178" t="s">
        <v>407</v>
      </c>
      <c r="D178">
        <v>10</v>
      </c>
      <c r="E178">
        <v>10</v>
      </c>
      <c r="F178">
        <v>7.0000999999999998</v>
      </c>
      <c r="G178">
        <v>1583</v>
      </c>
      <c r="H178">
        <v>2334</v>
      </c>
      <c r="I178" s="1">
        <f t="shared" si="4"/>
        <v>0.70001000000000002</v>
      </c>
      <c r="J178" s="1">
        <f t="shared" si="5"/>
        <v>0.67823479005998288</v>
      </c>
    </row>
    <row r="179" spans="1:10">
      <c r="A179" t="s">
        <v>56</v>
      </c>
      <c r="B179">
        <v>12</v>
      </c>
      <c r="C179" t="s">
        <v>2</v>
      </c>
      <c r="D179">
        <v>11</v>
      </c>
      <c r="E179">
        <v>10</v>
      </c>
      <c r="F179">
        <v>9</v>
      </c>
      <c r="G179">
        <v>2334</v>
      </c>
      <c r="H179">
        <v>2334</v>
      </c>
      <c r="I179" s="1">
        <f t="shared" si="4"/>
        <v>0.9</v>
      </c>
      <c r="J179" s="1">
        <f t="shared" si="5"/>
        <v>1</v>
      </c>
    </row>
    <row r="180" spans="1:10">
      <c r="A180" t="s">
        <v>56</v>
      </c>
      <c r="B180">
        <v>12</v>
      </c>
      <c r="C180" t="s">
        <v>408</v>
      </c>
      <c r="D180">
        <v>12</v>
      </c>
      <c r="E180">
        <v>10</v>
      </c>
      <c r="F180">
        <v>11</v>
      </c>
      <c r="G180">
        <v>2334</v>
      </c>
      <c r="H180">
        <v>2334</v>
      </c>
      <c r="I180" s="1">
        <f t="shared" si="4"/>
        <v>1.1000000000000001</v>
      </c>
      <c r="J180" s="1">
        <f t="shared" si="5"/>
        <v>1</v>
      </c>
    </row>
    <row r="181" spans="1:10">
      <c r="A181" t="s">
        <v>65</v>
      </c>
      <c r="B181">
        <v>1</v>
      </c>
      <c r="C181" t="s">
        <v>409</v>
      </c>
      <c r="D181">
        <v>1</v>
      </c>
      <c r="E181">
        <v>15</v>
      </c>
      <c r="F181">
        <v>4</v>
      </c>
      <c r="G181">
        <v>231</v>
      </c>
      <c r="H181">
        <v>3217</v>
      </c>
      <c r="I181" s="1">
        <f t="shared" si="4"/>
        <v>0.26666666666666666</v>
      </c>
      <c r="J181" s="1">
        <f t="shared" si="5"/>
        <v>7.1806030463164444E-2</v>
      </c>
    </row>
    <row r="182" spans="1:10">
      <c r="A182" t="s">
        <v>65</v>
      </c>
      <c r="B182">
        <v>1</v>
      </c>
      <c r="C182" t="s">
        <v>410</v>
      </c>
      <c r="D182">
        <v>2</v>
      </c>
      <c r="E182">
        <v>15</v>
      </c>
      <c r="F182">
        <v>6</v>
      </c>
      <c r="G182">
        <v>809</v>
      </c>
      <c r="H182">
        <v>3217</v>
      </c>
      <c r="I182" s="1">
        <f t="shared" si="4"/>
        <v>0.4</v>
      </c>
      <c r="J182" s="1">
        <f t="shared" si="5"/>
        <v>0.25147653092943734</v>
      </c>
    </row>
    <row r="183" spans="1:10">
      <c r="A183" t="s">
        <v>65</v>
      </c>
      <c r="B183">
        <v>1</v>
      </c>
      <c r="C183" t="s">
        <v>411</v>
      </c>
      <c r="D183">
        <v>3</v>
      </c>
      <c r="E183">
        <v>15</v>
      </c>
      <c r="F183">
        <v>8</v>
      </c>
      <c r="G183">
        <v>812</v>
      </c>
      <c r="H183">
        <v>3217</v>
      </c>
      <c r="I183" s="1">
        <f t="shared" si="4"/>
        <v>0.53333333333333333</v>
      </c>
      <c r="J183" s="1">
        <f t="shared" si="5"/>
        <v>0.25240907677960833</v>
      </c>
    </row>
    <row r="184" spans="1:10">
      <c r="A184" t="s">
        <v>65</v>
      </c>
      <c r="B184">
        <v>1</v>
      </c>
      <c r="C184" t="s">
        <v>412</v>
      </c>
      <c r="D184">
        <v>4</v>
      </c>
      <c r="E184">
        <v>15</v>
      </c>
      <c r="F184">
        <v>11</v>
      </c>
      <c r="G184">
        <v>3042</v>
      </c>
      <c r="H184">
        <v>3217</v>
      </c>
      <c r="I184" s="1">
        <f t="shared" si="4"/>
        <v>0.73333333333333328</v>
      </c>
      <c r="J184" s="1">
        <f t="shared" si="5"/>
        <v>0.94560149207336031</v>
      </c>
    </row>
    <row r="185" spans="1:10">
      <c r="A185" t="s">
        <v>65</v>
      </c>
      <c r="B185">
        <v>1</v>
      </c>
      <c r="C185" t="s">
        <v>413</v>
      </c>
      <c r="D185">
        <v>5</v>
      </c>
      <c r="E185">
        <v>15</v>
      </c>
      <c r="F185">
        <v>12</v>
      </c>
      <c r="G185">
        <v>3217</v>
      </c>
      <c r="H185">
        <v>3217</v>
      </c>
      <c r="I185" s="1">
        <f t="shared" si="4"/>
        <v>0.8</v>
      </c>
      <c r="J185" s="1">
        <f t="shared" si="5"/>
        <v>1</v>
      </c>
    </row>
    <row r="186" spans="1:10">
      <c r="A186" t="s">
        <v>65</v>
      </c>
      <c r="B186">
        <v>1</v>
      </c>
      <c r="C186" t="s">
        <v>414</v>
      </c>
      <c r="D186">
        <v>6</v>
      </c>
      <c r="E186">
        <v>15</v>
      </c>
      <c r="F186">
        <v>12.0001</v>
      </c>
      <c r="G186">
        <v>3217</v>
      </c>
      <c r="H186">
        <v>3217</v>
      </c>
      <c r="I186" s="1">
        <f t="shared" si="4"/>
        <v>0.80000666666666664</v>
      </c>
      <c r="J186" s="1">
        <f t="shared" si="5"/>
        <v>1</v>
      </c>
    </row>
    <row r="187" spans="1:10">
      <c r="A187" t="s">
        <v>65</v>
      </c>
      <c r="B187">
        <v>1</v>
      </c>
      <c r="C187" t="s">
        <v>415</v>
      </c>
      <c r="D187">
        <v>7</v>
      </c>
      <c r="E187">
        <v>15</v>
      </c>
      <c r="F187">
        <v>12.0002</v>
      </c>
      <c r="G187">
        <v>3217</v>
      </c>
      <c r="H187">
        <v>3217</v>
      </c>
      <c r="I187" s="1">
        <f t="shared" si="4"/>
        <v>0.80001333333333335</v>
      </c>
      <c r="J187" s="1">
        <f t="shared" si="5"/>
        <v>1</v>
      </c>
    </row>
    <row r="188" spans="1:10">
      <c r="A188" t="s">
        <v>65</v>
      </c>
      <c r="B188">
        <v>3</v>
      </c>
      <c r="C188" t="s">
        <v>66</v>
      </c>
      <c r="D188">
        <v>1</v>
      </c>
      <c r="E188">
        <v>488</v>
      </c>
      <c r="F188">
        <v>391</v>
      </c>
      <c r="G188">
        <v>59686</v>
      </c>
      <c r="H188">
        <v>66782</v>
      </c>
      <c r="I188" s="1">
        <f t="shared" si="4"/>
        <v>0.80122950819672134</v>
      </c>
      <c r="J188" s="1">
        <f t="shared" si="5"/>
        <v>0.89374382318588841</v>
      </c>
    </row>
    <row r="189" spans="1:10">
      <c r="A189" t="s">
        <v>65</v>
      </c>
      <c r="B189">
        <v>3</v>
      </c>
      <c r="C189" t="s">
        <v>68</v>
      </c>
      <c r="D189">
        <v>2</v>
      </c>
      <c r="E189">
        <v>488</v>
      </c>
      <c r="F189">
        <v>418</v>
      </c>
      <c r="G189">
        <v>66581</v>
      </c>
      <c r="H189">
        <v>66782</v>
      </c>
      <c r="I189" s="1">
        <f t="shared" si="4"/>
        <v>0.85655737704918034</v>
      </c>
      <c r="J189" s="1">
        <f t="shared" si="5"/>
        <v>0.99699020694199036</v>
      </c>
    </row>
    <row r="190" spans="1:10">
      <c r="A190" t="s">
        <v>65</v>
      </c>
      <c r="B190">
        <v>3</v>
      </c>
      <c r="C190" t="s">
        <v>67</v>
      </c>
      <c r="D190">
        <v>3</v>
      </c>
      <c r="E190">
        <v>488</v>
      </c>
      <c r="F190">
        <v>420</v>
      </c>
      <c r="G190">
        <v>66782</v>
      </c>
      <c r="H190">
        <v>66782</v>
      </c>
      <c r="I190" s="1">
        <f t="shared" si="4"/>
        <v>0.86065573770491799</v>
      </c>
      <c r="J190" s="1">
        <f t="shared" si="5"/>
        <v>1</v>
      </c>
    </row>
    <row r="191" spans="1:10">
      <c r="A191" t="s">
        <v>65</v>
      </c>
      <c r="B191">
        <v>4</v>
      </c>
      <c r="C191" t="s">
        <v>416</v>
      </c>
      <c r="D191">
        <v>1</v>
      </c>
      <c r="E191">
        <v>23</v>
      </c>
      <c r="F191">
        <v>17</v>
      </c>
      <c r="G191">
        <v>3704</v>
      </c>
      <c r="H191">
        <v>5310</v>
      </c>
      <c r="I191" s="1">
        <f t="shared" si="4"/>
        <v>0.73913043478260865</v>
      </c>
      <c r="J191" s="1">
        <f t="shared" si="5"/>
        <v>0.69755178907721282</v>
      </c>
    </row>
    <row r="192" spans="1:10">
      <c r="A192" t="s">
        <v>65</v>
      </c>
      <c r="B192">
        <v>4</v>
      </c>
      <c r="C192" t="s">
        <v>417</v>
      </c>
      <c r="D192">
        <v>2</v>
      </c>
      <c r="E192">
        <v>23</v>
      </c>
      <c r="F192">
        <v>18</v>
      </c>
      <c r="G192">
        <v>4086</v>
      </c>
      <c r="H192">
        <v>5310</v>
      </c>
      <c r="I192" s="1">
        <f t="shared" si="4"/>
        <v>0.78260869565217395</v>
      </c>
      <c r="J192" s="1">
        <f t="shared" si="5"/>
        <v>0.76949152542372878</v>
      </c>
    </row>
    <row r="193" spans="1:10">
      <c r="A193" t="s">
        <v>65</v>
      </c>
      <c r="B193">
        <v>4</v>
      </c>
      <c r="C193" t="s">
        <v>418</v>
      </c>
      <c r="D193">
        <v>3</v>
      </c>
      <c r="E193">
        <v>23</v>
      </c>
      <c r="F193">
        <v>19</v>
      </c>
      <c r="G193">
        <v>4458</v>
      </c>
      <c r="H193">
        <v>5310</v>
      </c>
      <c r="I193" s="1">
        <f t="shared" si="4"/>
        <v>0.82608695652173914</v>
      </c>
      <c r="J193" s="1">
        <f t="shared" si="5"/>
        <v>0.83954802259887007</v>
      </c>
    </row>
    <row r="194" spans="1:10">
      <c r="A194" t="s">
        <v>65</v>
      </c>
      <c r="B194">
        <v>4</v>
      </c>
      <c r="C194" t="s">
        <v>419</v>
      </c>
      <c r="D194">
        <v>4</v>
      </c>
      <c r="E194">
        <v>23</v>
      </c>
      <c r="F194">
        <v>19.0001</v>
      </c>
      <c r="G194">
        <v>4830</v>
      </c>
      <c r="H194">
        <v>5310</v>
      </c>
      <c r="I194" s="1">
        <f t="shared" si="4"/>
        <v>0.82609130434782607</v>
      </c>
      <c r="J194" s="1">
        <f t="shared" si="5"/>
        <v>0.90960451977401124</v>
      </c>
    </row>
    <row r="195" spans="1:10">
      <c r="A195" t="s">
        <v>65</v>
      </c>
      <c r="B195">
        <v>4</v>
      </c>
      <c r="C195" t="s">
        <v>420</v>
      </c>
      <c r="D195">
        <v>5</v>
      </c>
      <c r="E195">
        <v>23</v>
      </c>
      <c r="F195">
        <v>19.000198000000001</v>
      </c>
      <c r="G195">
        <v>4851</v>
      </c>
      <c r="H195">
        <v>5310</v>
      </c>
      <c r="I195" s="1">
        <f t="shared" ref="I195:I258" si="6">F195/E195</f>
        <v>0.82609556521739136</v>
      </c>
      <c r="J195" s="1">
        <f t="shared" ref="J195:J258" si="7">G195/H195</f>
        <v>0.91355932203389834</v>
      </c>
    </row>
    <row r="196" spans="1:10">
      <c r="A196" t="s">
        <v>65</v>
      </c>
      <c r="B196">
        <v>4</v>
      </c>
      <c r="C196" t="s">
        <v>421</v>
      </c>
      <c r="D196">
        <v>6</v>
      </c>
      <c r="E196">
        <v>23</v>
      </c>
      <c r="F196">
        <v>19.000298000000001</v>
      </c>
      <c r="G196">
        <v>4887</v>
      </c>
      <c r="H196">
        <v>5310</v>
      </c>
      <c r="I196" s="1">
        <f t="shared" si="6"/>
        <v>0.8260999130434783</v>
      </c>
      <c r="J196" s="1">
        <f t="shared" si="7"/>
        <v>0.92033898305084749</v>
      </c>
    </row>
    <row r="197" spans="1:10">
      <c r="A197" t="s">
        <v>65</v>
      </c>
      <c r="B197">
        <v>4</v>
      </c>
      <c r="C197" t="s">
        <v>422</v>
      </c>
      <c r="D197">
        <v>7</v>
      </c>
      <c r="E197">
        <v>23</v>
      </c>
      <c r="F197">
        <v>19.000397</v>
      </c>
      <c r="G197">
        <v>4887</v>
      </c>
      <c r="H197">
        <v>5310</v>
      </c>
      <c r="I197" s="1">
        <f t="shared" si="6"/>
        <v>0.82610421739130435</v>
      </c>
      <c r="J197" s="1">
        <f t="shared" si="7"/>
        <v>0.92033898305084749</v>
      </c>
    </row>
    <row r="198" spans="1:10">
      <c r="A198" t="s">
        <v>65</v>
      </c>
      <c r="B198">
        <v>4</v>
      </c>
      <c r="C198" t="s">
        <v>423</v>
      </c>
      <c r="D198">
        <v>8</v>
      </c>
      <c r="E198">
        <v>23</v>
      </c>
      <c r="F198">
        <v>19.000495999999998</v>
      </c>
      <c r="G198">
        <v>5250</v>
      </c>
      <c r="H198">
        <v>5310</v>
      </c>
      <c r="I198" s="1">
        <f t="shared" si="6"/>
        <v>0.82610852173913041</v>
      </c>
      <c r="J198" s="1">
        <f t="shared" si="7"/>
        <v>0.98870056497175141</v>
      </c>
    </row>
    <row r="199" spans="1:10">
      <c r="A199" t="s">
        <v>65</v>
      </c>
      <c r="B199">
        <v>4</v>
      </c>
      <c r="C199" t="s">
        <v>424</v>
      </c>
      <c r="D199">
        <v>9</v>
      </c>
      <c r="E199">
        <v>23</v>
      </c>
      <c r="F199">
        <v>20</v>
      </c>
      <c r="G199">
        <v>5292</v>
      </c>
      <c r="H199">
        <v>5310</v>
      </c>
      <c r="I199" s="1">
        <f t="shared" si="6"/>
        <v>0.86956521739130432</v>
      </c>
      <c r="J199" s="1">
        <f t="shared" si="7"/>
        <v>0.99661016949152548</v>
      </c>
    </row>
    <row r="200" spans="1:10">
      <c r="A200" t="s">
        <v>65</v>
      </c>
      <c r="B200">
        <v>4</v>
      </c>
      <c r="C200" t="s">
        <v>425</v>
      </c>
      <c r="D200">
        <v>10</v>
      </c>
      <c r="E200">
        <v>23</v>
      </c>
      <c r="F200">
        <v>20.0001</v>
      </c>
      <c r="G200">
        <v>5310</v>
      </c>
      <c r="H200">
        <v>5310</v>
      </c>
      <c r="I200" s="1">
        <f t="shared" si="6"/>
        <v>0.86956956521739126</v>
      </c>
      <c r="J200" s="1">
        <f t="shared" si="7"/>
        <v>1</v>
      </c>
    </row>
    <row r="201" spans="1:10">
      <c r="A201" t="s">
        <v>65</v>
      </c>
      <c r="B201">
        <v>4</v>
      </c>
      <c r="C201" t="s">
        <v>426</v>
      </c>
      <c r="D201">
        <v>11</v>
      </c>
      <c r="E201">
        <v>23</v>
      </c>
      <c r="F201">
        <v>20.000198000000001</v>
      </c>
      <c r="G201">
        <v>5310</v>
      </c>
      <c r="H201">
        <v>5310</v>
      </c>
      <c r="I201" s="1">
        <f t="shared" si="6"/>
        <v>0.86957382608695655</v>
      </c>
      <c r="J201" s="1">
        <f t="shared" si="7"/>
        <v>1</v>
      </c>
    </row>
    <row r="202" spans="1:10">
      <c r="A202" t="s">
        <v>65</v>
      </c>
      <c r="B202">
        <v>4</v>
      </c>
      <c r="C202" t="s">
        <v>427</v>
      </c>
      <c r="D202">
        <v>12</v>
      </c>
      <c r="E202">
        <v>23</v>
      </c>
      <c r="F202">
        <v>20.000298000000001</v>
      </c>
      <c r="G202">
        <v>5310</v>
      </c>
      <c r="H202">
        <v>5310</v>
      </c>
      <c r="I202" s="1">
        <f t="shared" si="6"/>
        <v>0.86957817391304348</v>
      </c>
      <c r="J202" s="1">
        <f t="shared" si="7"/>
        <v>1</v>
      </c>
    </row>
    <row r="203" spans="1:10">
      <c r="A203" t="s">
        <v>65</v>
      </c>
      <c r="B203">
        <v>4</v>
      </c>
      <c r="C203" t="s">
        <v>428</v>
      </c>
      <c r="D203">
        <v>13</v>
      </c>
      <c r="E203">
        <v>23</v>
      </c>
      <c r="F203">
        <v>20.000397</v>
      </c>
      <c r="G203">
        <v>5310</v>
      </c>
      <c r="H203">
        <v>5310</v>
      </c>
      <c r="I203" s="1">
        <f t="shared" si="6"/>
        <v>0.86958247826086954</v>
      </c>
      <c r="J203" s="1">
        <f t="shared" si="7"/>
        <v>1</v>
      </c>
    </row>
    <row r="204" spans="1:10">
      <c r="A204" t="s">
        <v>65</v>
      </c>
      <c r="B204">
        <v>4</v>
      </c>
      <c r="C204" t="s">
        <v>429</v>
      </c>
      <c r="D204">
        <v>14</v>
      </c>
      <c r="E204">
        <v>23</v>
      </c>
      <c r="F204">
        <v>21</v>
      </c>
      <c r="G204">
        <v>5310</v>
      </c>
      <c r="H204">
        <v>5310</v>
      </c>
      <c r="I204" s="1">
        <f t="shared" si="6"/>
        <v>0.91304347826086951</v>
      </c>
      <c r="J204" s="1">
        <f t="shared" si="7"/>
        <v>1</v>
      </c>
    </row>
    <row r="205" spans="1:10">
      <c r="A205" t="s">
        <v>65</v>
      </c>
      <c r="B205">
        <v>4</v>
      </c>
      <c r="C205" t="s">
        <v>430</v>
      </c>
      <c r="D205">
        <v>15</v>
      </c>
      <c r="E205">
        <v>23</v>
      </c>
      <c r="F205">
        <v>21.0001</v>
      </c>
      <c r="G205">
        <v>5310</v>
      </c>
      <c r="H205">
        <v>5310</v>
      </c>
      <c r="I205" s="1">
        <f t="shared" si="6"/>
        <v>0.91304782608695656</v>
      </c>
      <c r="J205" s="1">
        <f t="shared" si="7"/>
        <v>1</v>
      </c>
    </row>
    <row r="206" spans="1:10">
      <c r="A206" t="s">
        <v>65</v>
      </c>
      <c r="B206">
        <v>4</v>
      </c>
      <c r="C206" t="s">
        <v>431</v>
      </c>
      <c r="D206">
        <v>16</v>
      </c>
      <c r="E206">
        <v>23</v>
      </c>
      <c r="F206">
        <v>22</v>
      </c>
      <c r="G206">
        <v>5310</v>
      </c>
      <c r="H206">
        <v>5310</v>
      </c>
      <c r="I206" s="1">
        <f t="shared" si="6"/>
        <v>0.95652173913043481</v>
      </c>
      <c r="J206" s="1">
        <f t="shared" si="7"/>
        <v>1</v>
      </c>
    </row>
    <row r="207" spans="1:10">
      <c r="A207" t="s">
        <v>65</v>
      </c>
      <c r="B207">
        <v>6</v>
      </c>
      <c r="C207" t="s">
        <v>69</v>
      </c>
      <c r="D207">
        <v>1</v>
      </c>
      <c r="E207">
        <v>26</v>
      </c>
      <c r="F207">
        <v>16</v>
      </c>
      <c r="G207">
        <v>1815</v>
      </c>
      <c r="H207">
        <v>2939</v>
      </c>
      <c r="I207" s="1">
        <f t="shared" si="6"/>
        <v>0.61538461538461542</v>
      </c>
      <c r="J207" s="1">
        <f t="shared" si="7"/>
        <v>0.6175569921742089</v>
      </c>
    </row>
    <row r="208" spans="1:10">
      <c r="A208" t="s">
        <v>65</v>
      </c>
      <c r="B208">
        <v>6</v>
      </c>
      <c r="C208" t="s">
        <v>70</v>
      </c>
      <c r="D208">
        <v>2</v>
      </c>
      <c r="E208">
        <v>26</v>
      </c>
      <c r="F208">
        <v>16.0001</v>
      </c>
      <c r="G208">
        <v>2939</v>
      </c>
      <c r="H208">
        <v>2939</v>
      </c>
      <c r="I208" s="1">
        <f t="shared" si="6"/>
        <v>0.6153884615384615</v>
      </c>
      <c r="J208" s="1">
        <f t="shared" si="7"/>
        <v>1</v>
      </c>
    </row>
    <row r="209" spans="1:10">
      <c r="A209" t="s">
        <v>65</v>
      </c>
      <c r="B209">
        <v>7</v>
      </c>
      <c r="C209" t="s">
        <v>19</v>
      </c>
      <c r="D209">
        <v>1</v>
      </c>
      <c r="E209">
        <v>6</v>
      </c>
      <c r="F209">
        <v>2</v>
      </c>
      <c r="G209">
        <v>90</v>
      </c>
      <c r="H209">
        <v>1070</v>
      </c>
      <c r="I209" s="1">
        <f t="shared" si="6"/>
        <v>0.33333333333333331</v>
      </c>
      <c r="J209" s="1">
        <f t="shared" si="7"/>
        <v>8.4112149532710276E-2</v>
      </c>
    </row>
    <row r="210" spans="1:10">
      <c r="A210" t="s">
        <v>65</v>
      </c>
      <c r="B210">
        <v>7</v>
      </c>
      <c r="C210" t="s">
        <v>1</v>
      </c>
      <c r="D210">
        <v>2</v>
      </c>
      <c r="E210">
        <v>6</v>
      </c>
      <c r="F210">
        <v>3</v>
      </c>
      <c r="G210">
        <v>102</v>
      </c>
      <c r="H210">
        <v>1070</v>
      </c>
      <c r="I210" s="1">
        <f t="shared" si="6"/>
        <v>0.5</v>
      </c>
      <c r="J210" s="1">
        <f t="shared" si="7"/>
        <v>9.5327102803738323E-2</v>
      </c>
    </row>
    <row r="211" spans="1:10">
      <c r="A211" t="s">
        <v>65</v>
      </c>
      <c r="B211">
        <v>7</v>
      </c>
      <c r="C211" t="s">
        <v>22</v>
      </c>
      <c r="D211">
        <v>3</v>
      </c>
      <c r="E211">
        <v>6</v>
      </c>
      <c r="F211">
        <v>3.0001000000000002</v>
      </c>
      <c r="G211">
        <v>114</v>
      </c>
      <c r="H211">
        <v>1070</v>
      </c>
      <c r="I211" s="1">
        <f t="shared" si="6"/>
        <v>0.50001666666666666</v>
      </c>
      <c r="J211" s="1">
        <f t="shared" si="7"/>
        <v>0.10654205607476636</v>
      </c>
    </row>
    <row r="212" spans="1:10">
      <c r="A212" t="s">
        <v>65</v>
      </c>
      <c r="B212">
        <v>7</v>
      </c>
      <c r="C212" t="s">
        <v>20</v>
      </c>
      <c r="D212">
        <v>4</v>
      </c>
      <c r="E212">
        <v>6</v>
      </c>
      <c r="F212">
        <v>4</v>
      </c>
      <c r="G212">
        <v>126</v>
      </c>
      <c r="H212">
        <v>1070</v>
      </c>
      <c r="I212" s="1">
        <f t="shared" si="6"/>
        <v>0.66666666666666663</v>
      </c>
      <c r="J212" s="1">
        <f t="shared" si="7"/>
        <v>0.11775700934579439</v>
      </c>
    </row>
    <row r="213" spans="1:10">
      <c r="A213" t="s">
        <v>65</v>
      </c>
      <c r="B213">
        <v>7</v>
      </c>
      <c r="C213" t="s">
        <v>432</v>
      </c>
      <c r="D213">
        <v>5</v>
      </c>
      <c r="E213">
        <v>6</v>
      </c>
      <c r="F213">
        <v>6</v>
      </c>
      <c r="G213">
        <v>1058</v>
      </c>
      <c r="H213">
        <v>1070</v>
      </c>
      <c r="I213" s="1">
        <f t="shared" si="6"/>
        <v>1</v>
      </c>
      <c r="J213" s="1">
        <f t="shared" si="7"/>
        <v>0.98878504672897194</v>
      </c>
    </row>
    <row r="214" spans="1:10">
      <c r="A214" t="s">
        <v>65</v>
      </c>
      <c r="B214">
        <v>7</v>
      </c>
      <c r="C214" t="s">
        <v>433</v>
      </c>
      <c r="D214">
        <v>6</v>
      </c>
      <c r="E214">
        <v>6</v>
      </c>
      <c r="F214">
        <v>7</v>
      </c>
      <c r="G214">
        <v>1070</v>
      </c>
      <c r="H214">
        <v>1070</v>
      </c>
      <c r="I214" s="1">
        <f t="shared" si="6"/>
        <v>1.1666666666666667</v>
      </c>
      <c r="J214" s="1">
        <f t="shared" si="7"/>
        <v>1</v>
      </c>
    </row>
    <row r="215" spans="1:10">
      <c r="A215" t="s">
        <v>71</v>
      </c>
      <c r="B215">
        <v>3</v>
      </c>
      <c r="C215" t="s">
        <v>33</v>
      </c>
      <c r="D215">
        <v>1</v>
      </c>
      <c r="E215">
        <v>12</v>
      </c>
      <c r="F215">
        <v>2</v>
      </c>
      <c r="G215">
        <v>104</v>
      </c>
      <c r="H215">
        <v>2355</v>
      </c>
      <c r="I215" s="1">
        <f t="shared" si="6"/>
        <v>0.16666666666666666</v>
      </c>
      <c r="J215" s="1">
        <f t="shared" si="7"/>
        <v>4.4161358811040337E-2</v>
      </c>
    </row>
    <row r="216" spans="1:10">
      <c r="A216" t="s">
        <v>71</v>
      </c>
      <c r="B216">
        <v>3</v>
      </c>
      <c r="C216" t="s">
        <v>72</v>
      </c>
      <c r="D216">
        <v>2</v>
      </c>
      <c r="E216">
        <v>12</v>
      </c>
      <c r="F216">
        <v>9</v>
      </c>
      <c r="G216">
        <v>1695</v>
      </c>
      <c r="H216">
        <v>2355</v>
      </c>
      <c r="I216" s="1">
        <f t="shared" si="6"/>
        <v>0.75</v>
      </c>
      <c r="J216" s="1">
        <f t="shared" si="7"/>
        <v>0.71974522292993626</v>
      </c>
    </row>
    <row r="217" spans="1:10">
      <c r="A217" t="s">
        <v>71</v>
      </c>
      <c r="B217">
        <v>3</v>
      </c>
      <c r="C217" t="s">
        <v>73</v>
      </c>
      <c r="D217">
        <v>3</v>
      </c>
      <c r="E217">
        <v>12</v>
      </c>
      <c r="F217">
        <v>10</v>
      </c>
      <c r="G217">
        <v>2355</v>
      </c>
      <c r="H217">
        <v>2355</v>
      </c>
      <c r="I217" s="1">
        <f t="shared" si="6"/>
        <v>0.83333333333333337</v>
      </c>
      <c r="J217" s="1">
        <f t="shared" si="7"/>
        <v>1</v>
      </c>
    </row>
    <row r="218" spans="1:10">
      <c r="A218" t="s">
        <v>71</v>
      </c>
      <c r="B218">
        <v>7</v>
      </c>
      <c r="C218" t="s">
        <v>434</v>
      </c>
      <c r="D218">
        <v>1</v>
      </c>
      <c r="E218">
        <v>13</v>
      </c>
      <c r="F218">
        <v>3</v>
      </c>
      <c r="G218">
        <v>284</v>
      </c>
      <c r="H218">
        <v>3264</v>
      </c>
      <c r="I218" s="1">
        <f t="shared" si="6"/>
        <v>0.23076923076923078</v>
      </c>
      <c r="J218" s="1">
        <f t="shared" si="7"/>
        <v>8.7009803921568624E-2</v>
      </c>
    </row>
    <row r="219" spans="1:10">
      <c r="A219" t="s">
        <v>71</v>
      </c>
      <c r="B219">
        <v>7</v>
      </c>
      <c r="C219" t="s">
        <v>3</v>
      </c>
      <c r="D219">
        <v>2</v>
      </c>
      <c r="E219">
        <v>13</v>
      </c>
      <c r="F219">
        <v>3.0001000000000002</v>
      </c>
      <c r="G219">
        <v>387</v>
      </c>
      <c r="H219">
        <v>3264</v>
      </c>
      <c r="I219" s="1">
        <f t="shared" si="6"/>
        <v>0.2307769230769231</v>
      </c>
      <c r="J219" s="1">
        <f t="shared" si="7"/>
        <v>0.11856617647058823</v>
      </c>
    </row>
    <row r="220" spans="1:10">
      <c r="A220" t="s">
        <v>71</v>
      </c>
      <c r="B220">
        <v>7</v>
      </c>
      <c r="C220" t="s">
        <v>2</v>
      </c>
      <c r="D220">
        <v>3</v>
      </c>
      <c r="E220">
        <v>13</v>
      </c>
      <c r="F220">
        <v>3.0001997999999999</v>
      </c>
      <c r="G220">
        <v>393</v>
      </c>
      <c r="H220">
        <v>3264</v>
      </c>
      <c r="I220" s="1">
        <f t="shared" si="6"/>
        <v>0.23078459999999998</v>
      </c>
      <c r="J220" s="1">
        <f t="shared" si="7"/>
        <v>0.12040441176470588</v>
      </c>
    </row>
    <row r="221" spans="1:10">
      <c r="A221" t="s">
        <v>71</v>
      </c>
      <c r="B221">
        <v>7</v>
      </c>
      <c r="C221" t="s">
        <v>25</v>
      </c>
      <c r="D221">
        <v>4</v>
      </c>
      <c r="E221">
        <v>13</v>
      </c>
      <c r="F221">
        <v>4</v>
      </c>
      <c r="G221">
        <v>401</v>
      </c>
      <c r="H221">
        <v>3264</v>
      </c>
      <c r="I221" s="1">
        <f t="shared" si="6"/>
        <v>0.30769230769230771</v>
      </c>
      <c r="J221" s="1">
        <f t="shared" si="7"/>
        <v>0.12285539215686274</v>
      </c>
    </row>
    <row r="222" spans="1:10">
      <c r="A222" t="s">
        <v>71</v>
      </c>
      <c r="B222">
        <v>7</v>
      </c>
      <c r="C222" t="s">
        <v>26</v>
      </c>
      <c r="D222">
        <v>5</v>
      </c>
      <c r="E222">
        <v>13</v>
      </c>
      <c r="F222">
        <v>5</v>
      </c>
      <c r="G222">
        <v>910</v>
      </c>
      <c r="H222">
        <v>3264</v>
      </c>
      <c r="I222" s="1">
        <f t="shared" si="6"/>
        <v>0.38461538461538464</v>
      </c>
      <c r="J222" s="1">
        <f t="shared" si="7"/>
        <v>0.27879901960784315</v>
      </c>
    </row>
    <row r="223" spans="1:10">
      <c r="A223" t="s">
        <v>71</v>
      </c>
      <c r="B223">
        <v>7</v>
      </c>
      <c r="C223" t="s">
        <v>435</v>
      </c>
      <c r="D223">
        <v>6</v>
      </c>
      <c r="E223">
        <v>13</v>
      </c>
      <c r="F223">
        <v>6</v>
      </c>
      <c r="G223">
        <v>967</v>
      </c>
      <c r="H223">
        <v>3264</v>
      </c>
      <c r="I223" s="1">
        <f t="shared" si="6"/>
        <v>0.46153846153846156</v>
      </c>
      <c r="J223" s="1">
        <f t="shared" si="7"/>
        <v>0.29626225490196079</v>
      </c>
    </row>
    <row r="224" spans="1:10">
      <c r="A224" t="s">
        <v>71</v>
      </c>
      <c r="B224">
        <v>7</v>
      </c>
      <c r="C224" t="s">
        <v>436</v>
      </c>
      <c r="D224">
        <v>7</v>
      </c>
      <c r="E224">
        <v>13</v>
      </c>
      <c r="F224">
        <v>7</v>
      </c>
      <c r="G224">
        <v>1974</v>
      </c>
      <c r="H224">
        <v>3264</v>
      </c>
      <c r="I224" s="1">
        <f t="shared" si="6"/>
        <v>0.53846153846153844</v>
      </c>
      <c r="J224" s="1">
        <f t="shared" si="7"/>
        <v>0.60477941176470584</v>
      </c>
    </row>
    <row r="225" spans="1:10">
      <c r="A225" t="s">
        <v>71</v>
      </c>
      <c r="B225">
        <v>7</v>
      </c>
      <c r="C225" t="s">
        <v>437</v>
      </c>
      <c r="D225">
        <v>8</v>
      </c>
      <c r="E225">
        <v>13</v>
      </c>
      <c r="F225">
        <v>7.0000999999999998</v>
      </c>
      <c r="G225">
        <v>2038</v>
      </c>
      <c r="H225">
        <v>3264</v>
      </c>
      <c r="I225" s="1">
        <f t="shared" si="6"/>
        <v>0.5384692307692307</v>
      </c>
      <c r="J225" s="1">
        <f t="shared" si="7"/>
        <v>0.62438725490196079</v>
      </c>
    </row>
    <row r="226" spans="1:10">
      <c r="A226" t="s">
        <v>71</v>
      </c>
      <c r="B226">
        <v>7</v>
      </c>
      <c r="C226" t="s">
        <v>438</v>
      </c>
      <c r="D226">
        <v>9</v>
      </c>
      <c r="E226">
        <v>13</v>
      </c>
      <c r="F226">
        <v>11</v>
      </c>
      <c r="G226">
        <v>3212</v>
      </c>
      <c r="H226">
        <v>3264</v>
      </c>
      <c r="I226" s="1">
        <f t="shared" si="6"/>
        <v>0.84615384615384615</v>
      </c>
      <c r="J226" s="1">
        <f t="shared" si="7"/>
        <v>0.98406862745098034</v>
      </c>
    </row>
    <row r="227" spans="1:10">
      <c r="A227" t="s">
        <v>71</v>
      </c>
      <c r="B227">
        <v>7</v>
      </c>
      <c r="C227" t="s">
        <v>439</v>
      </c>
      <c r="D227">
        <v>10</v>
      </c>
      <c r="E227">
        <v>13</v>
      </c>
      <c r="F227">
        <v>11.0001</v>
      </c>
      <c r="G227">
        <v>3264</v>
      </c>
      <c r="H227">
        <v>3264</v>
      </c>
      <c r="I227" s="1">
        <f t="shared" si="6"/>
        <v>0.84616153846153841</v>
      </c>
      <c r="J227" s="1">
        <f t="shared" si="7"/>
        <v>1</v>
      </c>
    </row>
    <row r="228" spans="1:10">
      <c r="A228" t="s">
        <v>71</v>
      </c>
      <c r="B228">
        <v>8</v>
      </c>
      <c r="C228" t="s">
        <v>33</v>
      </c>
      <c r="D228">
        <v>1</v>
      </c>
      <c r="E228">
        <v>12</v>
      </c>
      <c r="F228">
        <v>3</v>
      </c>
      <c r="G228">
        <v>141</v>
      </c>
      <c r="H228">
        <v>3505</v>
      </c>
      <c r="I228" s="1">
        <f t="shared" si="6"/>
        <v>0.25</v>
      </c>
      <c r="J228" s="1">
        <f t="shared" si="7"/>
        <v>4.0228245363766048E-2</v>
      </c>
    </row>
    <row r="229" spans="1:10">
      <c r="A229" t="s">
        <v>71</v>
      </c>
      <c r="B229">
        <v>8</v>
      </c>
      <c r="C229" t="s">
        <v>35</v>
      </c>
      <c r="D229">
        <v>2</v>
      </c>
      <c r="E229">
        <v>12</v>
      </c>
      <c r="F229">
        <v>5</v>
      </c>
      <c r="G229">
        <v>588</v>
      </c>
      <c r="H229">
        <v>3505</v>
      </c>
      <c r="I229" s="1">
        <f t="shared" si="6"/>
        <v>0.41666666666666669</v>
      </c>
      <c r="J229" s="1">
        <f t="shared" si="7"/>
        <v>0.16776034236804566</v>
      </c>
    </row>
    <row r="230" spans="1:10">
      <c r="A230" t="s">
        <v>71</v>
      </c>
      <c r="B230">
        <v>8</v>
      </c>
      <c r="C230" t="s">
        <v>34</v>
      </c>
      <c r="D230">
        <v>3</v>
      </c>
      <c r="E230">
        <v>12</v>
      </c>
      <c r="F230">
        <v>5.0000999999999998</v>
      </c>
      <c r="G230">
        <v>616</v>
      </c>
      <c r="H230">
        <v>3505</v>
      </c>
      <c r="I230" s="1">
        <f t="shared" si="6"/>
        <v>0.41667499999999996</v>
      </c>
      <c r="J230" s="1">
        <f t="shared" si="7"/>
        <v>0.17574893009985734</v>
      </c>
    </row>
    <row r="231" spans="1:10">
      <c r="A231" t="s">
        <v>71</v>
      </c>
      <c r="B231">
        <v>8</v>
      </c>
      <c r="C231" t="s">
        <v>75</v>
      </c>
      <c r="D231">
        <v>4</v>
      </c>
      <c r="E231">
        <v>12</v>
      </c>
      <c r="F231">
        <v>6</v>
      </c>
      <c r="G231">
        <v>1315</v>
      </c>
      <c r="H231">
        <v>3505</v>
      </c>
      <c r="I231" s="1">
        <f t="shared" si="6"/>
        <v>0.5</v>
      </c>
      <c r="J231" s="1">
        <f t="shared" si="7"/>
        <v>0.37517831669044222</v>
      </c>
    </row>
    <row r="232" spans="1:10">
      <c r="A232" t="s">
        <v>71</v>
      </c>
      <c r="B232">
        <v>8</v>
      </c>
      <c r="C232" t="s">
        <v>76</v>
      </c>
      <c r="D232">
        <v>5</v>
      </c>
      <c r="E232">
        <v>12</v>
      </c>
      <c r="F232">
        <v>7</v>
      </c>
      <c r="G232">
        <v>1315</v>
      </c>
      <c r="H232">
        <v>3505</v>
      </c>
      <c r="I232" s="1">
        <f t="shared" si="6"/>
        <v>0.58333333333333337</v>
      </c>
      <c r="J232" s="1">
        <f t="shared" si="7"/>
        <v>0.37517831669044222</v>
      </c>
    </row>
    <row r="233" spans="1:10">
      <c r="A233" t="s">
        <v>71</v>
      </c>
      <c r="B233">
        <v>8</v>
      </c>
      <c r="C233" t="s">
        <v>79</v>
      </c>
      <c r="D233">
        <v>6</v>
      </c>
      <c r="E233">
        <v>12</v>
      </c>
      <c r="F233">
        <v>9</v>
      </c>
      <c r="G233">
        <v>2542</v>
      </c>
      <c r="H233">
        <v>3505</v>
      </c>
      <c r="I233" s="1">
        <f t="shared" si="6"/>
        <v>0.75</v>
      </c>
      <c r="J233" s="1">
        <f t="shared" si="7"/>
        <v>0.72524964336661912</v>
      </c>
    </row>
    <row r="234" spans="1:10">
      <c r="A234" t="s">
        <v>71</v>
      </c>
      <c r="B234">
        <v>8</v>
      </c>
      <c r="C234" t="s">
        <v>77</v>
      </c>
      <c r="D234">
        <v>7</v>
      </c>
      <c r="E234">
        <v>12</v>
      </c>
      <c r="F234">
        <v>9.0000999999999998</v>
      </c>
      <c r="G234">
        <v>2676</v>
      </c>
      <c r="H234">
        <v>3505</v>
      </c>
      <c r="I234" s="1">
        <f t="shared" si="6"/>
        <v>0.75000833333333328</v>
      </c>
      <c r="J234" s="1">
        <f t="shared" si="7"/>
        <v>0.76348074179743219</v>
      </c>
    </row>
    <row r="235" spans="1:10">
      <c r="A235" t="s">
        <v>71</v>
      </c>
      <c r="B235">
        <v>8</v>
      </c>
      <c r="C235" t="s">
        <v>80</v>
      </c>
      <c r="D235">
        <v>8</v>
      </c>
      <c r="E235">
        <v>12</v>
      </c>
      <c r="F235">
        <v>11</v>
      </c>
      <c r="G235">
        <v>2955</v>
      </c>
      <c r="H235">
        <v>3505</v>
      </c>
      <c r="I235" s="1">
        <f t="shared" si="6"/>
        <v>0.91666666666666663</v>
      </c>
      <c r="J235" s="1">
        <f t="shared" si="7"/>
        <v>0.84308131241084161</v>
      </c>
    </row>
    <row r="236" spans="1:10">
      <c r="A236" t="s">
        <v>71</v>
      </c>
      <c r="B236">
        <v>8</v>
      </c>
      <c r="C236" t="s">
        <v>440</v>
      </c>
      <c r="D236">
        <v>9</v>
      </c>
      <c r="E236">
        <v>12</v>
      </c>
      <c r="F236">
        <v>11.0001</v>
      </c>
      <c r="G236">
        <v>3254</v>
      </c>
      <c r="H236">
        <v>3505</v>
      </c>
      <c r="I236" s="1">
        <f t="shared" si="6"/>
        <v>0.91667500000000002</v>
      </c>
      <c r="J236" s="1">
        <f t="shared" si="7"/>
        <v>0.92838801711840224</v>
      </c>
    </row>
    <row r="237" spans="1:10">
      <c r="A237" t="s">
        <v>71</v>
      </c>
      <c r="B237">
        <v>8</v>
      </c>
      <c r="C237" t="s">
        <v>78</v>
      </c>
      <c r="D237">
        <v>10</v>
      </c>
      <c r="E237">
        <v>12</v>
      </c>
      <c r="F237">
        <v>11.0002</v>
      </c>
      <c r="G237">
        <v>3299</v>
      </c>
      <c r="H237">
        <v>3505</v>
      </c>
      <c r="I237" s="1">
        <f t="shared" si="6"/>
        <v>0.91668333333333329</v>
      </c>
      <c r="J237" s="1">
        <f t="shared" si="7"/>
        <v>0.94122681883024251</v>
      </c>
    </row>
    <row r="238" spans="1:10">
      <c r="A238" t="s">
        <v>71</v>
      </c>
      <c r="B238">
        <v>8</v>
      </c>
      <c r="C238" t="s">
        <v>81</v>
      </c>
      <c r="D238">
        <v>11</v>
      </c>
      <c r="E238">
        <v>12</v>
      </c>
      <c r="F238">
        <v>11.000299999999999</v>
      </c>
      <c r="G238">
        <v>3349</v>
      </c>
      <c r="H238">
        <v>3505</v>
      </c>
      <c r="I238" s="1">
        <f t="shared" si="6"/>
        <v>0.91669166666666657</v>
      </c>
      <c r="J238" s="1">
        <f t="shared" si="7"/>
        <v>0.95549215406562049</v>
      </c>
    </row>
    <row r="239" spans="1:10">
      <c r="A239" t="s">
        <v>71</v>
      </c>
      <c r="B239">
        <v>8</v>
      </c>
      <c r="C239" t="s">
        <v>441</v>
      </c>
      <c r="D239">
        <v>12</v>
      </c>
      <c r="E239">
        <v>12</v>
      </c>
      <c r="F239">
        <v>12</v>
      </c>
      <c r="G239">
        <v>3505</v>
      </c>
      <c r="H239">
        <v>3505</v>
      </c>
      <c r="I239" s="1">
        <f t="shared" si="6"/>
        <v>1</v>
      </c>
      <c r="J239" s="1">
        <f t="shared" si="7"/>
        <v>1</v>
      </c>
    </row>
    <row r="240" spans="1:10">
      <c r="A240" t="s">
        <v>71</v>
      </c>
      <c r="B240">
        <v>9</v>
      </c>
      <c r="C240" t="s">
        <v>33</v>
      </c>
      <c r="D240">
        <v>1</v>
      </c>
      <c r="E240">
        <v>9</v>
      </c>
      <c r="F240">
        <v>3</v>
      </c>
      <c r="G240">
        <v>91</v>
      </c>
      <c r="H240">
        <v>1675</v>
      </c>
      <c r="I240" s="1">
        <f t="shared" si="6"/>
        <v>0.33333333333333331</v>
      </c>
      <c r="J240" s="1">
        <f t="shared" si="7"/>
        <v>5.4328358208955221E-2</v>
      </c>
    </row>
    <row r="241" spans="1:10">
      <c r="A241" t="s">
        <v>71</v>
      </c>
      <c r="B241">
        <v>9</v>
      </c>
      <c r="C241" t="s">
        <v>2</v>
      </c>
      <c r="D241">
        <v>2</v>
      </c>
      <c r="E241">
        <v>9</v>
      </c>
      <c r="F241">
        <v>3.0001000000000002</v>
      </c>
      <c r="G241">
        <v>275</v>
      </c>
      <c r="H241">
        <v>1675</v>
      </c>
      <c r="I241" s="1">
        <f t="shared" si="6"/>
        <v>0.33334444444444444</v>
      </c>
      <c r="J241" s="1">
        <f t="shared" si="7"/>
        <v>0.16417910447761194</v>
      </c>
    </row>
    <row r="242" spans="1:10">
      <c r="A242" t="s">
        <v>71</v>
      </c>
      <c r="B242">
        <v>9</v>
      </c>
      <c r="C242" t="s">
        <v>442</v>
      </c>
      <c r="D242">
        <v>3</v>
      </c>
      <c r="E242">
        <v>9</v>
      </c>
      <c r="F242">
        <v>5</v>
      </c>
      <c r="G242">
        <v>887</v>
      </c>
      <c r="H242">
        <v>1675</v>
      </c>
      <c r="I242" s="1">
        <f t="shared" si="6"/>
        <v>0.55555555555555558</v>
      </c>
      <c r="J242" s="1">
        <f t="shared" si="7"/>
        <v>0.52955223880597013</v>
      </c>
    </row>
    <row r="243" spans="1:10">
      <c r="A243" t="s">
        <v>71</v>
      </c>
      <c r="B243">
        <v>9</v>
      </c>
      <c r="C243" t="s">
        <v>76</v>
      </c>
      <c r="D243">
        <v>4</v>
      </c>
      <c r="E243">
        <v>9</v>
      </c>
      <c r="F243">
        <v>9</v>
      </c>
      <c r="G243">
        <v>1675</v>
      </c>
      <c r="H243">
        <v>1675</v>
      </c>
      <c r="I243" s="1">
        <f t="shared" si="6"/>
        <v>1</v>
      </c>
      <c r="J243" s="1">
        <f t="shared" si="7"/>
        <v>1</v>
      </c>
    </row>
    <row r="244" spans="1:10">
      <c r="A244" t="s">
        <v>71</v>
      </c>
      <c r="B244">
        <v>10</v>
      </c>
      <c r="C244" t="s">
        <v>84</v>
      </c>
      <c r="D244">
        <v>1</v>
      </c>
      <c r="E244">
        <v>2</v>
      </c>
      <c r="F244">
        <v>2</v>
      </c>
      <c r="G244">
        <v>52</v>
      </c>
      <c r="H244">
        <v>141</v>
      </c>
      <c r="I244" s="1">
        <f t="shared" si="6"/>
        <v>1</v>
      </c>
      <c r="J244" s="1">
        <f t="shared" si="7"/>
        <v>0.36879432624113473</v>
      </c>
    </row>
    <row r="245" spans="1:10">
      <c r="A245" t="s">
        <v>71</v>
      </c>
      <c r="B245">
        <v>10</v>
      </c>
      <c r="C245" t="s">
        <v>82</v>
      </c>
      <c r="D245">
        <v>2</v>
      </c>
      <c r="E245">
        <v>2</v>
      </c>
      <c r="F245">
        <v>2.0001000000000002</v>
      </c>
      <c r="G245">
        <v>69</v>
      </c>
      <c r="H245">
        <v>141</v>
      </c>
      <c r="I245" s="1">
        <f t="shared" si="6"/>
        <v>1.0000500000000001</v>
      </c>
      <c r="J245" s="1">
        <f t="shared" si="7"/>
        <v>0.48936170212765956</v>
      </c>
    </row>
    <row r="246" spans="1:10">
      <c r="A246" t="s">
        <v>71</v>
      </c>
      <c r="B246">
        <v>10</v>
      </c>
      <c r="C246" t="s">
        <v>95</v>
      </c>
      <c r="D246">
        <v>3</v>
      </c>
      <c r="E246">
        <v>2</v>
      </c>
      <c r="F246">
        <v>2.0001997999999999</v>
      </c>
      <c r="G246">
        <v>102</v>
      </c>
      <c r="H246">
        <v>141</v>
      </c>
      <c r="I246" s="1">
        <f t="shared" si="6"/>
        <v>1.0000998999999999</v>
      </c>
      <c r="J246" s="1">
        <f t="shared" si="7"/>
        <v>0.72340425531914898</v>
      </c>
    </row>
    <row r="247" spans="1:10">
      <c r="A247" t="s">
        <v>71</v>
      </c>
      <c r="B247">
        <v>10</v>
      </c>
      <c r="C247" t="s">
        <v>92</v>
      </c>
      <c r="D247">
        <v>4</v>
      </c>
      <c r="E247">
        <v>2</v>
      </c>
      <c r="F247">
        <v>2.0002996999999998</v>
      </c>
      <c r="G247">
        <v>107</v>
      </c>
      <c r="H247">
        <v>141</v>
      </c>
      <c r="I247" s="1">
        <f t="shared" si="6"/>
        <v>1.0001498499999999</v>
      </c>
      <c r="J247" s="1">
        <f t="shared" si="7"/>
        <v>0.75886524822695034</v>
      </c>
    </row>
    <row r="248" spans="1:10">
      <c r="A248" t="s">
        <v>71</v>
      </c>
      <c r="B248">
        <v>10</v>
      </c>
      <c r="C248" t="s">
        <v>102</v>
      </c>
      <c r="D248">
        <v>5</v>
      </c>
      <c r="E248">
        <v>2</v>
      </c>
      <c r="F248">
        <v>2.0003996000000002</v>
      </c>
      <c r="G248">
        <v>120</v>
      </c>
      <c r="H248">
        <v>141</v>
      </c>
      <c r="I248" s="1">
        <f t="shared" si="6"/>
        <v>1.0001998000000001</v>
      </c>
      <c r="J248" s="1">
        <f t="shared" si="7"/>
        <v>0.85106382978723405</v>
      </c>
    </row>
    <row r="249" spans="1:10">
      <c r="A249" t="s">
        <v>71</v>
      </c>
      <c r="B249">
        <v>10</v>
      </c>
      <c r="C249" t="s">
        <v>106</v>
      </c>
      <c r="D249">
        <v>6</v>
      </c>
      <c r="E249">
        <v>2</v>
      </c>
      <c r="F249">
        <v>2.0004995000000001</v>
      </c>
      <c r="G249">
        <v>125</v>
      </c>
      <c r="H249">
        <v>141</v>
      </c>
      <c r="I249" s="1">
        <f t="shared" si="6"/>
        <v>1.00024975</v>
      </c>
      <c r="J249" s="1">
        <f t="shared" si="7"/>
        <v>0.88652482269503541</v>
      </c>
    </row>
    <row r="250" spans="1:10">
      <c r="A250" t="s">
        <v>71</v>
      </c>
      <c r="B250">
        <v>10</v>
      </c>
      <c r="C250" t="s">
        <v>105</v>
      </c>
      <c r="D250">
        <v>7</v>
      </c>
      <c r="E250">
        <v>2</v>
      </c>
      <c r="F250">
        <v>2.0005994</v>
      </c>
      <c r="G250">
        <v>125</v>
      </c>
      <c r="H250">
        <v>141</v>
      </c>
      <c r="I250" s="1">
        <f t="shared" si="6"/>
        <v>1.0002997</v>
      </c>
      <c r="J250" s="1">
        <f t="shared" si="7"/>
        <v>0.88652482269503541</v>
      </c>
    </row>
    <row r="251" spans="1:10">
      <c r="A251" t="s">
        <v>71</v>
      </c>
      <c r="B251">
        <v>10</v>
      </c>
      <c r="C251" t="s">
        <v>34</v>
      </c>
      <c r="D251">
        <v>8</v>
      </c>
      <c r="E251">
        <v>2</v>
      </c>
      <c r="F251">
        <v>2.0006993</v>
      </c>
      <c r="G251">
        <v>131</v>
      </c>
      <c r="H251">
        <v>141</v>
      </c>
      <c r="I251" s="1">
        <f t="shared" si="6"/>
        <v>1.00034965</v>
      </c>
      <c r="J251" s="1">
        <f t="shared" si="7"/>
        <v>0.92907801418439717</v>
      </c>
    </row>
    <row r="252" spans="1:10">
      <c r="A252" t="s">
        <v>71</v>
      </c>
      <c r="B252">
        <v>10</v>
      </c>
      <c r="C252" t="s">
        <v>110</v>
      </c>
      <c r="D252">
        <v>9</v>
      </c>
      <c r="E252">
        <v>2</v>
      </c>
      <c r="F252">
        <v>2.0007991999999999</v>
      </c>
      <c r="G252">
        <v>131</v>
      </c>
      <c r="H252">
        <v>141</v>
      </c>
      <c r="I252" s="1">
        <f t="shared" si="6"/>
        <v>1.0003995999999999</v>
      </c>
      <c r="J252" s="1">
        <f t="shared" si="7"/>
        <v>0.92907801418439717</v>
      </c>
    </row>
    <row r="253" spans="1:10">
      <c r="A253" t="s">
        <v>71</v>
      </c>
      <c r="B253">
        <v>10</v>
      </c>
      <c r="C253" t="s">
        <v>85</v>
      </c>
      <c r="D253">
        <v>10</v>
      </c>
      <c r="E253">
        <v>2</v>
      </c>
      <c r="F253">
        <v>3</v>
      </c>
      <c r="G253">
        <v>133</v>
      </c>
      <c r="H253">
        <v>141</v>
      </c>
      <c r="I253" s="1">
        <f t="shared" si="6"/>
        <v>1.5</v>
      </c>
      <c r="J253" s="1">
        <f t="shared" si="7"/>
        <v>0.94326241134751776</v>
      </c>
    </row>
    <row r="254" spans="1:10">
      <c r="A254" t="s">
        <v>71</v>
      </c>
      <c r="B254">
        <v>10</v>
      </c>
      <c r="C254" t="s">
        <v>86</v>
      </c>
      <c r="D254">
        <v>11</v>
      </c>
      <c r="E254">
        <v>2</v>
      </c>
      <c r="F254">
        <v>3.0001000000000002</v>
      </c>
      <c r="G254">
        <v>133</v>
      </c>
      <c r="H254">
        <v>141</v>
      </c>
      <c r="I254" s="1">
        <f t="shared" si="6"/>
        <v>1.5000500000000001</v>
      </c>
      <c r="J254" s="1">
        <f t="shared" si="7"/>
        <v>0.94326241134751776</v>
      </c>
    </row>
    <row r="255" spans="1:10">
      <c r="A255" t="s">
        <v>71</v>
      </c>
      <c r="B255">
        <v>10</v>
      </c>
      <c r="C255" t="s">
        <v>83</v>
      </c>
      <c r="D255">
        <v>12</v>
      </c>
      <c r="E255">
        <v>2</v>
      </c>
      <c r="F255">
        <v>3.0001997999999999</v>
      </c>
      <c r="G255">
        <v>133</v>
      </c>
      <c r="H255">
        <v>141</v>
      </c>
      <c r="I255" s="1">
        <f t="shared" si="6"/>
        <v>1.5000998999999999</v>
      </c>
      <c r="J255" s="1">
        <f t="shared" si="7"/>
        <v>0.94326241134751776</v>
      </c>
    </row>
    <row r="256" spans="1:10">
      <c r="A256" t="s">
        <v>71</v>
      </c>
      <c r="B256">
        <v>10</v>
      </c>
      <c r="C256" t="s">
        <v>87</v>
      </c>
      <c r="D256">
        <v>13</v>
      </c>
      <c r="E256">
        <v>2</v>
      </c>
      <c r="F256">
        <v>3.0002996999999998</v>
      </c>
      <c r="G256">
        <v>133</v>
      </c>
      <c r="H256">
        <v>141</v>
      </c>
      <c r="I256" s="1">
        <f t="shared" si="6"/>
        <v>1.5001498499999999</v>
      </c>
      <c r="J256" s="1">
        <f t="shared" si="7"/>
        <v>0.94326241134751776</v>
      </c>
    </row>
    <row r="257" spans="1:10">
      <c r="A257" t="s">
        <v>71</v>
      </c>
      <c r="B257">
        <v>10</v>
      </c>
      <c r="C257" t="s">
        <v>88</v>
      </c>
      <c r="D257">
        <v>14</v>
      </c>
      <c r="E257">
        <v>2</v>
      </c>
      <c r="F257">
        <v>3.0003996000000002</v>
      </c>
      <c r="G257">
        <v>133</v>
      </c>
      <c r="H257">
        <v>141</v>
      </c>
      <c r="I257" s="1">
        <f t="shared" si="6"/>
        <v>1.5001998000000001</v>
      </c>
      <c r="J257" s="1">
        <f t="shared" si="7"/>
        <v>0.94326241134751776</v>
      </c>
    </row>
    <row r="258" spans="1:10">
      <c r="A258" t="s">
        <v>71</v>
      </c>
      <c r="B258">
        <v>10</v>
      </c>
      <c r="C258" t="s">
        <v>90</v>
      </c>
      <c r="D258">
        <v>15</v>
      </c>
      <c r="E258">
        <v>2</v>
      </c>
      <c r="F258">
        <v>3.0004995000000001</v>
      </c>
      <c r="G258">
        <v>134</v>
      </c>
      <c r="H258">
        <v>141</v>
      </c>
      <c r="I258" s="1">
        <f t="shared" si="6"/>
        <v>1.50024975</v>
      </c>
      <c r="J258" s="1">
        <f t="shared" si="7"/>
        <v>0.95035460992907805</v>
      </c>
    </row>
    <row r="259" spans="1:10">
      <c r="A259" t="s">
        <v>71</v>
      </c>
      <c r="B259">
        <v>10</v>
      </c>
      <c r="C259" t="s">
        <v>91</v>
      </c>
      <c r="D259">
        <v>16</v>
      </c>
      <c r="E259">
        <v>2</v>
      </c>
      <c r="F259">
        <v>3.0005994</v>
      </c>
      <c r="G259">
        <v>134</v>
      </c>
      <c r="H259">
        <v>141</v>
      </c>
      <c r="I259" s="1">
        <f t="shared" ref="I259:I322" si="8">F259/E259</f>
        <v>1.5002997</v>
      </c>
      <c r="J259" s="1">
        <f t="shared" ref="J259:J322" si="9">G259/H259</f>
        <v>0.95035460992907805</v>
      </c>
    </row>
    <row r="260" spans="1:10">
      <c r="A260" t="s">
        <v>71</v>
      </c>
      <c r="B260">
        <v>10</v>
      </c>
      <c r="C260" t="s">
        <v>89</v>
      </c>
      <c r="D260">
        <v>17</v>
      </c>
      <c r="E260">
        <v>2</v>
      </c>
      <c r="F260">
        <v>3.0006993</v>
      </c>
      <c r="G260">
        <v>134</v>
      </c>
      <c r="H260">
        <v>141</v>
      </c>
      <c r="I260" s="1">
        <f t="shared" si="8"/>
        <v>1.50034965</v>
      </c>
      <c r="J260" s="1">
        <f t="shared" si="9"/>
        <v>0.95035460992907805</v>
      </c>
    </row>
    <row r="261" spans="1:10">
      <c r="A261" t="s">
        <v>71</v>
      </c>
      <c r="B261">
        <v>10</v>
      </c>
      <c r="C261" t="s">
        <v>93</v>
      </c>
      <c r="D261">
        <v>18</v>
      </c>
      <c r="E261">
        <v>2</v>
      </c>
      <c r="F261">
        <v>3.0007991999999999</v>
      </c>
      <c r="G261">
        <v>134</v>
      </c>
      <c r="H261">
        <v>141</v>
      </c>
      <c r="I261" s="1">
        <f t="shared" si="8"/>
        <v>1.5003995999999999</v>
      </c>
      <c r="J261" s="1">
        <f t="shared" si="9"/>
        <v>0.95035460992907805</v>
      </c>
    </row>
    <row r="262" spans="1:10">
      <c r="A262" t="s">
        <v>71</v>
      </c>
      <c r="B262">
        <v>10</v>
      </c>
      <c r="C262" t="s">
        <v>97</v>
      </c>
      <c r="D262">
        <v>19</v>
      </c>
      <c r="E262">
        <v>2</v>
      </c>
      <c r="F262">
        <v>3.000899</v>
      </c>
      <c r="G262">
        <v>134</v>
      </c>
      <c r="H262">
        <v>141</v>
      </c>
      <c r="I262" s="1">
        <f t="shared" si="8"/>
        <v>1.5004495</v>
      </c>
      <c r="J262" s="1">
        <f t="shared" si="9"/>
        <v>0.95035460992907805</v>
      </c>
    </row>
    <row r="263" spans="1:10">
      <c r="A263" t="s">
        <v>71</v>
      </c>
      <c r="B263">
        <v>10</v>
      </c>
      <c r="C263" t="s">
        <v>33</v>
      </c>
      <c r="D263">
        <v>20</v>
      </c>
      <c r="E263">
        <v>2</v>
      </c>
      <c r="F263">
        <v>3.0009990000000002</v>
      </c>
      <c r="G263">
        <v>139</v>
      </c>
      <c r="H263">
        <v>141</v>
      </c>
      <c r="I263" s="1">
        <f t="shared" si="8"/>
        <v>1.5004995000000001</v>
      </c>
      <c r="J263" s="1">
        <f t="shared" si="9"/>
        <v>0.98581560283687941</v>
      </c>
    </row>
    <row r="264" spans="1:10">
      <c r="A264" t="s">
        <v>71</v>
      </c>
      <c r="B264">
        <v>10</v>
      </c>
      <c r="C264" t="s">
        <v>94</v>
      </c>
      <c r="D264">
        <v>21</v>
      </c>
      <c r="E264">
        <v>2</v>
      </c>
      <c r="F264">
        <v>3.0010989000000001</v>
      </c>
      <c r="G264">
        <v>140</v>
      </c>
      <c r="H264">
        <v>141</v>
      </c>
      <c r="I264" s="1">
        <f t="shared" si="8"/>
        <v>1.5005494500000001</v>
      </c>
      <c r="J264" s="1">
        <f t="shared" si="9"/>
        <v>0.99290780141843971</v>
      </c>
    </row>
    <row r="265" spans="1:10">
      <c r="A265" t="s">
        <v>71</v>
      </c>
      <c r="B265">
        <v>10</v>
      </c>
      <c r="C265" t="s">
        <v>96</v>
      </c>
      <c r="D265">
        <v>22</v>
      </c>
      <c r="E265">
        <v>2</v>
      </c>
      <c r="F265">
        <v>3.0011988000000001</v>
      </c>
      <c r="G265">
        <v>140</v>
      </c>
      <c r="H265">
        <v>141</v>
      </c>
      <c r="I265" s="1">
        <f t="shared" si="8"/>
        <v>1.5005994</v>
      </c>
      <c r="J265" s="1">
        <f t="shared" si="9"/>
        <v>0.99290780141843971</v>
      </c>
    </row>
    <row r="266" spans="1:10">
      <c r="A266" t="s">
        <v>71</v>
      </c>
      <c r="B266">
        <v>10</v>
      </c>
      <c r="C266" t="s">
        <v>98</v>
      </c>
      <c r="D266">
        <v>23</v>
      </c>
      <c r="E266">
        <v>2</v>
      </c>
      <c r="F266">
        <v>3.0012987</v>
      </c>
      <c r="G266">
        <v>140</v>
      </c>
      <c r="H266">
        <v>141</v>
      </c>
      <c r="I266" s="1">
        <f t="shared" si="8"/>
        <v>1.50064935</v>
      </c>
      <c r="J266" s="1">
        <f t="shared" si="9"/>
        <v>0.99290780141843971</v>
      </c>
    </row>
    <row r="267" spans="1:10">
      <c r="A267" t="s">
        <v>71</v>
      </c>
      <c r="B267">
        <v>10</v>
      </c>
      <c r="C267" t="s">
        <v>99</v>
      </c>
      <c r="D267">
        <v>24</v>
      </c>
      <c r="E267">
        <v>2</v>
      </c>
      <c r="F267">
        <v>3.0013985999999999</v>
      </c>
      <c r="G267">
        <v>140</v>
      </c>
      <c r="H267">
        <v>141</v>
      </c>
      <c r="I267" s="1">
        <f t="shared" si="8"/>
        <v>1.5006993</v>
      </c>
      <c r="J267" s="1">
        <f t="shared" si="9"/>
        <v>0.99290780141843971</v>
      </c>
    </row>
    <row r="268" spans="1:10">
      <c r="A268" t="s">
        <v>71</v>
      </c>
      <c r="B268">
        <v>10</v>
      </c>
      <c r="C268" t="s">
        <v>100</v>
      </c>
      <c r="D268">
        <v>25</v>
      </c>
      <c r="E268">
        <v>2</v>
      </c>
      <c r="F268">
        <v>3.0014984999999998</v>
      </c>
      <c r="G268">
        <v>140</v>
      </c>
      <c r="H268">
        <v>141</v>
      </c>
      <c r="I268" s="1">
        <f t="shared" si="8"/>
        <v>1.5007492499999999</v>
      </c>
      <c r="J268" s="1">
        <f t="shared" si="9"/>
        <v>0.99290780141843971</v>
      </c>
    </row>
    <row r="269" spans="1:10">
      <c r="A269" t="s">
        <v>71</v>
      </c>
      <c r="B269">
        <v>10</v>
      </c>
      <c r="C269" t="s">
        <v>104</v>
      </c>
      <c r="D269">
        <v>26</v>
      </c>
      <c r="E269">
        <v>2</v>
      </c>
      <c r="F269">
        <v>3.0015984000000002</v>
      </c>
      <c r="G269">
        <v>140</v>
      </c>
      <c r="H269">
        <v>141</v>
      </c>
      <c r="I269" s="1">
        <f t="shared" si="8"/>
        <v>1.5007992000000001</v>
      </c>
      <c r="J269" s="1">
        <f t="shared" si="9"/>
        <v>0.99290780141843971</v>
      </c>
    </row>
    <row r="270" spans="1:10">
      <c r="A270" t="s">
        <v>71</v>
      </c>
      <c r="B270">
        <v>10</v>
      </c>
      <c r="C270" t="s">
        <v>101</v>
      </c>
      <c r="D270">
        <v>27</v>
      </c>
      <c r="E270">
        <v>2</v>
      </c>
      <c r="F270">
        <v>3.0016983000000002</v>
      </c>
      <c r="G270">
        <v>140</v>
      </c>
      <c r="H270">
        <v>141</v>
      </c>
      <c r="I270" s="1">
        <f t="shared" si="8"/>
        <v>1.5008491500000001</v>
      </c>
      <c r="J270" s="1">
        <f t="shared" si="9"/>
        <v>0.99290780141843971</v>
      </c>
    </row>
    <row r="271" spans="1:10">
      <c r="A271" t="s">
        <v>71</v>
      </c>
      <c r="B271">
        <v>10</v>
      </c>
      <c r="C271" t="s">
        <v>103</v>
      </c>
      <c r="D271">
        <v>28</v>
      </c>
      <c r="E271">
        <v>2</v>
      </c>
      <c r="F271">
        <v>3.0017982000000001</v>
      </c>
      <c r="G271">
        <v>141</v>
      </c>
      <c r="H271">
        <v>141</v>
      </c>
      <c r="I271" s="1">
        <f t="shared" si="8"/>
        <v>1.5008991</v>
      </c>
      <c r="J271" s="1">
        <f t="shared" si="9"/>
        <v>1</v>
      </c>
    </row>
    <row r="272" spans="1:10">
      <c r="A272" t="s">
        <v>71</v>
      </c>
      <c r="B272">
        <v>10</v>
      </c>
      <c r="C272" t="s">
        <v>108</v>
      </c>
      <c r="D272">
        <v>29</v>
      </c>
      <c r="E272">
        <v>2</v>
      </c>
      <c r="F272">
        <v>3.0018980000000002</v>
      </c>
      <c r="G272">
        <v>141</v>
      </c>
      <c r="H272">
        <v>141</v>
      </c>
      <c r="I272" s="1">
        <f t="shared" si="8"/>
        <v>1.5009490000000001</v>
      </c>
      <c r="J272" s="1">
        <f t="shared" si="9"/>
        <v>1</v>
      </c>
    </row>
    <row r="273" spans="1:10">
      <c r="A273" t="s">
        <v>71</v>
      </c>
      <c r="B273">
        <v>10</v>
      </c>
      <c r="C273" t="s">
        <v>107</v>
      </c>
      <c r="D273">
        <v>30</v>
      </c>
      <c r="E273">
        <v>2</v>
      </c>
      <c r="F273">
        <v>3.0019979999999999</v>
      </c>
      <c r="G273">
        <v>141</v>
      </c>
      <c r="H273">
        <v>141</v>
      </c>
      <c r="I273" s="1">
        <f t="shared" si="8"/>
        <v>1.500999</v>
      </c>
      <c r="J273" s="1">
        <f t="shared" si="9"/>
        <v>1</v>
      </c>
    </row>
    <row r="274" spans="1:10">
      <c r="A274" t="s">
        <v>71</v>
      </c>
      <c r="B274">
        <v>10</v>
      </c>
      <c r="C274" t="s">
        <v>109</v>
      </c>
      <c r="D274">
        <v>31</v>
      </c>
      <c r="E274">
        <v>2</v>
      </c>
      <c r="F274">
        <v>3.0020978</v>
      </c>
      <c r="G274">
        <v>141</v>
      </c>
      <c r="H274">
        <v>141</v>
      </c>
      <c r="I274" s="1">
        <f t="shared" si="8"/>
        <v>1.5010489</v>
      </c>
      <c r="J274" s="1">
        <f t="shared" si="9"/>
        <v>1</v>
      </c>
    </row>
    <row r="275" spans="1:10">
      <c r="A275" t="s">
        <v>71</v>
      </c>
      <c r="B275">
        <v>10</v>
      </c>
      <c r="C275" t="s">
        <v>111</v>
      </c>
      <c r="D275">
        <v>32</v>
      </c>
      <c r="E275">
        <v>2</v>
      </c>
      <c r="F275">
        <v>4</v>
      </c>
      <c r="G275">
        <v>141</v>
      </c>
      <c r="H275">
        <v>141</v>
      </c>
      <c r="I275" s="1">
        <f t="shared" si="8"/>
        <v>2</v>
      </c>
      <c r="J275" s="1">
        <f t="shared" si="9"/>
        <v>1</v>
      </c>
    </row>
    <row r="276" spans="1:10">
      <c r="A276" t="s">
        <v>112</v>
      </c>
      <c r="B276">
        <v>3</v>
      </c>
      <c r="C276" t="s">
        <v>57</v>
      </c>
      <c r="D276">
        <v>1</v>
      </c>
      <c r="E276">
        <v>57</v>
      </c>
      <c r="F276">
        <v>52</v>
      </c>
      <c r="G276">
        <v>8340</v>
      </c>
      <c r="H276">
        <v>8642</v>
      </c>
      <c r="I276" s="1">
        <f t="shared" si="8"/>
        <v>0.91228070175438591</v>
      </c>
      <c r="J276" s="1">
        <f t="shared" si="9"/>
        <v>0.96505438555889844</v>
      </c>
    </row>
    <row r="277" spans="1:10">
      <c r="A277" t="s">
        <v>112</v>
      </c>
      <c r="B277">
        <v>3</v>
      </c>
      <c r="C277" t="s">
        <v>36</v>
      </c>
      <c r="D277">
        <v>2</v>
      </c>
      <c r="E277">
        <v>57</v>
      </c>
      <c r="F277">
        <v>52.000100000000003</v>
      </c>
      <c r="G277">
        <v>8642</v>
      </c>
      <c r="H277">
        <v>8642</v>
      </c>
      <c r="I277" s="1">
        <f t="shared" si="8"/>
        <v>0.91228245614035097</v>
      </c>
      <c r="J277" s="1">
        <f t="shared" si="9"/>
        <v>1</v>
      </c>
    </row>
    <row r="278" spans="1:10">
      <c r="A278" t="s">
        <v>303</v>
      </c>
      <c r="B278">
        <v>2</v>
      </c>
      <c r="C278" t="s">
        <v>36</v>
      </c>
      <c r="D278">
        <v>1</v>
      </c>
      <c r="E278">
        <v>264</v>
      </c>
      <c r="F278">
        <v>5</v>
      </c>
      <c r="G278">
        <v>385</v>
      </c>
      <c r="H278">
        <v>27732</v>
      </c>
      <c r="I278" s="1">
        <f t="shared" si="8"/>
        <v>1.893939393939394E-2</v>
      </c>
      <c r="J278" s="1">
        <f t="shared" si="9"/>
        <v>1.3882878984566565E-2</v>
      </c>
    </row>
    <row r="279" spans="1:10">
      <c r="A279" t="s">
        <v>303</v>
      </c>
      <c r="B279">
        <v>2</v>
      </c>
      <c r="C279" t="s">
        <v>443</v>
      </c>
      <c r="D279">
        <v>2</v>
      </c>
      <c r="E279">
        <v>264</v>
      </c>
      <c r="F279">
        <v>11</v>
      </c>
      <c r="G279">
        <v>1624</v>
      </c>
      <c r="H279">
        <v>27732</v>
      </c>
      <c r="I279" s="1">
        <f t="shared" si="8"/>
        <v>4.1666666666666664E-2</v>
      </c>
      <c r="J279" s="1">
        <f t="shared" si="9"/>
        <v>5.8560507716717149E-2</v>
      </c>
    </row>
    <row r="280" spans="1:10">
      <c r="A280" t="s">
        <v>303</v>
      </c>
      <c r="B280">
        <v>2</v>
      </c>
      <c r="C280" t="s">
        <v>444</v>
      </c>
      <c r="D280">
        <v>3</v>
      </c>
      <c r="E280">
        <v>264</v>
      </c>
      <c r="F280">
        <v>249</v>
      </c>
      <c r="G280">
        <v>27732</v>
      </c>
      <c r="H280">
        <v>27732</v>
      </c>
      <c r="I280" s="1">
        <f t="shared" si="8"/>
        <v>0.94318181818181823</v>
      </c>
      <c r="J280" s="1">
        <f t="shared" si="9"/>
        <v>1</v>
      </c>
    </row>
    <row r="281" spans="1:10">
      <c r="A281" t="s">
        <v>113</v>
      </c>
      <c r="B281">
        <v>2</v>
      </c>
      <c r="C281" t="s">
        <v>116</v>
      </c>
      <c r="D281">
        <v>1</v>
      </c>
      <c r="E281">
        <v>9</v>
      </c>
      <c r="F281">
        <v>3</v>
      </c>
      <c r="G281">
        <v>360</v>
      </c>
      <c r="H281">
        <v>2256</v>
      </c>
      <c r="I281" s="1">
        <f t="shared" si="8"/>
        <v>0.33333333333333331</v>
      </c>
      <c r="J281" s="1">
        <f t="shared" si="9"/>
        <v>0.15957446808510639</v>
      </c>
    </row>
    <row r="282" spans="1:10">
      <c r="A282" t="s">
        <v>113</v>
      </c>
      <c r="B282">
        <v>2</v>
      </c>
      <c r="C282" t="s">
        <v>114</v>
      </c>
      <c r="D282">
        <v>2</v>
      </c>
      <c r="E282">
        <v>9</v>
      </c>
      <c r="F282">
        <v>3.0001000000000002</v>
      </c>
      <c r="G282">
        <v>459</v>
      </c>
      <c r="H282">
        <v>2256</v>
      </c>
      <c r="I282" s="1">
        <f t="shared" si="8"/>
        <v>0.33334444444444444</v>
      </c>
      <c r="J282" s="1">
        <f t="shared" si="9"/>
        <v>0.20345744680851063</v>
      </c>
    </row>
    <row r="283" spans="1:10">
      <c r="A283" t="s">
        <v>113</v>
      </c>
      <c r="B283">
        <v>2</v>
      </c>
      <c r="C283" t="s">
        <v>64</v>
      </c>
      <c r="D283">
        <v>3</v>
      </c>
      <c r="E283">
        <v>9</v>
      </c>
      <c r="F283">
        <v>4</v>
      </c>
      <c r="G283">
        <v>690</v>
      </c>
      <c r="H283">
        <v>2256</v>
      </c>
      <c r="I283" s="1">
        <f t="shared" si="8"/>
        <v>0.44444444444444442</v>
      </c>
      <c r="J283" s="1">
        <f t="shared" si="9"/>
        <v>0.30585106382978722</v>
      </c>
    </row>
    <row r="284" spans="1:10">
      <c r="A284" t="s">
        <v>113</v>
      </c>
      <c r="B284">
        <v>2</v>
      </c>
      <c r="C284" t="s">
        <v>129</v>
      </c>
      <c r="D284">
        <v>4</v>
      </c>
      <c r="E284">
        <v>9</v>
      </c>
      <c r="F284">
        <v>4.0000999999999998</v>
      </c>
      <c r="G284">
        <v>764</v>
      </c>
      <c r="H284">
        <v>2256</v>
      </c>
      <c r="I284" s="1">
        <f t="shared" si="8"/>
        <v>0.44445555555555555</v>
      </c>
      <c r="J284" s="1">
        <f t="shared" si="9"/>
        <v>0.33865248226950356</v>
      </c>
    </row>
    <row r="285" spans="1:10">
      <c r="A285" t="s">
        <v>113</v>
      </c>
      <c r="B285">
        <v>2</v>
      </c>
      <c r="C285" t="s">
        <v>115</v>
      </c>
      <c r="D285">
        <v>5</v>
      </c>
      <c r="E285">
        <v>9</v>
      </c>
      <c r="F285">
        <v>4.0002003000000004</v>
      </c>
      <c r="G285">
        <v>998</v>
      </c>
      <c r="H285">
        <v>2256</v>
      </c>
      <c r="I285" s="1">
        <f t="shared" si="8"/>
        <v>0.44446670000000005</v>
      </c>
      <c r="J285" s="1">
        <f t="shared" si="9"/>
        <v>0.44237588652482268</v>
      </c>
    </row>
    <row r="286" spans="1:10">
      <c r="A286" t="s">
        <v>113</v>
      </c>
      <c r="B286">
        <v>2</v>
      </c>
      <c r="C286" t="s">
        <v>117</v>
      </c>
      <c r="D286">
        <v>6</v>
      </c>
      <c r="E286">
        <v>9</v>
      </c>
      <c r="F286">
        <v>4.0003004000000004</v>
      </c>
      <c r="G286">
        <v>1397</v>
      </c>
      <c r="H286">
        <v>2256</v>
      </c>
      <c r="I286" s="1">
        <f t="shared" si="8"/>
        <v>0.44447782222222226</v>
      </c>
      <c r="J286" s="1">
        <f t="shared" si="9"/>
        <v>0.61923758865248224</v>
      </c>
    </row>
    <row r="287" spans="1:10">
      <c r="A287" t="s">
        <v>113</v>
      </c>
      <c r="B287">
        <v>2</v>
      </c>
      <c r="C287" t="s">
        <v>118</v>
      </c>
      <c r="D287">
        <v>7</v>
      </c>
      <c r="E287">
        <v>9</v>
      </c>
      <c r="F287">
        <v>4.0004004999999996</v>
      </c>
      <c r="G287">
        <v>1656</v>
      </c>
      <c r="H287">
        <v>2256</v>
      </c>
      <c r="I287" s="1">
        <f t="shared" si="8"/>
        <v>0.44448894444444442</v>
      </c>
      <c r="J287" s="1">
        <f t="shared" si="9"/>
        <v>0.73404255319148937</v>
      </c>
    </row>
    <row r="288" spans="1:10">
      <c r="A288" t="s">
        <v>113</v>
      </c>
      <c r="B288">
        <v>2</v>
      </c>
      <c r="C288" t="s">
        <v>119</v>
      </c>
      <c r="D288">
        <v>8</v>
      </c>
      <c r="E288">
        <v>9</v>
      </c>
      <c r="F288">
        <v>5</v>
      </c>
      <c r="G288">
        <v>2256</v>
      </c>
      <c r="H288">
        <v>2256</v>
      </c>
      <c r="I288" s="1">
        <f t="shared" si="8"/>
        <v>0.55555555555555558</v>
      </c>
      <c r="J288" s="1">
        <f t="shared" si="9"/>
        <v>1</v>
      </c>
    </row>
    <row r="289" spans="1:10">
      <c r="A289" t="s">
        <v>113</v>
      </c>
      <c r="B289">
        <v>3</v>
      </c>
      <c r="C289" t="s">
        <v>120</v>
      </c>
      <c r="D289">
        <v>1</v>
      </c>
      <c r="E289">
        <v>51</v>
      </c>
      <c r="F289">
        <v>4</v>
      </c>
      <c r="G289">
        <v>495</v>
      </c>
      <c r="H289">
        <v>5303</v>
      </c>
      <c r="I289" s="1">
        <f t="shared" si="8"/>
        <v>7.8431372549019607E-2</v>
      </c>
      <c r="J289" s="1">
        <f t="shared" si="9"/>
        <v>9.3343390533660198E-2</v>
      </c>
    </row>
    <row r="290" spans="1:10">
      <c r="A290" t="s">
        <v>113</v>
      </c>
      <c r="B290">
        <v>3</v>
      </c>
      <c r="C290" t="s">
        <v>70</v>
      </c>
      <c r="D290">
        <v>2</v>
      </c>
      <c r="E290">
        <v>51</v>
      </c>
      <c r="F290">
        <v>4.0000999999999998</v>
      </c>
      <c r="G290">
        <v>511</v>
      </c>
      <c r="H290">
        <v>5303</v>
      </c>
      <c r="I290" s="1">
        <f t="shared" si="8"/>
        <v>7.8433333333333327E-2</v>
      </c>
      <c r="J290" s="1">
        <f t="shared" si="9"/>
        <v>9.6360550631717889E-2</v>
      </c>
    </row>
    <row r="291" spans="1:10">
      <c r="A291" t="s">
        <v>113</v>
      </c>
      <c r="B291">
        <v>3</v>
      </c>
      <c r="C291" t="s">
        <v>121</v>
      </c>
      <c r="D291">
        <v>3</v>
      </c>
      <c r="E291">
        <v>51</v>
      </c>
      <c r="F291">
        <v>7</v>
      </c>
      <c r="G291">
        <v>965</v>
      </c>
      <c r="H291">
        <v>5303</v>
      </c>
      <c r="I291" s="1">
        <f t="shared" si="8"/>
        <v>0.13725490196078433</v>
      </c>
      <c r="J291" s="1">
        <f t="shared" si="9"/>
        <v>0.18197246841410522</v>
      </c>
    </row>
    <row r="292" spans="1:10">
      <c r="A292" t="s">
        <v>113</v>
      </c>
      <c r="B292">
        <v>3</v>
      </c>
      <c r="C292" t="s">
        <v>122</v>
      </c>
      <c r="D292">
        <v>4</v>
      </c>
      <c r="E292">
        <v>51</v>
      </c>
      <c r="F292">
        <v>13</v>
      </c>
      <c r="G292">
        <v>2225</v>
      </c>
      <c r="H292">
        <v>5303</v>
      </c>
      <c r="I292" s="1">
        <f t="shared" si="8"/>
        <v>0.25490196078431371</v>
      </c>
      <c r="J292" s="1">
        <f t="shared" si="9"/>
        <v>0.41957382613614935</v>
      </c>
    </row>
    <row r="293" spans="1:10">
      <c r="A293" t="s">
        <v>113</v>
      </c>
      <c r="B293">
        <v>3</v>
      </c>
      <c r="C293" t="s">
        <v>124</v>
      </c>
      <c r="D293">
        <v>5</v>
      </c>
      <c r="E293">
        <v>51</v>
      </c>
      <c r="F293">
        <v>14</v>
      </c>
      <c r="G293">
        <v>4155</v>
      </c>
      <c r="H293">
        <v>5303</v>
      </c>
      <c r="I293" s="1">
        <f t="shared" si="8"/>
        <v>0.27450980392156865</v>
      </c>
      <c r="J293" s="1">
        <f t="shared" si="9"/>
        <v>0.78351876296435985</v>
      </c>
    </row>
    <row r="294" spans="1:10">
      <c r="A294" t="s">
        <v>113</v>
      </c>
      <c r="B294">
        <v>3</v>
      </c>
      <c r="C294" t="s">
        <v>123</v>
      </c>
      <c r="D294">
        <v>6</v>
      </c>
      <c r="E294">
        <v>51</v>
      </c>
      <c r="F294">
        <v>15</v>
      </c>
      <c r="G294">
        <v>5303</v>
      </c>
      <c r="H294">
        <v>5303</v>
      </c>
      <c r="I294" s="1">
        <f t="shared" si="8"/>
        <v>0.29411764705882354</v>
      </c>
      <c r="J294" s="1">
        <f t="shared" si="9"/>
        <v>1</v>
      </c>
    </row>
    <row r="295" spans="1:10">
      <c r="A295" t="s">
        <v>113</v>
      </c>
      <c r="B295">
        <v>4</v>
      </c>
      <c r="C295" t="s">
        <v>70</v>
      </c>
      <c r="D295">
        <v>1</v>
      </c>
      <c r="E295">
        <v>53</v>
      </c>
      <c r="F295">
        <v>4</v>
      </c>
      <c r="G295">
        <v>272</v>
      </c>
      <c r="H295">
        <v>8599</v>
      </c>
      <c r="I295" s="1">
        <f t="shared" si="8"/>
        <v>7.5471698113207544E-2</v>
      </c>
      <c r="J295" s="1">
        <f t="shared" si="9"/>
        <v>3.1631585068031168E-2</v>
      </c>
    </row>
    <row r="296" spans="1:10">
      <c r="A296" t="s">
        <v>113</v>
      </c>
      <c r="B296">
        <v>4</v>
      </c>
      <c r="C296" t="s">
        <v>125</v>
      </c>
      <c r="D296">
        <v>2</v>
      </c>
      <c r="E296">
        <v>53</v>
      </c>
      <c r="F296">
        <v>5</v>
      </c>
      <c r="G296">
        <v>544</v>
      </c>
      <c r="H296">
        <v>8599</v>
      </c>
      <c r="I296" s="1">
        <f t="shared" si="8"/>
        <v>9.4339622641509441E-2</v>
      </c>
      <c r="J296" s="1">
        <f t="shared" si="9"/>
        <v>6.3263170136062336E-2</v>
      </c>
    </row>
    <row r="297" spans="1:10">
      <c r="A297" t="s">
        <v>113</v>
      </c>
      <c r="B297">
        <v>4</v>
      </c>
      <c r="C297" t="s">
        <v>121</v>
      </c>
      <c r="D297">
        <v>3</v>
      </c>
      <c r="E297">
        <v>53</v>
      </c>
      <c r="F297">
        <v>6</v>
      </c>
      <c r="G297">
        <v>1020</v>
      </c>
      <c r="H297">
        <v>8599</v>
      </c>
      <c r="I297" s="1">
        <f t="shared" si="8"/>
        <v>0.11320754716981132</v>
      </c>
      <c r="J297" s="1">
        <f t="shared" si="9"/>
        <v>0.11861844400511687</v>
      </c>
    </row>
    <row r="298" spans="1:10">
      <c r="A298" t="s">
        <v>113</v>
      </c>
      <c r="B298">
        <v>4</v>
      </c>
      <c r="C298" t="s">
        <v>126</v>
      </c>
      <c r="D298">
        <v>4</v>
      </c>
      <c r="E298">
        <v>53</v>
      </c>
      <c r="F298">
        <v>8</v>
      </c>
      <c r="G298">
        <v>1823</v>
      </c>
      <c r="H298">
        <v>8599</v>
      </c>
      <c r="I298" s="1">
        <f t="shared" si="8"/>
        <v>0.15094339622641509</v>
      </c>
      <c r="J298" s="1">
        <f t="shared" si="9"/>
        <v>0.21200139551110594</v>
      </c>
    </row>
    <row r="299" spans="1:10">
      <c r="A299" t="s">
        <v>113</v>
      </c>
      <c r="B299">
        <v>4</v>
      </c>
      <c r="C299" t="s">
        <v>127</v>
      </c>
      <c r="D299">
        <v>5</v>
      </c>
      <c r="E299">
        <v>53</v>
      </c>
      <c r="F299">
        <v>9</v>
      </c>
      <c r="G299">
        <v>2986</v>
      </c>
      <c r="H299">
        <v>8599</v>
      </c>
      <c r="I299" s="1">
        <f t="shared" si="8"/>
        <v>0.16981132075471697</v>
      </c>
      <c r="J299" s="1">
        <f t="shared" si="9"/>
        <v>0.34724968019537156</v>
      </c>
    </row>
    <row r="300" spans="1:10">
      <c r="A300" t="s">
        <v>113</v>
      </c>
      <c r="B300">
        <v>4</v>
      </c>
      <c r="C300" t="s">
        <v>128</v>
      </c>
      <c r="D300">
        <v>6</v>
      </c>
      <c r="E300">
        <v>53</v>
      </c>
      <c r="F300">
        <v>10</v>
      </c>
      <c r="G300">
        <v>4639</v>
      </c>
      <c r="H300">
        <v>8599</v>
      </c>
      <c r="I300" s="1">
        <f t="shared" si="8"/>
        <v>0.18867924528301888</v>
      </c>
      <c r="J300" s="1">
        <f t="shared" si="9"/>
        <v>0.53948133503895801</v>
      </c>
    </row>
    <row r="301" spans="1:10">
      <c r="A301" t="s">
        <v>113</v>
      </c>
      <c r="B301">
        <v>4</v>
      </c>
      <c r="C301" t="s">
        <v>122</v>
      </c>
      <c r="D301">
        <v>7</v>
      </c>
      <c r="E301">
        <v>53</v>
      </c>
      <c r="F301">
        <v>12</v>
      </c>
      <c r="G301">
        <v>5864</v>
      </c>
      <c r="H301">
        <v>8599</v>
      </c>
      <c r="I301" s="1">
        <f t="shared" si="8"/>
        <v>0.22641509433962265</v>
      </c>
      <c r="J301" s="1">
        <f t="shared" si="9"/>
        <v>0.68193976043726012</v>
      </c>
    </row>
    <row r="302" spans="1:10">
      <c r="A302" t="s">
        <v>113</v>
      </c>
      <c r="B302">
        <v>4</v>
      </c>
      <c r="C302" t="s">
        <v>124</v>
      </c>
      <c r="D302">
        <v>8</v>
      </c>
      <c r="E302">
        <v>53</v>
      </c>
      <c r="F302">
        <v>13</v>
      </c>
      <c r="G302">
        <v>7486</v>
      </c>
      <c r="H302">
        <v>8599</v>
      </c>
      <c r="I302" s="1">
        <f t="shared" si="8"/>
        <v>0.24528301886792453</v>
      </c>
      <c r="J302" s="1">
        <f t="shared" si="9"/>
        <v>0.87056634492382834</v>
      </c>
    </row>
    <row r="303" spans="1:10">
      <c r="A303" t="s">
        <v>113</v>
      </c>
      <c r="B303">
        <v>4</v>
      </c>
      <c r="C303" t="s">
        <v>123</v>
      </c>
      <c r="D303">
        <v>9</v>
      </c>
      <c r="E303">
        <v>53</v>
      </c>
      <c r="F303">
        <v>14</v>
      </c>
      <c r="G303">
        <v>8599</v>
      </c>
      <c r="H303">
        <v>8599</v>
      </c>
      <c r="I303" s="1">
        <f t="shared" si="8"/>
        <v>0.26415094339622641</v>
      </c>
      <c r="J303" s="1">
        <f t="shared" si="9"/>
        <v>1</v>
      </c>
    </row>
    <row r="304" spans="1:10">
      <c r="A304" t="s">
        <v>113</v>
      </c>
      <c r="B304">
        <v>6</v>
      </c>
      <c r="C304" t="s">
        <v>70</v>
      </c>
      <c r="D304">
        <v>1</v>
      </c>
      <c r="E304">
        <v>3</v>
      </c>
      <c r="F304">
        <v>2</v>
      </c>
      <c r="G304">
        <v>178</v>
      </c>
      <c r="H304">
        <v>329</v>
      </c>
      <c r="I304" s="1">
        <f t="shared" si="8"/>
        <v>0.66666666666666663</v>
      </c>
      <c r="J304" s="1">
        <f t="shared" si="9"/>
        <v>0.54103343465045595</v>
      </c>
    </row>
    <row r="305" spans="1:10">
      <c r="A305" t="s">
        <v>113</v>
      </c>
      <c r="B305">
        <v>6</v>
      </c>
      <c r="C305" t="s">
        <v>69</v>
      </c>
      <c r="D305">
        <v>2</v>
      </c>
      <c r="E305">
        <v>3</v>
      </c>
      <c r="F305">
        <v>4</v>
      </c>
      <c r="G305">
        <v>329</v>
      </c>
      <c r="H305">
        <v>329</v>
      </c>
      <c r="I305" s="1">
        <f t="shared" si="8"/>
        <v>1.3333333333333333</v>
      </c>
      <c r="J305" s="1">
        <f t="shared" si="9"/>
        <v>1</v>
      </c>
    </row>
    <row r="306" spans="1:10">
      <c r="A306" t="s">
        <v>113</v>
      </c>
      <c r="B306">
        <v>7</v>
      </c>
      <c r="C306" t="s">
        <v>129</v>
      </c>
      <c r="D306">
        <v>1</v>
      </c>
      <c r="E306">
        <v>11</v>
      </c>
      <c r="F306">
        <v>3</v>
      </c>
      <c r="G306">
        <v>271</v>
      </c>
      <c r="H306">
        <v>3083</v>
      </c>
      <c r="I306" s="1">
        <f t="shared" si="8"/>
        <v>0.27272727272727271</v>
      </c>
      <c r="J306" s="1">
        <f t="shared" si="9"/>
        <v>8.7901394745377878E-2</v>
      </c>
    </row>
    <row r="307" spans="1:10">
      <c r="A307" t="s">
        <v>113</v>
      </c>
      <c r="B307">
        <v>7</v>
      </c>
      <c r="C307" t="s">
        <v>131</v>
      </c>
      <c r="D307">
        <v>2</v>
      </c>
      <c r="E307">
        <v>11</v>
      </c>
      <c r="F307">
        <v>4</v>
      </c>
      <c r="G307">
        <v>592</v>
      </c>
      <c r="H307">
        <v>3083</v>
      </c>
      <c r="I307" s="1">
        <f t="shared" si="8"/>
        <v>0.36363636363636365</v>
      </c>
      <c r="J307" s="1">
        <f t="shared" si="9"/>
        <v>0.19202075900097307</v>
      </c>
    </row>
    <row r="308" spans="1:10">
      <c r="A308" t="s">
        <v>113</v>
      </c>
      <c r="B308">
        <v>7</v>
      </c>
      <c r="C308" t="s">
        <v>118</v>
      </c>
      <c r="D308">
        <v>3</v>
      </c>
      <c r="E308">
        <v>11</v>
      </c>
      <c r="F308">
        <v>4.0000999999999998</v>
      </c>
      <c r="G308">
        <v>1041</v>
      </c>
      <c r="H308">
        <v>3083</v>
      </c>
      <c r="I308" s="1">
        <f t="shared" si="8"/>
        <v>0.36364545454545455</v>
      </c>
      <c r="J308" s="1">
        <f t="shared" si="9"/>
        <v>0.33765812520272465</v>
      </c>
    </row>
    <row r="309" spans="1:10">
      <c r="A309" t="s">
        <v>113</v>
      </c>
      <c r="B309">
        <v>7</v>
      </c>
      <c r="C309" t="s">
        <v>114</v>
      </c>
      <c r="D309">
        <v>4</v>
      </c>
      <c r="E309">
        <v>11</v>
      </c>
      <c r="F309">
        <v>4.0002003000000004</v>
      </c>
      <c r="G309">
        <v>1152</v>
      </c>
      <c r="H309">
        <v>3083</v>
      </c>
      <c r="I309" s="1">
        <f t="shared" si="8"/>
        <v>0.36365457272727275</v>
      </c>
      <c r="J309" s="1">
        <f t="shared" si="9"/>
        <v>0.37366201751540706</v>
      </c>
    </row>
    <row r="310" spans="1:10">
      <c r="A310" t="s">
        <v>113</v>
      </c>
      <c r="B310">
        <v>7</v>
      </c>
      <c r="C310" t="s">
        <v>115</v>
      </c>
      <c r="D310">
        <v>5</v>
      </c>
      <c r="E310">
        <v>11</v>
      </c>
      <c r="F310">
        <v>5</v>
      </c>
      <c r="G310">
        <v>1419</v>
      </c>
      <c r="H310">
        <v>3083</v>
      </c>
      <c r="I310" s="1">
        <f t="shared" si="8"/>
        <v>0.45454545454545453</v>
      </c>
      <c r="J310" s="1">
        <f t="shared" si="9"/>
        <v>0.46026597469996755</v>
      </c>
    </row>
    <row r="311" spans="1:10">
      <c r="A311" t="s">
        <v>113</v>
      </c>
      <c r="B311">
        <v>7</v>
      </c>
      <c r="C311" t="s">
        <v>130</v>
      </c>
      <c r="D311">
        <v>6</v>
      </c>
      <c r="E311">
        <v>11</v>
      </c>
      <c r="F311">
        <v>5.0000999999999998</v>
      </c>
      <c r="G311">
        <v>1541</v>
      </c>
      <c r="H311">
        <v>3083</v>
      </c>
      <c r="I311" s="1">
        <f t="shared" si="8"/>
        <v>0.45455454545454543</v>
      </c>
      <c r="J311" s="1">
        <f t="shared" si="9"/>
        <v>0.49983782030489782</v>
      </c>
    </row>
    <row r="312" spans="1:10">
      <c r="A312" t="s">
        <v>113</v>
      </c>
      <c r="B312">
        <v>7</v>
      </c>
      <c r="C312" t="s">
        <v>132</v>
      </c>
      <c r="D312">
        <v>7</v>
      </c>
      <c r="E312">
        <v>11</v>
      </c>
      <c r="F312">
        <v>5.0002003000000004</v>
      </c>
      <c r="G312">
        <v>1804</v>
      </c>
      <c r="H312">
        <v>3083</v>
      </c>
      <c r="I312" s="1">
        <f t="shared" si="8"/>
        <v>0.45456366363636369</v>
      </c>
      <c r="J312" s="1">
        <f t="shared" si="9"/>
        <v>0.5851443399286409</v>
      </c>
    </row>
    <row r="313" spans="1:10">
      <c r="A313" t="s">
        <v>113</v>
      </c>
      <c r="B313">
        <v>7</v>
      </c>
      <c r="C313" t="s">
        <v>133</v>
      </c>
      <c r="D313">
        <v>8</v>
      </c>
      <c r="E313">
        <v>11</v>
      </c>
      <c r="F313">
        <v>5.0003004000000004</v>
      </c>
      <c r="G313">
        <v>2026</v>
      </c>
      <c r="H313">
        <v>3083</v>
      </c>
      <c r="I313" s="1">
        <f t="shared" si="8"/>
        <v>0.45457276363636367</v>
      </c>
      <c r="J313" s="1">
        <f t="shared" si="9"/>
        <v>0.65715212455400585</v>
      </c>
    </row>
    <row r="314" spans="1:10">
      <c r="A314" t="s">
        <v>113</v>
      </c>
      <c r="B314">
        <v>7</v>
      </c>
      <c r="C314" t="s">
        <v>119</v>
      </c>
      <c r="D314">
        <v>9</v>
      </c>
      <c r="E314">
        <v>11</v>
      </c>
      <c r="F314">
        <v>6</v>
      </c>
      <c r="G314">
        <v>2652</v>
      </c>
      <c r="H314">
        <v>3083</v>
      </c>
      <c r="I314" s="1">
        <f t="shared" si="8"/>
        <v>0.54545454545454541</v>
      </c>
      <c r="J314" s="1">
        <f t="shared" si="9"/>
        <v>0.86020110282192674</v>
      </c>
    </row>
    <row r="315" spans="1:10">
      <c r="A315" t="s">
        <v>113</v>
      </c>
      <c r="B315">
        <v>7</v>
      </c>
      <c r="C315" t="s">
        <v>117</v>
      </c>
      <c r="D315">
        <v>10</v>
      </c>
      <c r="E315">
        <v>11</v>
      </c>
      <c r="F315">
        <v>12</v>
      </c>
      <c r="G315">
        <v>3083</v>
      </c>
      <c r="H315">
        <v>3083</v>
      </c>
      <c r="I315" s="1">
        <f t="shared" si="8"/>
        <v>1.0909090909090908</v>
      </c>
      <c r="J315" s="1">
        <f t="shared" si="9"/>
        <v>1</v>
      </c>
    </row>
    <row r="316" spans="1:10">
      <c r="A316" t="s">
        <v>113</v>
      </c>
      <c r="B316">
        <v>8</v>
      </c>
      <c r="C316" t="s">
        <v>70</v>
      </c>
      <c r="D316">
        <v>1</v>
      </c>
      <c r="E316">
        <v>51</v>
      </c>
      <c r="F316">
        <v>5</v>
      </c>
      <c r="G316">
        <v>272</v>
      </c>
      <c r="H316">
        <v>5606</v>
      </c>
      <c r="I316" s="1">
        <f t="shared" si="8"/>
        <v>9.8039215686274508E-2</v>
      </c>
      <c r="J316" s="1">
        <f t="shared" si="9"/>
        <v>4.8519443453442737E-2</v>
      </c>
    </row>
    <row r="317" spans="1:10">
      <c r="A317" t="s">
        <v>113</v>
      </c>
      <c r="B317">
        <v>8</v>
      </c>
      <c r="C317" t="s">
        <v>135</v>
      </c>
      <c r="D317">
        <v>2</v>
      </c>
      <c r="E317">
        <v>51</v>
      </c>
      <c r="F317">
        <v>7</v>
      </c>
      <c r="G317">
        <v>940</v>
      </c>
      <c r="H317">
        <v>5606</v>
      </c>
      <c r="I317" s="1">
        <f t="shared" si="8"/>
        <v>0.13725490196078433</v>
      </c>
      <c r="J317" s="1">
        <f t="shared" si="9"/>
        <v>0.16767748840528005</v>
      </c>
    </row>
    <row r="318" spans="1:10">
      <c r="A318" t="s">
        <v>113</v>
      </c>
      <c r="B318">
        <v>8</v>
      </c>
      <c r="C318" t="s">
        <v>134</v>
      </c>
      <c r="D318">
        <v>3</v>
      </c>
      <c r="E318">
        <v>51</v>
      </c>
      <c r="F318">
        <v>13</v>
      </c>
      <c r="G318">
        <v>1002</v>
      </c>
      <c r="H318">
        <v>5606</v>
      </c>
      <c r="I318" s="1">
        <f t="shared" si="8"/>
        <v>0.25490196078431371</v>
      </c>
      <c r="J318" s="1">
        <f t="shared" si="9"/>
        <v>0.17873706742775597</v>
      </c>
    </row>
    <row r="319" spans="1:10">
      <c r="A319" t="s">
        <v>113</v>
      </c>
      <c r="B319">
        <v>8</v>
      </c>
      <c r="C319" t="s">
        <v>137</v>
      </c>
      <c r="D319">
        <v>4</v>
      </c>
      <c r="E319">
        <v>51</v>
      </c>
      <c r="F319">
        <v>14</v>
      </c>
      <c r="G319">
        <v>2338</v>
      </c>
      <c r="H319">
        <v>5606</v>
      </c>
      <c r="I319" s="1">
        <f t="shared" si="8"/>
        <v>0.27450980392156865</v>
      </c>
      <c r="J319" s="1">
        <f t="shared" si="9"/>
        <v>0.41705315733143061</v>
      </c>
    </row>
    <row r="320" spans="1:10">
      <c r="A320" t="s">
        <v>113</v>
      </c>
      <c r="B320">
        <v>8</v>
      </c>
      <c r="C320" t="s">
        <v>136</v>
      </c>
      <c r="D320">
        <v>5</v>
      </c>
      <c r="E320">
        <v>51</v>
      </c>
      <c r="F320">
        <v>16</v>
      </c>
      <c r="G320">
        <v>4126</v>
      </c>
      <c r="H320">
        <v>5606</v>
      </c>
      <c r="I320" s="1">
        <f t="shared" si="8"/>
        <v>0.31372549019607843</v>
      </c>
      <c r="J320" s="1">
        <f t="shared" si="9"/>
        <v>0.73599714591509102</v>
      </c>
    </row>
    <row r="321" spans="1:10">
      <c r="A321" t="s">
        <v>113</v>
      </c>
      <c r="B321">
        <v>8</v>
      </c>
      <c r="C321" t="s">
        <v>123</v>
      </c>
      <c r="D321">
        <v>6</v>
      </c>
      <c r="E321">
        <v>51</v>
      </c>
      <c r="F321">
        <v>17</v>
      </c>
      <c r="G321">
        <v>5606</v>
      </c>
      <c r="H321">
        <v>5606</v>
      </c>
      <c r="I321" s="1">
        <f t="shared" si="8"/>
        <v>0.33333333333333331</v>
      </c>
      <c r="J321" s="1">
        <f t="shared" si="9"/>
        <v>1</v>
      </c>
    </row>
    <row r="322" spans="1:10">
      <c r="A322" t="s">
        <v>113</v>
      </c>
      <c r="B322">
        <v>9</v>
      </c>
      <c r="C322" t="s">
        <v>70</v>
      </c>
      <c r="D322">
        <v>1</v>
      </c>
      <c r="E322">
        <v>63</v>
      </c>
      <c r="F322">
        <v>4</v>
      </c>
      <c r="G322">
        <v>272</v>
      </c>
      <c r="H322">
        <v>9248</v>
      </c>
      <c r="I322" s="1">
        <f t="shared" si="8"/>
        <v>6.3492063492063489E-2</v>
      </c>
      <c r="J322" s="1">
        <f t="shared" si="9"/>
        <v>2.9411764705882353E-2</v>
      </c>
    </row>
    <row r="323" spans="1:10">
      <c r="A323" t="s">
        <v>113</v>
      </c>
      <c r="B323">
        <v>9</v>
      </c>
      <c r="C323" t="s">
        <v>135</v>
      </c>
      <c r="D323">
        <v>2</v>
      </c>
      <c r="E323">
        <v>63</v>
      </c>
      <c r="F323">
        <v>8</v>
      </c>
      <c r="G323">
        <v>940</v>
      </c>
      <c r="H323">
        <v>9248</v>
      </c>
      <c r="I323" s="1">
        <f t="shared" ref="I323:I386" si="10">F323/E323</f>
        <v>0.12698412698412698</v>
      </c>
      <c r="J323" s="1">
        <f t="shared" ref="J323:J386" si="11">G323/H323</f>
        <v>0.10164359861591696</v>
      </c>
    </row>
    <row r="324" spans="1:10">
      <c r="A324" t="s">
        <v>113</v>
      </c>
      <c r="B324">
        <v>9</v>
      </c>
      <c r="C324" t="s">
        <v>138</v>
      </c>
      <c r="D324">
        <v>3</v>
      </c>
      <c r="E324">
        <v>63</v>
      </c>
      <c r="F324">
        <v>9</v>
      </c>
      <c r="G324">
        <v>1062</v>
      </c>
      <c r="H324">
        <v>9248</v>
      </c>
      <c r="I324" s="1">
        <f t="shared" si="10"/>
        <v>0.14285714285714285</v>
      </c>
      <c r="J324" s="1">
        <f t="shared" si="11"/>
        <v>0.1148356401384083</v>
      </c>
    </row>
    <row r="325" spans="1:10">
      <c r="A325" t="s">
        <v>113</v>
      </c>
      <c r="B325">
        <v>9</v>
      </c>
      <c r="C325" t="s">
        <v>139</v>
      </c>
      <c r="D325">
        <v>4</v>
      </c>
      <c r="E325">
        <v>63</v>
      </c>
      <c r="F325">
        <v>11</v>
      </c>
      <c r="G325">
        <v>1898</v>
      </c>
      <c r="H325">
        <v>9248</v>
      </c>
      <c r="I325" s="1">
        <f t="shared" si="10"/>
        <v>0.17460317460317459</v>
      </c>
      <c r="J325" s="1">
        <f t="shared" si="11"/>
        <v>0.20523356401384082</v>
      </c>
    </row>
    <row r="326" spans="1:10">
      <c r="A326" t="s">
        <v>113</v>
      </c>
      <c r="B326">
        <v>9</v>
      </c>
      <c r="C326" t="s">
        <v>141</v>
      </c>
      <c r="D326">
        <v>5</v>
      </c>
      <c r="E326">
        <v>63</v>
      </c>
      <c r="F326">
        <v>19</v>
      </c>
      <c r="G326">
        <v>3072</v>
      </c>
      <c r="H326">
        <v>9248</v>
      </c>
      <c r="I326" s="1">
        <f t="shared" si="10"/>
        <v>0.30158730158730157</v>
      </c>
      <c r="J326" s="1">
        <f t="shared" si="11"/>
        <v>0.33217993079584773</v>
      </c>
    </row>
    <row r="327" spans="1:10">
      <c r="A327" t="s">
        <v>113</v>
      </c>
      <c r="B327">
        <v>9</v>
      </c>
      <c r="C327" t="s">
        <v>140</v>
      </c>
      <c r="D327">
        <v>6</v>
      </c>
      <c r="E327">
        <v>63</v>
      </c>
      <c r="F327">
        <v>21</v>
      </c>
      <c r="G327">
        <v>4644</v>
      </c>
      <c r="H327">
        <v>9248</v>
      </c>
      <c r="I327" s="1">
        <f t="shared" si="10"/>
        <v>0.33333333333333331</v>
      </c>
      <c r="J327" s="1">
        <f t="shared" si="11"/>
        <v>0.50216262975778547</v>
      </c>
    </row>
    <row r="328" spans="1:10">
      <c r="A328" t="s">
        <v>113</v>
      </c>
      <c r="B328">
        <v>9</v>
      </c>
      <c r="C328" t="s">
        <v>136</v>
      </c>
      <c r="D328">
        <v>7</v>
      </c>
      <c r="E328">
        <v>63</v>
      </c>
      <c r="F328">
        <v>35</v>
      </c>
      <c r="G328">
        <v>6432</v>
      </c>
      <c r="H328">
        <v>9248</v>
      </c>
      <c r="I328" s="1">
        <f t="shared" si="10"/>
        <v>0.55555555555555558</v>
      </c>
      <c r="J328" s="1">
        <f t="shared" si="11"/>
        <v>0.69550173010380623</v>
      </c>
    </row>
    <row r="329" spans="1:10">
      <c r="A329" t="s">
        <v>113</v>
      </c>
      <c r="B329">
        <v>9</v>
      </c>
      <c r="C329" t="s">
        <v>137</v>
      </c>
      <c r="D329">
        <v>8</v>
      </c>
      <c r="E329">
        <v>63</v>
      </c>
      <c r="F329">
        <v>37</v>
      </c>
      <c r="G329">
        <v>7768</v>
      </c>
      <c r="H329">
        <v>9248</v>
      </c>
      <c r="I329" s="1">
        <f t="shared" si="10"/>
        <v>0.58730158730158732</v>
      </c>
      <c r="J329" s="1">
        <f t="shared" si="11"/>
        <v>0.83996539792387548</v>
      </c>
    </row>
    <row r="330" spans="1:10">
      <c r="A330" t="s">
        <v>113</v>
      </c>
      <c r="B330">
        <v>9</v>
      </c>
      <c r="C330" t="s">
        <v>123</v>
      </c>
      <c r="D330">
        <v>9</v>
      </c>
      <c r="E330">
        <v>63</v>
      </c>
      <c r="F330">
        <v>42</v>
      </c>
      <c r="G330">
        <v>9248</v>
      </c>
      <c r="H330">
        <v>9248</v>
      </c>
      <c r="I330" s="1">
        <f t="shared" si="10"/>
        <v>0.66666666666666663</v>
      </c>
      <c r="J330" s="1">
        <f t="shared" si="11"/>
        <v>1</v>
      </c>
    </row>
    <row r="331" spans="1:10">
      <c r="A331" t="s">
        <v>113</v>
      </c>
      <c r="B331">
        <v>11</v>
      </c>
      <c r="C331" t="s">
        <v>33</v>
      </c>
      <c r="D331">
        <v>1</v>
      </c>
      <c r="E331">
        <v>7</v>
      </c>
      <c r="F331">
        <v>3</v>
      </c>
      <c r="G331">
        <v>388</v>
      </c>
      <c r="H331">
        <v>1223</v>
      </c>
      <c r="I331" s="1">
        <f t="shared" si="10"/>
        <v>0.42857142857142855</v>
      </c>
      <c r="J331" s="1">
        <f t="shared" si="11"/>
        <v>0.31725265739983649</v>
      </c>
    </row>
    <row r="332" spans="1:10">
      <c r="A332" t="s">
        <v>113</v>
      </c>
      <c r="B332">
        <v>11</v>
      </c>
      <c r="C332" t="s">
        <v>19</v>
      </c>
      <c r="D332">
        <v>2</v>
      </c>
      <c r="E332">
        <v>7</v>
      </c>
      <c r="F332">
        <v>8</v>
      </c>
      <c r="G332">
        <v>1223</v>
      </c>
      <c r="H332">
        <v>1223</v>
      </c>
      <c r="I332" s="1">
        <f t="shared" si="10"/>
        <v>1.1428571428571428</v>
      </c>
      <c r="J332" s="1">
        <f t="shared" si="11"/>
        <v>1</v>
      </c>
    </row>
    <row r="333" spans="1:10">
      <c r="A333" t="s">
        <v>113</v>
      </c>
      <c r="B333">
        <v>13</v>
      </c>
      <c r="C333" t="s">
        <v>1</v>
      </c>
      <c r="D333">
        <v>1</v>
      </c>
      <c r="E333">
        <v>945</v>
      </c>
      <c r="F333">
        <v>5</v>
      </c>
      <c r="G333">
        <v>525</v>
      </c>
      <c r="H333">
        <v>266751</v>
      </c>
      <c r="I333" s="1">
        <f t="shared" si="10"/>
        <v>5.2910052910052907E-3</v>
      </c>
      <c r="J333" s="1">
        <f t="shared" si="11"/>
        <v>1.9681275796529347E-3</v>
      </c>
    </row>
    <row r="334" spans="1:10">
      <c r="A334" t="s">
        <v>113</v>
      </c>
      <c r="B334">
        <v>13</v>
      </c>
      <c r="C334" t="s">
        <v>19</v>
      </c>
      <c r="D334">
        <v>2</v>
      </c>
      <c r="E334">
        <v>945</v>
      </c>
      <c r="F334">
        <v>5.0000999999999998</v>
      </c>
      <c r="G334">
        <v>525</v>
      </c>
      <c r="H334">
        <v>266751</v>
      </c>
      <c r="I334" s="1">
        <f t="shared" si="10"/>
        <v>5.291111111111111E-3</v>
      </c>
      <c r="J334" s="1">
        <f t="shared" si="11"/>
        <v>1.9681275796529347E-3</v>
      </c>
    </row>
    <row r="335" spans="1:10">
      <c r="A335" t="s">
        <v>113</v>
      </c>
      <c r="B335">
        <v>13</v>
      </c>
      <c r="C335" t="s">
        <v>142</v>
      </c>
      <c r="D335">
        <v>3</v>
      </c>
      <c r="E335">
        <v>945</v>
      </c>
      <c r="F335">
        <v>5.0002003000000004</v>
      </c>
      <c r="G335">
        <v>555</v>
      </c>
      <c r="H335">
        <v>266751</v>
      </c>
      <c r="I335" s="1">
        <f t="shared" si="10"/>
        <v>5.2912172486772489E-3</v>
      </c>
      <c r="J335" s="1">
        <f t="shared" si="11"/>
        <v>2.0805920127759596E-3</v>
      </c>
    </row>
    <row r="336" spans="1:10">
      <c r="A336" t="s">
        <v>113</v>
      </c>
      <c r="B336">
        <v>13</v>
      </c>
      <c r="C336" t="s">
        <v>22</v>
      </c>
      <c r="D336">
        <v>4</v>
      </c>
      <c r="E336">
        <v>945</v>
      </c>
      <c r="F336">
        <v>1149</v>
      </c>
      <c r="G336">
        <v>266751</v>
      </c>
      <c r="H336">
        <v>266751</v>
      </c>
      <c r="I336" s="1">
        <f t="shared" si="10"/>
        <v>1.2158730158730158</v>
      </c>
      <c r="J336" s="1">
        <f t="shared" si="11"/>
        <v>1</v>
      </c>
    </row>
    <row r="337" spans="1:10">
      <c r="A337" t="s">
        <v>113</v>
      </c>
      <c r="B337">
        <v>14</v>
      </c>
      <c r="C337" t="s">
        <v>19</v>
      </c>
      <c r="D337">
        <v>1</v>
      </c>
      <c r="E337">
        <v>766</v>
      </c>
      <c r="F337">
        <v>5</v>
      </c>
      <c r="G337">
        <v>495</v>
      </c>
      <c r="H337">
        <v>221654</v>
      </c>
      <c r="I337" s="1">
        <f t="shared" si="10"/>
        <v>6.5274151436031328E-3</v>
      </c>
      <c r="J337" s="1">
        <f t="shared" si="11"/>
        <v>2.2332103187851335E-3</v>
      </c>
    </row>
    <row r="338" spans="1:10">
      <c r="A338" t="s">
        <v>113</v>
      </c>
      <c r="B338">
        <v>14</v>
      </c>
      <c r="C338" t="s">
        <v>1</v>
      </c>
      <c r="D338">
        <v>2</v>
      </c>
      <c r="E338">
        <v>766</v>
      </c>
      <c r="F338">
        <v>6</v>
      </c>
      <c r="G338">
        <v>525</v>
      </c>
      <c r="H338">
        <v>221654</v>
      </c>
      <c r="I338" s="1">
        <f t="shared" si="10"/>
        <v>7.832898172323759E-3</v>
      </c>
      <c r="J338" s="1">
        <f t="shared" si="11"/>
        <v>2.3685563987115052E-3</v>
      </c>
    </row>
    <row r="339" spans="1:10">
      <c r="A339" t="s">
        <v>113</v>
      </c>
      <c r="B339">
        <v>14</v>
      </c>
      <c r="C339" t="s">
        <v>142</v>
      </c>
      <c r="D339">
        <v>3</v>
      </c>
      <c r="E339">
        <v>766</v>
      </c>
      <c r="F339">
        <v>6.0000999999999998</v>
      </c>
      <c r="G339">
        <v>555</v>
      </c>
      <c r="H339">
        <v>221654</v>
      </c>
      <c r="I339" s="1">
        <f t="shared" si="10"/>
        <v>7.8330287206266318E-3</v>
      </c>
      <c r="J339" s="1">
        <f t="shared" si="11"/>
        <v>2.5039024786378769E-3</v>
      </c>
    </row>
    <row r="340" spans="1:10">
      <c r="A340" t="s">
        <v>113</v>
      </c>
      <c r="B340">
        <v>14</v>
      </c>
      <c r="C340" t="s">
        <v>445</v>
      </c>
      <c r="D340">
        <v>4</v>
      </c>
      <c r="E340">
        <v>766</v>
      </c>
      <c r="F340">
        <v>304</v>
      </c>
      <c r="G340">
        <v>53127</v>
      </c>
      <c r="H340">
        <v>221654</v>
      </c>
      <c r="I340" s="1">
        <f t="shared" si="10"/>
        <v>0.39686684073107048</v>
      </c>
      <c r="J340" s="1">
        <f t="shared" si="11"/>
        <v>0.23968437294161171</v>
      </c>
    </row>
    <row r="341" spans="1:10">
      <c r="A341" t="s">
        <v>113</v>
      </c>
      <c r="B341">
        <v>14</v>
      </c>
      <c r="C341" t="s">
        <v>446</v>
      </c>
      <c r="D341">
        <v>5</v>
      </c>
      <c r="E341">
        <v>766</v>
      </c>
      <c r="F341">
        <v>323</v>
      </c>
      <c r="G341">
        <v>53127</v>
      </c>
      <c r="H341">
        <v>221654</v>
      </c>
      <c r="I341" s="1">
        <f t="shared" si="10"/>
        <v>0.4216710182767624</v>
      </c>
      <c r="J341" s="1">
        <f t="shared" si="11"/>
        <v>0.23968437294161171</v>
      </c>
    </row>
    <row r="342" spans="1:10">
      <c r="A342" t="s">
        <v>113</v>
      </c>
      <c r="B342">
        <v>14</v>
      </c>
      <c r="C342" t="s">
        <v>447</v>
      </c>
      <c r="D342">
        <v>6</v>
      </c>
      <c r="E342">
        <v>766</v>
      </c>
      <c r="F342">
        <v>366</v>
      </c>
      <c r="G342">
        <v>83121</v>
      </c>
      <c r="H342">
        <v>221654</v>
      </c>
      <c r="I342" s="1">
        <f t="shared" si="10"/>
        <v>0.47780678851174935</v>
      </c>
      <c r="J342" s="1">
        <f t="shared" si="11"/>
        <v>0.37500338365199815</v>
      </c>
    </row>
    <row r="343" spans="1:10">
      <c r="A343" t="s">
        <v>113</v>
      </c>
      <c r="B343">
        <v>14</v>
      </c>
      <c r="C343" t="s">
        <v>448</v>
      </c>
      <c r="D343">
        <v>7</v>
      </c>
      <c r="E343">
        <v>766</v>
      </c>
      <c r="F343">
        <v>371</v>
      </c>
      <c r="G343">
        <v>83121</v>
      </c>
      <c r="H343">
        <v>221654</v>
      </c>
      <c r="I343" s="1">
        <f t="shared" si="10"/>
        <v>0.48433420365535246</v>
      </c>
      <c r="J343" s="1">
        <f t="shared" si="11"/>
        <v>0.37500338365199815</v>
      </c>
    </row>
    <row r="344" spans="1:10">
      <c r="A344" t="s">
        <v>113</v>
      </c>
      <c r="B344">
        <v>14</v>
      </c>
      <c r="C344" t="s">
        <v>144</v>
      </c>
      <c r="D344">
        <v>8</v>
      </c>
      <c r="E344">
        <v>766</v>
      </c>
      <c r="F344">
        <v>555</v>
      </c>
      <c r="G344">
        <v>221654</v>
      </c>
      <c r="H344">
        <v>221654</v>
      </c>
      <c r="I344" s="1">
        <f t="shared" si="10"/>
        <v>0.72454308093994779</v>
      </c>
      <c r="J344" s="1">
        <f t="shared" si="11"/>
        <v>1</v>
      </c>
    </row>
    <row r="345" spans="1:10">
      <c r="A345" t="s">
        <v>113</v>
      </c>
      <c r="B345">
        <v>14</v>
      </c>
      <c r="C345" t="s">
        <v>143</v>
      </c>
      <c r="D345">
        <v>9</v>
      </c>
      <c r="E345">
        <v>766</v>
      </c>
      <c r="F345">
        <v>628</v>
      </c>
      <c r="G345">
        <v>221654</v>
      </c>
      <c r="H345">
        <v>221654</v>
      </c>
      <c r="I345" s="1">
        <f t="shared" si="10"/>
        <v>0.81984334203655351</v>
      </c>
      <c r="J345" s="1">
        <f t="shared" si="11"/>
        <v>1</v>
      </c>
    </row>
    <row r="346" spans="1:10">
      <c r="A346" t="s">
        <v>113</v>
      </c>
      <c r="B346">
        <v>15</v>
      </c>
      <c r="C346" t="s">
        <v>19</v>
      </c>
      <c r="D346">
        <v>1</v>
      </c>
      <c r="E346">
        <v>629</v>
      </c>
      <c r="F346">
        <v>4</v>
      </c>
      <c r="G346">
        <v>495</v>
      </c>
      <c r="H346">
        <v>151468</v>
      </c>
      <c r="I346" s="1">
        <f t="shared" si="10"/>
        <v>6.3593004769475362E-3</v>
      </c>
      <c r="J346" s="1">
        <f t="shared" si="11"/>
        <v>3.2680170068925449E-3</v>
      </c>
    </row>
    <row r="347" spans="1:10">
      <c r="A347" t="s">
        <v>113</v>
      </c>
      <c r="B347">
        <v>15</v>
      </c>
      <c r="C347" t="s">
        <v>142</v>
      </c>
      <c r="D347">
        <v>2</v>
      </c>
      <c r="E347">
        <v>629</v>
      </c>
      <c r="F347">
        <v>5</v>
      </c>
      <c r="G347">
        <v>555</v>
      </c>
      <c r="H347">
        <v>151468</v>
      </c>
      <c r="I347" s="1">
        <f t="shared" si="10"/>
        <v>7.9491255961844191E-3</v>
      </c>
      <c r="J347" s="1">
        <f t="shared" si="11"/>
        <v>3.6641402804552777E-3</v>
      </c>
    </row>
    <row r="348" spans="1:10">
      <c r="A348" t="s">
        <v>113</v>
      </c>
      <c r="B348">
        <v>15</v>
      </c>
      <c r="C348" t="s">
        <v>1</v>
      </c>
      <c r="D348">
        <v>3</v>
      </c>
      <c r="E348">
        <v>629</v>
      </c>
      <c r="F348">
        <v>6</v>
      </c>
      <c r="G348">
        <v>555</v>
      </c>
      <c r="H348">
        <v>151468</v>
      </c>
      <c r="I348" s="1">
        <f t="shared" si="10"/>
        <v>9.538950715421303E-3</v>
      </c>
      <c r="J348" s="1">
        <f t="shared" si="11"/>
        <v>3.6641402804552777E-3</v>
      </c>
    </row>
    <row r="349" spans="1:10">
      <c r="A349" t="s">
        <v>113</v>
      </c>
      <c r="B349">
        <v>15</v>
      </c>
      <c r="C349" t="s">
        <v>22</v>
      </c>
      <c r="D349">
        <v>4</v>
      </c>
      <c r="E349">
        <v>629</v>
      </c>
      <c r="F349">
        <v>557</v>
      </c>
      <c r="G349">
        <v>151468</v>
      </c>
      <c r="H349">
        <v>151468</v>
      </c>
      <c r="I349" s="1">
        <f t="shared" si="10"/>
        <v>0.88553259141494434</v>
      </c>
      <c r="J349" s="1">
        <f t="shared" si="11"/>
        <v>1</v>
      </c>
    </row>
    <row r="350" spans="1:10">
      <c r="A350" t="s">
        <v>113</v>
      </c>
      <c r="B350">
        <v>16</v>
      </c>
      <c r="C350" t="s">
        <v>142</v>
      </c>
      <c r="D350">
        <v>1</v>
      </c>
      <c r="E350">
        <v>746</v>
      </c>
      <c r="F350">
        <v>5</v>
      </c>
      <c r="G350">
        <v>555</v>
      </c>
      <c r="H350">
        <v>229356</v>
      </c>
      <c r="I350" s="1">
        <f t="shared" si="10"/>
        <v>6.7024128686327079E-3</v>
      </c>
      <c r="J350" s="1">
        <f t="shared" si="11"/>
        <v>2.4198189713807356E-3</v>
      </c>
    </row>
    <row r="351" spans="1:10">
      <c r="A351" t="s">
        <v>113</v>
      </c>
      <c r="B351">
        <v>16</v>
      </c>
      <c r="C351" t="s">
        <v>1</v>
      </c>
      <c r="D351">
        <v>2</v>
      </c>
      <c r="E351">
        <v>746</v>
      </c>
      <c r="F351">
        <v>6</v>
      </c>
      <c r="G351">
        <v>555</v>
      </c>
      <c r="H351">
        <v>229356</v>
      </c>
      <c r="I351" s="1">
        <f t="shared" si="10"/>
        <v>8.0428954423592495E-3</v>
      </c>
      <c r="J351" s="1">
        <f t="shared" si="11"/>
        <v>2.4198189713807356E-3</v>
      </c>
    </row>
    <row r="352" spans="1:10">
      <c r="A352" t="s">
        <v>113</v>
      </c>
      <c r="B352">
        <v>16</v>
      </c>
      <c r="C352" t="s">
        <v>19</v>
      </c>
      <c r="D352">
        <v>3</v>
      </c>
      <c r="E352">
        <v>746</v>
      </c>
      <c r="F352">
        <v>6.0000999999999998</v>
      </c>
      <c r="G352">
        <v>555</v>
      </c>
      <c r="H352">
        <v>229356</v>
      </c>
      <c r="I352" s="1">
        <f t="shared" si="10"/>
        <v>8.0430294906166221E-3</v>
      </c>
      <c r="J352" s="1">
        <f t="shared" si="11"/>
        <v>2.4198189713807356E-3</v>
      </c>
    </row>
    <row r="353" spans="1:10">
      <c r="A353" t="s">
        <v>113</v>
      </c>
      <c r="B353">
        <v>16</v>
      </c>
      <c r="C353" t="s">
        <v>22</v>
      </c>
      <c r="D353">
        <v>4</v>
      </c>
      <c r="E353">
        <v>746</v>
      </c>
      <c r="F353">
        <v>711</v>
      </c>
      <c r="G353">
        <v>229356</v>
      </c>
      <c r="H353">
        <v>229356</v>
      </c>
      <c r="I353" s="1">
        <f t="shared" si="10"/>
        <v>0.95308310991957101</v>
      </c>
      <c r="J353" s="1">
        <f t="shared" si="11"/>
        <v>1</v>
      </c>
    </row>
    <row r="354" spans="1:10">
      <c r="A354" t="s">
        <v>113</v>
      </c>
      <c r="B354">
        <v>20</v>
      </c>
      <c r="C354" t="s">
        <v>19</v>
      </c>
      <c r="D354">
        <v>1</v>
      </c>
      <c r="E354">
        <v>5</v>
      </c>
      <c r="F354">
        <v>4</v>
      </c>
      <c r="G354">
        <v>270</v>
      </c>
      <c r="H354">
        <v>438</v>
      </c>
      <c r="I354" s="1">
        <f t="shared" si="10"/>
        <v>0.8</v>
      </c>
      <c r="J354" s="1">
        <f t="shared" si="11"/>
        <v>0.61643835616438358</v>
      </c>
    </row>
    <row r="355" spans="1:10">
      <c r="A355" t="s">
        <v>113</v>
      </c>
      <c r="B355">
        <v>20</v>
      </c>
      <c r="C355" t="s">
        <v>33</v>
      </c>
      <c r="D355">
        <v>2</v>
      </c>
      <c r="E355">
        <v>5</v>
      </c>
      <c r="F355">
        <v>4.0000999999999998</v>
      </c>
      <c r="G355">
        <v>438</v>
      </c>
      <c r="H355">
        <v>438</v>
      </c>
      <c r="I355" s="1">
        <f t="shared" si="10"/>
        <v>0.80001999999999995</v>
      </c>
      <c r="J355" s="1">
        <f t="shared" si="11"/>
        <v>1</v>
      </c>
    </row>
    <row r="356" spans="1:10">
      <c r="A356" t="s">
        <v>113</v>
      </c>
      <c r="B356">
        <v>21</v>
      </c>
      <c r="C356" t="s">
        <v>19</v>
      </c>
      <c r="D356">
        <v>1</v>
      </c>
      <c r="E356">
        <v>14</v>
      </c>
      <c r="F356">
        <v>9</v>
      </c>
      <c r="G356">
        <v>841</v>
      </c>
      <c r="H356">
        <v>1558</v>
      </c>
      <c r="I356" s="1">
        <f t="shared" si="10"/>
        <v>0.6428571428571429</v>
      </c>
      <c r="J356" s="1">
        <f t="shared" si="11"/>
        <v>0.53979460847240046</v>
      </c>
    </row>
    <row r="357" spans="1:10">
      <c r="A357" t="s">
        <v>113</v>
      </c>
      <c r="B357">
        <v>21</v>
      </c>
      <c r="C357" t="s">
        <v>33</v>
      </c>
      <c r="D357">
        <v>2</v>
      </c>
      <c r="E357">
        <v>14</v>
      </c>
      <c r="F357">
        <v>11</v>
      </c>
      <c r="G357">
        <v>1558</v>
      </c>
      <c r="H357">
        <v>1558</v>
      </c>
      <c r="I357" s="1">
        <f t="shared" si="10"/>
        <v>0.7857142857142857</v>
      </c>
      <c r="J357" s="1">
        <f t="shared" si="11"/>
        <v>1</v>
      </c>
    </row>
    <row r="358" spans="1:10">
      <c r="A358" t="s">
        <v>145</v>
      </c>
      <c r="B358">
        <v>0</v>
      </c>
      <c r="C358" t="s">
        <v>33</v>
      </c>
      <c r="D358">
        <v>1</v>
      </c>
      <c r="E358">
        <v>4</v>
      </c>
      <c r="F358">
        <v>4</v>
      </c>
      <c r="G358">
        <v>233</v>
      </c>
      <c r="H358">
        <v>289</v>
      </c>
      <c r="I358" s="1">
        <f t="shared" si="10"/>
        <v>1</v>
      </c>
      <c r="J358" s="1">
        <f t="shared" si="11"/>
        <v>0.80622837370242217</v>
      </c>
    </row>
    <row r="359" spans="1:10">
      <c r="A359" t="s">
        <v>145</v>
      </c>
      <c r="B359">
        <v>0</v>
      </c>
      <c r="C359" t="s">
        <v>192</v>
      </c>
      <c r="D359">
        <v>2</v>
      </c>
      <c r="E359">
        <v>4</v>
      </c>
      <c r="F359">
        <v>4.0000999999999998</v>
      </c>
      <c r="G359">
        <v>273</v>
      </c>
      <c r="H359">
        <v>289</v>
      </c>
      <c r="I359" s="1">
        <f t="shared" si="10"/>
        <v>1.0000249999999999</v>
      </c>
      <c r="J359" s="1">
        <f t="shared" si="11"/>
        <v>0.94463667820069208</v>
      </c>
    </row>
    <row r="360" spans="1:10">
      <c r="A360" t="s">
        <v>145</v>
      </c>
      <c r="B360">
        <v>0</v>
      </c>
      <c r="C360" t="s">
        <v>147</v>
      </c>
      <c r="D360">
        <v>3</v>
      </c>
      <c r="E360">
        <v>4</v>
      </c>
      <c r="F360">
        <v>5</v>
      </c>
      <c r="G360">
        <v>289</v>
      </c>
      <c r="H360">
        <v>289</v>
      </c>
      <c r="I360" s="1">
        <f t="shared" si="10"/>
        <v>1.25</v>
      </c>
      <c r="J360" s="1">
        <f t="shared" si="11"/>
        <v>1</v>
      </c>
    </row>
    <row r="361" spans="1:10">
      <c r="A361" t="s">
        <v>145</v>
      </c>
      <c r="B361">
        <v>1</v>
      </c>
      <c r="C361" t="s">
        <v>146</v>
      </c>
      <c r="D361">
        <v>1</v>
      </c>
      <c r="E361">
        <v>11</v>
      </c>
      <c r="F361">
        <v>3</v>
      </c>
      <c r="G361">
        <v>101</v>
      </c>
      <c r="H361">
        <v>2437</v>
      </c>
      <c r="I361" s="1">
        <f t="shared" si="10"/>
        <v>0.27272727272727271</v>
      </c>
      <c r="J361" s="1">
        <f t="shared" si="11"/>
        <v>4.1444398851046366E-2</v>
      </c>
    </row>
    <row r="362" spans="1:10">
      <c r="A362" t="s">
        <v>145</v>
      </c>
      <c r="B362">
        <v>1</v>
      </c>
      <c r="C362" t="s">
        <v>33</v>
      </c>
      <c r="D362">
        <v>2</v>
      </c>
      <c r="E362">
        <v>11</v>
      </c>
      <c r="F362">
        <v>4</v>
      </c>
      <c r="G362">
        <v>312</v>
      </c>
      <c r="H362">
        <v>2437</v>
      </c>
      <c r="I362" s="1">
        <f t="shared" si="10"/>
        <v>0.36363636363636365</v>
      </c>
      <c r="J362" s="1">
        <f t="shared" si="11"/>
        <v>0.12802626179729176</v>
      </c>
    </row>
    <row r="363" spans="1:10">
      <c r="A363" t="s">
        <v>145</v>
      </c>
      <c r="B363">
        <v>1</v>
      </c>
      <c r="C363" t="s">
        <v>147</v>
      </c>
      <c r="D363">
        <v>3</v>
      </c>
      <c r="E363">
        <v>11</v>
      </c>
      <c r="F363">
        <v>5</v>
      </c>
      <c r="G363">
        <v>796</v>
      </c>
      <c r="H363">
        <v>2437</v>
      </c>
      <c r="I363" s="1">
        <f t="shared" si="10"/>
        <v>0.45454545454545453</v>
      </c>
      <c r="J363" s="1">
        <f t="shared" si="11"/>
        <v>0.32663110381616745</v>
      </c>
    </row>
    <row r="364" spans="1:10">
      <c r="A364" t="s">
        <v>145</v>
      </c>
      <c r="B364">
        <v>1</v>
      </c>
      <c r="C364" t="s">
        <v>148</v>
      </c>
      <c r="D364">
        <v>4</v>
      </c>
      <c r="E364">
        <v>11</v>
      </c>
      <c r="F364">
        <v>8</v>
      </c>
      <c r="G364">
        <v>2437</v>
      </c>
      <c r="H364">
        <v>2437</v>
      </c>
      <c r="I364" s="1">
        <f t="shared" si="10"/>
        <v>0.72727272727272729</v>
      </c>
      <c r="J364" s="1">
        <f t="shared" si="11"/>
        <v>1</v>
      </c>
    </row>
    <row r="365" spans="1:10">
      <c r="A365" t="s">
        <v>149</v>
      </c>
      <c r="B365">
        <v>1</v>
      </c>
      <c r="C365" t="s">
        <v>150</v>
      </c>
      <c r="D365">
        <v>1</v>
      </c>
      <c r="E365">
        <v>10</v>
      </c>
      <c r="F365">
        <v>3</v>
      </c>
      <c r="G365">
        <v>185</v>
      </c>
      <c r="H365">
        <v>2726</v>
      </c>
      <c r="I365" s="1">
        <f t="shared" si="10"/>
        <v>0.3</v>
      </c>
      <c r="J365" s="1">
        <f t="shared" si="11"/>
        <v>6.7865003668378582E-2</v>
      </c>
    </row>
    <row r="366" spans="1:10">
      <c r="A366" t="s">
        <v>149</v>
      </c>
      <c r="B366">
        <v>1</v>
      </c>
      <c r="C366" t="s">
        <v>23</v>
      </c>
      <c r="D366">
        <v>2</v>
      </c>
      <c r="E366">
        <v>10</v>
      </c>
      <c r="F366">
        <v>3.0001000000000002</v>
      </c>
      <c r="G366">
        <v>318</v>
      </c>
      <c r="H366">
        <v>2726</v>
      </c>
      <c r="I366" s="1">
        <f t="shared" si="10"/>
        <v>0.30001</v>
      </c>
      <c r="J366" s="1">
        <f t="shared" si="11"/>
        <v>0.11665443873807776</v>
      </c>
    </row>
    <row r="367" spans="1:10">
      <c r="A367" t="s">
        <v>149</v>
      </c>
      <c r="B367">
        <v>1</v>
      </c>
      <c r="C367" t="s">
        <v>151</v>
      </c>
      <c r="D367">
        <v>3</v>
      </c>
      <c r="E367">
        <v>10</v>
      </c>
      <c r="F367">
        <v>4</v>
      </c>
      <c r="G367">
        <v>724</v>
      </c>
      <c r="H367">
        <v>2726</v>
      </c>
      <c r="I367" s="1">
        <f t="shared" si="10"/>
        <v>0.4</v>
      </c>
      <c r="J367" s="1">
        <f t="shared" si="11"/>
        <v>0.26559060895084374</v>
      </c>
    </row>
    <row r="368" spans="1:10">
      <c r="A368" t="s">
        <v>149</v>
      </c>
      <c r="B368">
        <v>1</v>
      </c>
      <c r="C368" t="s">
        <v>153</v>
      </c>
      <c r="D368">
        <v>4</v>
      </c>
      <c r="E368">
        <v>10</v>
      </c>
      <c r="F368">
        <v>4.0000999999999998</v>
      </c>
      <c r="G368">
        <v>1106</v>
      </c>
      <c r="H368">
        <v>2726</v>
      </c>
      <c r="I368" s="1">
        <f t="shared" si="10"/>
        <v>0.40000999999999998</v>
      </c>
      <c r="J368" s="1">
        <f t="shared" si="11"/>
        <v>0.40572267057960382</v>
      </c>
    </row>
    <row r="369" spans="1:10">
      <c r="A369" t="s">
        <v>149</v>
      </c>
      <c r="B369">
        <v>1</v>
      </c>
      <c r="C369" t="s">
        <v>142</v>
      </c>
      <c r="D369">
        <v>5</v>
      </c>
      <c r="E369">
        <v>10</v>
      </c>
      <c r="F369">
        <v>4.0002003000000004</v>
      </c>
      <c r="G369">
        <v>1550</v>
      </c>
      <c r="H369">
        <v>2726</v>
      </c>
      <c r="I369" s="1">
        <f t="shared" si="10"/>
        <v>0.40002003000000003</v>
      </c>
      <c r="J369" s="1">
        <f t="shared" si="11"/>
        <v>0.56859867938371245</v>
      </c>
    </row>
    <row r="370" spans="1:10">
      <c r="A370" t="s">
        <v>149</v>
      </c>
      <c r="B370">
        <v>1</v>
      </c>
      <c r="C370" t="s">
        <v>152</v>
      </c>
      <c r="D370">
        <v>6</v>
      </c>
      <c r="E370">
        <v>10</v>
      </c>
      <c r="F370">
        <v>5</v>
      </c>
      <c r="G370">
        <v>2023</v>
      </c>
      <c r="H370">
        <v>2726</v>
      </c>
      <c r="I370" s="1">
        <f t="shared" si="10"/>
        <v>0.5</v>
      </c>
      <c r="J370" s="1">
        <f t="shared" si="11"/>
        <v>0.74211298606016141</v>
      </c>
    </row>
    <row r="371" spans="1:10">
      <c r="A371" t="s">
        <v>149</v>
      </c>
      <c r="B371">
        <v>1</v>
      </c>
      <c r="C371" t="s">
        <v>154</v>
      </c>
      <c r="D371">
        <v>7</v>
      </c>
      <c r="E371">
        <v>10</v>
      </c>
      <c r="F371">
        <v>5.0000999999999998</v>
      </c>
      <c r="G371">
        <v>2429</v>
      </c>
      <c r="H371">
        <v>2726</v>
      </c>
      <c r="I371" s="1">
        <f t="shared" si="10"/>
        <v>0.50000999999999995</v>
      </c>
      <c r="J371" s="1">
        <f t="shared" si="11"/>
        <v>0.89104915627292736</v>
      </c>
    </row>
    <row r="372" spans="1:10">
      <c r="A372" t="s">
        <v>149</v>
      </c>
      <c r="B372">
        <v>1</v>
      </c>
      <c r="C372" t="s">
        <v>22</v>
      </c>
      <c r="D372">
        <v>8</v>
      </c>
      <c r="E372">
        <v>10</v>
      </c>
      <c r="F372">
        <v>6</v>
      </c>
      <c r="G372">
        <v>2726</v>
      </c>
      <c r="H372">
        <v>2726</v>
      </c>
      <c r="I372" s="1">
        <f t="shared" si="10"/>
        <v>0.6</v>
      </c>
      <c r="J372" s="1">
        <f t="shared" si="11"/>
        <v>1</v>
      </c>
    </row>
    <row r="373" spans="1:10">
      <c r="A373" t="s">
        <v>304</v>
      </c>
      <c r="B373">
        <v>5</v>
      </c>
      <c r="C373" t="s">
        <v>449</v>
      </c>
      <c r="D373">
        <v>1</v>
      </c>
      <c r="E373">
        <v>50</v>
      </c>
      <c r="F373">
        <v>6</v>
      </c>
      <c r="G373">
        <v>1169</v>
      </c>
      <c r="H373">
        <v>11834</v>
      </c>
      <c r="I373" s="1">
        <f t="shared" si="10"/>
        <v>0.12</v>
      </c>
      <c r="J373" s="1">
        <f t="shared" si="11"/>
        <v>9.8783167145512926E-2</v>
      </c>
    </row>
    <row r="374" spans="1:10">
      <c r="A374" t="s">
        <v>304</v>
      </c>
      <c r="B374">
        <v>5</v>
      </c>
      <c r="C374" t="s">
        <v>450</v>
      </c>
      <c r="D374">
        <v>2</v>
      </c>
      <c r="E374">
        <v>50</v>
      </c>
      <c r="F374">
        <v>6.0000999999999998</v>
      </c>
      <c r="G374">
        <v>1426</v>
      </c>
      <c r="H374">
        <v>11834</v>
      </c>
      <c r="I374" s="1">
        <f t="shared" si="10"/>
        <v>0.120002</v>
      </c>
      <c r="J374" s="1">
        <f t="shared" si="11"/>
        <v>0.12050025350684468</v>
      </c>
    </row>
    <row r="375" spans="1:10">
      <c r="A375" t="s">
        <v>304</v>
      </c>
      <c r="B375">
        <v>5</v>
      </c>
      <c r="C375" t="s">
        <v>451</v>
      </c>
      <c r="D375">
        <v>3</v>
      </c>
      <c r="E375">
        <v>50</v>
      </c>
      <c r="F375">
        <v>7</v>
      </c>
      <c r="G375">
        <v>1683</v>
      </c>
      <c r="H375">
        <v>11834</v>
      </c>
      <c r="I375" s="1">
        <f t="shared" si="10"/>
        <v>0.14000000000000001</v>
      </c>
      <c r="J375" s="1">
        <f t="shared" si="11"/>
        <v>0.14221733986817645</v>
      </c>
    </row>
    <row r="376" spans="1:10">
      <c r="A376" t="s">
        <v>304</v>
      </c>
      <c r="B376">
        <v>5</v>
      </c>
      <c r="C376" t="s">
        <v>452</v>
      </c>
      <c r="D376">
        <v>4</v>
      </c>
      <c r="E376">
        <v>50</v>
      </c>
      <c r="F376">
        <v>7.0000999999999998</v>
      </c>
      <c r="G376">
        <v>1940</v>
      </c>
      <c r="H376">
        <v>11834</v>
      </c>
      <c r="I376" s="1">
        <f t="shared" si="10"/>
        <v>0.14000199999999999</v>
      </c>
      <c r="J376" s="1">
        <f t="shared" si="11"/>
        <v>0.16393442622950818</v>
      </c>
    </row>
    <row r="377" spans="1:10">
      <c r="A377" t="s">
        <v>304</v>
      </c>
      <c r="B377">
        <v>5</v>
      </c>
      <c r="C377" t="s">
        <v>453</v>
      </c>
      <c r="D377">
        <v>5</v>
      </c>
      <c r="E377">
        <v>50</v>
      </c>
      <c r="F377">
        <v>7.0002003000000004</v>
      </c>
      <c r="G377">
        <v>2838</v>
      </c>
      <c r="H377">
        <v>11834</v>
      </c>
      <c r="I377" s="1">
        <f t="shared" si="10"/>
        <v>0.14000400600000001</v>
      </c>
      <c r="J377" s="1">
        <f t="shared" si="11"/>
        <v>0.23981747507182694</v>
      </c>
    </row>
    <row r="378" spans="1:10">
      <c r="A378" t="s">
        <v>304</v>
      </c>
      <c r="B378">
        <v>5</v>
      </c>
      <c r="C378" t="s">
        <v>454</v>
      </c>
      <c r="D378">
        <v>6</v>
      </c>
      <c r="E378">
        <v>50</v>
      </c>
      <c r="F378">
        <v>8</v>
      </c>
      <c r="G378">
        <v>3078</v>
      </c>
      <c r="H378">
        <v>11834</v>
      </c>
      <c r="I378" s="1">
        <f t="shared" si="10"/>
        <v>0.16</v>
      </c>
      <c r="J378" s="1">
        <f t="shared" si="11"/>
        <v>0.26009802264661147</v>
      </c>
    </row>
    <row r="379" spans="1:10">
      <c r="A379" t="s">
        <v>304</v>
      </c>
      <c r="B379">
        <v>5</v>
      </c>
      <c r="C379" t="s">
        <v>455</v>
      </c>
      <c r="D379">
        <v>7</v>
      </c>
      <c r="E379">
        <v>50</v>
      </c>
      <c r="F379">
        <v>8.0000999999999998</v>
      </c>
      <c r="G379">
        <v>3334</v>
      </c>
      <c r="H379">
        <v>11834</v>
      </c>
      <c r="I379" s="1">
        <f t="shared" si="10"/>
        <v>0.16000200000000001</v>
      </c>
      <c r="J379" s="1">
        <f t="shared" si="11"/>
        <v>0.28173060672638162</v>
      </c>
    </row>
    <row r="380" spans="1:10">
      <c r="A380" t="s">
        <v>304</v>
      </c>
      <c r="B380">
        <v>5</v>
      </c>
      <c r="C380" t="s">
        <v>456</v>
      </c>
      <c r="D380">
        <v>8</v>
      </c>
      <c r="E380">
        <v>50</v>
      </c>
      <c r="F380">
        <v>8.0001999999999995</v>
      </c>
      <c r="G380">
        <v>3394</v>
      </c>
      <c r="H380">
        <v>11834</v>
      </c>
      <c r="I380" s="1">
        <f t="shared" si="10"/>
        <v>0.16000399999999998</v>
      </c>
      <c r="J380" s="1">
        <f t="shared" si="11"/>
        <v>0.28680074362007774</v>
      </c>
    </row>
    <row r="381" spans="1:10">
      <c r="A381" t="s">
        <v>304</v>
      </c>
      <c r="B381">
        <v>5</v>
      </c>
      <c r="C381" t="s">
        <v>457</v>
      </c>
      <c r="D381">
        <v>9</v>
      </c>
      <c r="E381">
        <v>50</v>
      </c>
      <c r="F381">
        <v>9</v>
      </c>
      <c r="G381">
        <v>3651</v>
      </c>
      <c r="H381">
        <v>11834</v>
      </c>
      <c r="I381" s="1">
        <f t="shared" si="10"/>
        <v>0.18</v>
      </c>
      <c r="J381" s="1">
        <f t="shared" si="11"/>
        <v>0.30851782998140947</v>
      </c>
    </row>
    <row r="382" spans="1:10">
      <c r="A382" t="s">
        <v>304</v>
      </c>
      <c r="B382">
        <v>5</v>
      </c>
      <c r="C382" t="s">
        <v>458</v>
      </c>
      <c r="D382">
        <v>10</v>
      </c>
      <c r="E382">
        <v>50</v>
      </c>
      <c r="F382">
        <v>26</v>
      </c>
      <c r="G382">
        <v>3711</v>
      </c>
      <c r="H382">
        <v>11834</v>
      </c>
      <c r="I382" s="1">
        <f t="shared" si="10"/>
        <v>0.52</v>
      </c>
      <c r="J382" s="1">
        <f t="shared" si="11"/>
        <v>0.31358796687510565</v>
      </c>
    </row>
    <row r="383" spans="1:10">
      <c r="A383" t="s">
        <v>304</v>
      </c>
      <c r="B383">
        <v>5</v>
      </c>
      <c r="C383" t="s">
        <v>5</v>
      </c>
      <c r="D383">
        <v>11</v>
      </c>
      <c r="E383">
        <v>50</v>
      </c>
      <c r="F383">
        <v>29</v>
      </c>
      <c r="G383">
        <v>6972</v>
      </c>
      <c r="H383">
        <v>11834</v>
      </c>
      <c r="I383" s="1">
        <f t="shared" si="10"/>
        <v>0.57999999999999996</v>
      </c>
      <c r="J383" s="1">
        <f t="shared" si="11"/>
        <v>0.58914990704749026</v>
      </c>
    </row>
    <row r="384" spans="1:10">
      <c r="A384" t="s">
        <v>304</v>
      </c>
      <c r="B384">
        <v>5</v>
      </c>
      <c r="C384" t="s">
        <v>459</v>
      </c>
      <c r="D384">
        <v>12</v>
      </c>
      <c r="E384">
        <v>50</v>
      </c>
      <c r="F384">
        <v>31</v>
      </c>
      <c r="G384">
        <v>9429</v>
      </c>
      <c r="H384">
        <v>11834</v>
      </c>
      <c r="I384" s="1">
        <f t="shared" si="10"/>
        <v>0.62</v>
      </c>
      <c r="J384" s="1">
        <f t="shared" si="11"/>
        <v>0.79677201284434684</v>
      </c>
    </row>
    <row r="385" spans="1:10">
      <c r="A385" t="s">
        <v>304</v>
      </c>
      <c r="B385">
        <v>5</v>
      </c>
      <c r="C385" t="s">
        <v>22</v>
      </c>
      <c r="D385">
        <v>13</v>
      </c>
      <c r="E385">
        <v>50</v>
      </c>
      <c r="F385">
        <v>31.0001</v>
      </c>
      <c r="G385">
        <v>9429</v>
      </c>
      <c r="H385">
        <v>11834</v>
      </c>
      <c r="I385" s="1">
        <f t="shared" si="10"/>
        <v>0.62000199999999994</v>
      </c>
      <c r="J385" s="1">
        <f t="shared" si="11"/>
        <v>0.79677201284434684</v>
      </c>
    </row>
    <row r="386" spans="1:10">
      <c r="A386" t="s">
        <v>304</v>
      </c>
      <c r="B386">
        <v>5</v>
      </c>
      <c r="C386" t="s">
        <v>460</v>
      </c>
      <c r="D386">
        <v>14</v>
      </c>
      <c r="E386">
        <v>50</v>
      </c>
      <c r="F386">
        <v>31.000198000000001</v>
      </c>
      <c r="G386">
        <v>11834</v>
      </c>
      <c r="H386">
        <v>11834</v>
      </c>
      <c r="I386" s="1">
        <f t="shared" si="10"/>
        <v>0.62000396000000002</v>
      </c>
      <c r="J386" s="1">
        <f t="shared" si="11"/>
        <v>1</v>
      </c>
    </row>
    <row r="387" spans="1:10">
      <c r="A387" t="s">
        <v>304</v>
      </c>
      <c r="B387">
        <v>5</v>
      </c>
      <c r="C387" t="s">
        <v>21</v>
      </c>
      <c r="D387">
        <v>15</v>
      </c>
      <c r="E387">
        <v>50</v>
      </c>
      <c r="F387">
        <v>33</v>
      </c>
      <c r="G387">
        <v>11834</v>
      </c>
      <c r="H387">
        <v>11834</v>
      </c>
      <c r="I387" s="1">
        <f t="shared" ref="I387:I450" si="12">F387/E387</f>
        <v>0.66</v>
      </c>
      <c r="J387" s="1">
        <f t="shared" ref="J387:J450" si="13">G387/H387</f>
        <v>1</v>
      </c>
    </row>
    <row r="388" spans="1:10">
      <c r="A388" t="s">
        <v>304</v>
      </c>
      <c r="B388">
        <v>5</v>
      </c>
      <c r="C388" t="s">
        <v>461</v>
      </c>
      <c r="D388">
        <v>16</v>
      </c>
      <c r="E388">
        <v>50</v>
      </c>
      <c r="F388">
        <v>36</v>
      </c>
      <c r="G388">
        <v>11834</v>
      </c>
      <c r="H388">
        <v>11834</v>
      </c>
      <c r="I388" s="1">
        <f t="shared" si="12"/>
        <v>0.72</v>
      </c>
      <c r="J388" s="1">
        <f t="shared" si="13"/>
        <v>1</v>
      </c>
    </row>
    <row r="389" spans="1:10">
      <c r="A389" t="s">
        <v>304</v>
      </c>
      <c r="B389">
        <v>5</v>
      </c>
      <c r="C389" t="s">
        <v>192</v>
      </c>
      <c r="D389">
        <v>17</v>
      </c>
      <c r="E389">
        <v>50</v>
      </c>
      <c r="F389">
        <v>50</v>
      </c>
      <c r="G389">
        <v>11834</v>
      </c>
      <c r="H389">
        <v>11834</v>
      </c>
      <c r="I389" s="1">
        <f t="shared" si="12"/>
        <v>1</v>
      </c>
      <c r="J389" s="1">
        <f t="shared" si="13"/>
        <v>1</v>
      </c>
    </row>
    <row r="390" spans="1:10">
      <c r="A390" t="s">
        <v>304</v>
      </c>
      <c r="B390">
        <v>5</v>
      </c>
      <c r="C390" t="s">
        <v>462</v>
      </c>
      <c r="D390">
        <v>18</v>
      </c>
      <c r="E390">
        <v>50</v>
      </c>
      <c r="F390">
        <v>60</v>
      </c>
      <c r="G390">
        <v>11834</v>
      </c>
      <c r="H390">
        <v>11834</v>
      </c>
      <c r="I390" s="1">
        <f t="shared" si="12"/>
        <v>1.2</v>
      </c>
      <c r="J390" s="1">
        <f t="shared" si="13"/>
        <v>1</v>
      </c>
    </row>
    <row r="391" spans="1:10">
      <c r="A391" t="s">
        <v>304</v>
      </c>
      <c r="B391">
        <v>6</v>
      </c>
      <c r="C391" t="s">
        <v>463</v>
      </c>
      <c r="D391">
        <v>1</v>
      </c>
      <c r="E391">
        <v>1497</v>
      </c>
      <c r="F391">
        <v>107</v>
      </c>
      <c r="G391">
        <v>69185</v>
      </c>
      <c r="H391">
        <v>542161</v>
      </c>
      <c r="I391" s="1">
        <f t="shared" si="12"/>
        <v>7.1476285905143627E-2</v>
      </c>
      <c r="J391" s="1">
        <f t="shared" si="13"/>
        <v>0.12760969527501978</v>
      </c>
    </row>
    <row r="392" spans="1:10">
      <c r="A392" t="s">
        <v>304</v>
      </c>
      <c r="B392">
        <v>6</v>
      </c>
      <c r="C392" t="s">
        <v>464</v>
      </c>
      <c r="D392">
        <v>2</v>
      </c>
      <c r="E392">
        <v>1497</v>
      </c>
      <c r="F392">
        <v>119</v>
      </c>
      <c r="G392">
        <v>74686</v>
      </c>
      <c r="H392">
        <v>542161</v>
      </c>
      <c r="I392" s="1">
        <f t="shared" si="12"/>
        <v>7.9492317969271878E-2</v>
      </c>
      <c r="J392" s="1">
        <f t="shared" si="13"/>
        <v>0.13775612779229787</v>
      </c>
    </row>
    <row r="393" spans="1:10">
      <c r="A393" t="s">
        <v>304</v>
      </c>
      <c r="B393">
        <v>6</v>
      </c>
      <c r="C393" t="s">
        <v>465</v>
      </c>
      <c r="D393">
        <v>3</v>
      </c>
      <c r="E393">
        <v>1497</v>
      </c>
      <c r="F393">
        <v>195</v>
      </c>
      <c r="G393">
        <v>76889</v>
      </c>
      <c r="H393">
        <v>542161</v>
      </c>
      <c r="I393" s="1">
        <f t="shared" si="12"/>
        <v>0.13026052104208416</v>
      </c>
      <c r="J393" s="1">
        <f t="shared" si="13"/>
        <v>0.14181949642264935</v>
      </c>
    </row>
    <row r="394" spans="1:10">
      <c r="A394" t="s">
        <v>304</v>
      </c>
      <c r="B394">
        <v>6</v>
      </c>
      <c r="C394" t="s">
        <v>466</v>
      </c>
      <c r="D394">
        <v>4</v>
      </c>
      <c r="E394">
        <v>1497</v>
      </c>
      <c r="F394">
        <v>345</v>
      </c>
      <c r="G394">
        <v>105273</v>
      </c>
      <c r="H394">
        <v>542161</v>
      </c>
      <c r="I394" s="1">
        <f t="shared" si="12"/>
        <v>0.23046092184368738</v>
      </c>
      <c r="J394" s="1">
        <f t="shared" si="13"/>
        <v>0.19417294862596166</v>
      </c>
    </row>
    <row r="395" spans="1:10">
      <c r="A395" t="s">
        <v>304</v>
      </c>
      <c r="B395">
        <v>6</v>
      </c>
      <c r="C395" t="s">
        <v>467</v>
      </c>
      <c r="D395">
        <v>5</v>
      </c>
      <c r="E395">
        <v>1497</v>
      </c>
      <c r="F395">
        <v>353</v>
      </c>
      <c r="G395">
        <v>123951</v>
      </c>
      <c r="H395">
        <v>542161</v>
      </c>
      <c r="I395" s="1">
        <f t="shared" si="12"/>
        <v>0.23580494321977288</v>
      </c>
      <c r="J395" s="1">
        <f t="shared" si="13"/>
        <v>0.22862396963263679</v>
      </c>
    </row>
    <row r="396" spans="1:10">
      <c r="A396" t="s">
        <v>304</v>
      </c>
      <c r="B396">
        <v>6</v>
      </c>
      <c r="C396" t="s">
        <v>468</v>
      </c>
      <c r="D396">
        <v>6</v>
      </c>
      <c r="E396">
        <v>1497</v>
      </c>
      <c r="F396">
        <v>363</v>
      </c>
      <c r="G396">
        <v>131143</v>
      </c>
      <c r="H396">
        <v>542161</v>
      </c>
      <c r="I396" s="1">
        <f t="shared" si="12"/>
        <v>0.24248496993987975</v>
      </c>
      <c r="J396" s="1">
        <f t="shared" si="13"/>
        <v>0.24188940185664407</v>
      </c>
    </row>
    <row r="397" spans="1:10">
      <c r="A397" t="s">
        <v>304</v>
      </c>
      <c r="B397">
        <v>6</v>
      </c>
      <c r="C397" t="s">
        <v>469</v>
      </c>
      <c r="D397">
        <v>7</v>
      </c>
      <c r="E397">
        <v>1497</v>
      </c>
      <c r="F397">
        <v>368</v>
      </c>
      <c r="G397">
        <v>179106</v>
      </c>
      <c r="H397">
        <v>542161</v>
      </c>
      <c r="I397" s="1">
        <f t="shared" si="12"/>
        <v>0.24582498329993319</v>
      </c>
      <c r="J397" s="1">
        <f t="shared" si="13"/>
        <v>0.33035574303574028</v>
      </c>
    </row>
    <row r="398" spans="1:10">
      <c r="A398" t="s">
        <v>304</v>
      </c>
      <c r="B398">
        <v>6</v>
      </c>
      <c r="C398" t="s">
        <v>470</v>
      </c>
      <c r="D398">
        <v>8</v>
      </c>
      <c r="E398">
        <v>1497</v>
      </c>
      <c r="F398">
        <v>400</v>
      </c>
      <c r="G398">
        <v>193223</v>
      </c>
      <c r="H398">
        <v>542161</v>
      </c>
      <c r="I398" s="1">
        <f t="shared" si="12"/>
        <v>0.26720106880427524</v>
      </c>
      <c r="J398" s="1">
        <f t="shared" si="13"/>
        <v>0.35639413384585023</v>
      </c>
    </row>
    <row r="399" spans="1:10">
      <c r="A399" t="s">
        <v>304</v>
      </c>
      <c r="B399">
        <v>6</v>
      </c>
      <c r="C399" t="s">
        <v>471</v>
      </c>
      <c r="D399">
        <v>9</v>
      </c>
      <c r="E399">
        <v>1497</v>
      </c>
      <c r="F399">
        <v>409</v>
      </c>
      <c r="G399">
        <v>258080</v>
      </c>
      <c r="H399">
        <v>542161</v>
      </c>
      <c r="I399" s="1">
        <f t="shared" si="12"/>
        <v>0.27321309285237139</v>
      </c>
      <c r="J399" s="1">
        <f t="shared" si="13"/>
        <v>0.47602096056337506</v>
      </c>
    </row>
    <row r="400" spans="1:10">
      <c r="A400" t="s">
        <v>304</v>
      </c>
      <c r="B400">
        <v>6</v>
      </c>
      <c r="C400" t="s">
        <v>472</v>
      </c>
      <c r="D400">
        <v>10</v>
      </c>
      <c r="E400">
        <v>1497</v>
      </c>
      <c r="F400">
        <v>433</v>
      </c>
      <c r="G400">
        <v>382173</v>
      </c>
      <c r="H400">
        <v>542161</v>
      </c>
      <c r="I400" s="1">
        <f t="shared" si="12"/>
        <v>0.28924515698062792</v>
      </c>
      <c r="J400" s="1">
        <f t="shared" si="13"/>
        <v>0.70490684501467271</v>
      </c>
    </row>
    <row r="401" spans="1:10">
      <c r="A401" t="s">
        <v>304</v>
      </c>
      <c r="B401">
        <v>6</v>
      </c>
      <c r="C401" t="s">
        <v>473</v>
      </c>
      <c r="D401">
        <v>11</v>
      </c>
      <c r="E401">
        <v>1497</v>
      </c>
      <c r="F401">
        <v>436</v>
      </c>
      <c r="G401">
        <v>389115</v>
      </c>
      <c r="H401">
        <v>542161</v>
      </c>
      <c r="I401" s="1">
        <f t="shared" si="12"/>
        <v>0.29124916499665998</v>
      </c>
      <c r="J401" s="1">
        <f t="shared" si="13"/>
        <v>0.71771115960019261</v>
      </c>
    </row>
    <row r="402" spans="1:10">
      <c r="A402" t="s">
        <v>304</v>
      </c>
      <c r="B402">
        <v>6</v>
      </c>
      <c r="C402" t="s">
        <v>474</v>
      </c>
      <c r="D402">
        <v>12</v>
      </c>
      <c r="E402">
        <v>1497</v>
      </c>
      <c r="F402">
        <v>442</v>
      </c>
      <c r="G402">
        <v>508549</v>
      </c>
      <c r="H402">
        <v>542161</v>
      </c>
      <c r="I402" s="1">
        <f t="shared" si="12"/>
        <v>0.29525718102872411</v>
      </c>
      <c r="J402" s="1">
        <f t="shared" si="13"/>
        <v>0.93800365574063793</v>
      </c>
    </row>
    <row r="403" spans="1:10">
      <c r="A403" t="s">
        <v>304</v>
      </c>
      <c r="B403">
        <v>6</v>
      </c>
      <c r="C403" t="s">
        <v>475</v>
      </c>
      <c r="D403">
        <v>13</v>
      </c>
      <c r="E403">
        <v>1497</v>
      </c>
      <c r="F403">
        <v>452</v>
      </c>
      <c r="G403">
        <v>508707</v>
      </c>
      <c r="H403">
        <v>542161</v>
      </c>
      <c r="I403" s="1">
        <f t="shared" si="12"/>
        <v>0.30193720774883098</v>
      </c>
      <c r="J403" s="1">
        <f t="shared" si="13"/>
        <v>0.93829508208816204</v>
      </c>
    </row>
    <row r="404" spans="1:10">
      <c r="A404" t="s">
        <v>304</v>
      </c>
      <c r="B404">
        <v>6</v>
      </c>
      <c r="C404" t="s">
        <v>476</v>
      </c>
      <c r="D404">
        <v>14</v>
      </c>
      <c r="E404">
        <v>1497</v>
      </c>
      <c r="F404">
        <v>464</v>
      </c>
      <c r="G404">
        <v>535219</v>
      </c>
      <c r="H404">
        <v>542161</v>
      </c>
      <c r="I404" s="1">
        <f t="shared" si="12"/>
        <v>0.30995323981295925</v>
      </c>
      <c r="J404" s="1">
        <f t="shared" si="13"/>
        <v>0.98719568541448022</v>
      </c>
    </row>
    <row r="405" spans="1:10">
      <c r="A405" t="s">
        <v>304</v>
      </c>
      <c r="B405">
        <v>6</v>
      </c>
      <c r="C405" t="s">
        <v>477</v>
      </c>
      <c r="D405">
        <v>15</v>
      </c>
      <c r="E405">
        <v>1497</v>
      </c>
      <c r="F405">
        <v>483</v>
      </c>
      <c r="G405">
        <v>542161</v>
      </c>
      <c r="H405">
        <v>542161</v>
      </c>
      <c r="I405" s="1">
        <f t="shared" si="12"/>
        <v>0.32264529058116231</v>
      </c>
      <c r="J405" s="1">
        <f t="shared" si="13"/>
        <v>1</v>
      </c>
    </row>
    <row r="406" spans="1:10">
      <c r="A406" t="s">
        <v>155</v>
      </c>
      <c r="B406">
        <v>9</v>
      </c>
      <c r="C406" t="s">
        <v>157</v>
      </c>
      <c r="D406">
        <v>1</v>
      </c>
      <c r="E406">
        <v>4</v>
      </c>
      <c r="F406">
        <v>2</v>
      </c>
      <c r="G406">
        <v>55</v>
      </c>
      <c r="H406">
        <v>295</v>
      </c>
      <c r="I406" s="1">
        <f t="shared" si="12"/>
        <v>0.5</v>
      </c>
      <c r="J406" s="1">
        <f t="shared" si="13"/>
        <v>0.1864406779661017</v>
      </c>
    </row>
    <row r="407" spans="1:10">
      <c r="A407" t="s">
        <v>155</v>
      </c>
      <c r="B407">
        <v>9</v>
      </c>
      <c r="C407" t="s">
        <v>161</v>
      </c>
      <c r="D407">
        <v>2</v>
      </c>
      <c r="E407">
        <v>4</v>
      </c>
      <c r="F407">
        <v>2.0001000000000002</v>
      </c>
      <c r="G407">
        <v>69</v>
      </c>
      <c r="H407">
        <v>295</v>
      </c>
      <c r="I407" s="1">
        <f t="shared" si="12"/>
        <v>0.50002500000000005</v>
      </c>
      <c r="J407" s="1">
        <f t="shared" si="13"/>
        <v>0.23389830508474577</v>
      </c>
    </row>
    <row r="408" spans="1:10">
      <c r="A408" t="s">
        <v>155</v>
      </c>
      <c r="B408">
        <v>9</v>
      </c>
      <c r="C408" t="s">
        <v>158</v>
      </c>
      <c r="D408">
        <v>3</v>
      </c>
      <c r="E408">
        <v>4</v>
      </c>
      <c r="F408">
        <v>2.0001997999999999</v>
      </c>
      <c r="G408">
        <v>146</v>
      </c>
      <c r="H408">
        <v>295</v>
      </c>
      <c r="I408" s="1">
        <f t="shared" si="12"/>
        <v>0.50004994999999997</v>
      </c>
      <c r="J408" s="1">
        <f t="shared" si="13"/>
        <v>0.49491525423728816</v>
      </c>
    </row>
    <row r="409" spans="1:10">
      <c r="A409" t="s">
        <v>155</v>
      </c>
      <c r="B409">
        <v>9</v>
      </c>
      <c r="C409" t="s">
        <v>160</v>
      </c>
      <c r="D409">
        <v>4</v>
      </c>
      <c r="E409">
        <v>4</v>
      </c>
      <c r="F409">
        <v>2.0002996999999998</v>
      </c>
      <c r="G409">
        <v>151</v>
      </c>
      <c r="H409">
        <v>295</v>
      </c>
      <c r="I409" s="1">
        <f t="shared" si="12"/>
        <v>0.50007492499999995</v>
      </c>
      <c r="J409" s="1">
        <f t="shared" si="13"/>
        <v>0.51186440677966105</v>
      </c>
    </row>
    <row r="410" spans="1:10">
      <c r="A410" t="s">
        <v>155</v>
      </c>
      <c r="B410">
        <v>9</v>
      </c>
      <c r="C410" t="s">
        <v>171</v>
      </c>
      <c r="D410">
        <v>5</v>
      </c>
      <c r="E410">
        <v>4</v>
      </c>
      <c r="F410">
        <v>2.0003996000000002</v>
      </c>
      <c r="G410">
        <v>154</v>
      </c>
      <c r="H410">
        <v>295</v>
      </c>
      <c r="I410" s="1">
        <f t="shared" si="12"/>
        <v>0.50009990000000004</v>
      </c>
      <c r="J410" s="1">
        <f t="shared" si="13"/>
        <v>0.52203389830508473</v>
      </c>
    </row>
    <row r="411" spans="1:10">
      <c r="A411" t="s">
        <v>155</v>
      </c>
      <c r="B411">
        <v>9</v>
      </c>
      <c r="C411" t="s">
        <v>169</v>
      </c>
      <c r="D411">
        <v>6</v>
      </c>
      <c r="E411">
        <v>4</v>
      </c>
      <c r="F411">
        <v>2.0004995000000001</v>
      </c>
      <c r="G411">
        <v>154</v>
      </c>
      <c r="H411">
        <v>295</v>
      </c>
      <c r="I411" s="1">
        <f t="shared" si="12"/>
        <v>0.50012487500000002</v>
      </c>
      <c r="J411" s="1">
        <f t="shared" si="13"/>
        <v>0.52203389830508473</v>
      </c>
    </row>
    <row r="412" spans="1:10">
      <c r="A412" t="s">
        <v>155</v>
      </c>
      <c r="B412">
        <v>9</v>
      </c>
      <c r="C412" t="s">
        <v>156</v>
      </c>
      <c r="D412">
        <v>7</v>
      </c>
      <c r="E412">
        <v>4</v>
      </c>
      <c r="F412">
        <v>3</v>
      </c>
      <c r="G412">
        <v>156</v>
      </c>
      <c r="H412">
        <v>295</v>
      </c>
      <c r="I412" s="1">
        <f t="shared" si="12"/>
        <v>0.75</v>
      </c>
      <c r="J412" s="1">
        <f t="shared" si="13"/>
        <v>0.52881355932203389</v>
      </c>
    </row>
    <row r="413" spans="1:10">
      <c r="A413" t="s">
        <v>155</v>
      </c>
      <c r="B413">
        <v>9</v>
      </c>
      <c r="C413" t="s">
        <v>159</v>
      </c>
      <c r="D413">
        <v>8</v>
      </c>
      <c r="E413">
        <v>4</v>
      </c>
      <c r="F413">
        <v>3.0001000000000002</v>
      </c>
      <c r="G413">
        <v>156</v>
      </c>
      <c r="H413">
        <v>295</v>
      </c>
      <c r="I413" s="1">
        <f t="shared" si="12"/>
        <v>0.75002500000000005</v>
      </c>
      <c r="J413" s="1">
        <f t="shared" si="13"/>
        <v>0.52881355932203389</v>
      </c>
    </row>
    <row r="414" spans="1:10">
      <c r="A414" t="s">
        <v>155</v>
      </c>
      <c r="B414">
        <v>9</v>
      </c>
      <c r="C414" t="s">
        <v>162</v>
      </c>
      <c r="D414">
        <v>9</v>
      </c>
      <c r="E414">
        <v>4</v>
      </c>
      <c r="F414">
        <v>3.0001997999999999</v>
      </c>
      <c r="G414">
        <v>156</v>
      </c>
      <c r="H414">
        <v>295</v>
      </c>
      <c r="I414" s="1">
        <f t="shared" si="12"/>
        <v>0.75004994999999997</v>
      </c>
      <c r="J414" s="1">
        <f t="shared" si="13"/>
        <v>0.52881355932203389</v>
      </c>
    </row>
    <row r="415" spans="1:10">
      <c r="A415" t="s">
        <v>155</v>
      </c>
      <c r="B415">
        <v>9</v>
      </c>
      <c r="C415" t="s">
        <v>164</v>
      </c>
      <c r="D415">
        <v>10</v>
      </c>
      <c r="E415">
        <v>4</v>
      </c>
      <c r="F415">
        <v>3.0002996999999998</v>
      </c>
      <c r="G415">
        <v>159</v>
      </c>
      <c r="H415">
        <v>295</v>
      </c>
      <c r="I415" s="1">
        <f t="shared" si="12"/>
        <v>0.75007492499999995</v>
      </c>
      <c r="J415" s="1">
        <f t="shared" si="13"/>
        <v>0.53898305084745768</v>
      </c>
    </row>
    <row r="416" spans="1:10">
      <c r="A416" t="s">
        <v>155</v>
      </c>
      <c r="B416">
        <v>9</v>
      </c>
      <c r="C416" t="s">
        <v>166</v>
      </c>
      <c r="D416">
        <v>11</v>
      </c>
      <c r="E416">
        <v>4</v>
      </c>
      <c r="F416">
        <v>3.0003996000000002</v>
      </c>
      <c r="G416">
        <v>244</v>
      </c>
      <c r="H416">
        <v>295</v>
      </c>
      <c r="I416" s="1">
        <f t="shared" si="12"/>
        <v>0.75009990000000004</v>
      </c>
      <c r="J416" s="1">
        <f t="shared" si="13"/>
        <v>0.82711864406779656</v>
      </c>
    </row>
    <row r="417" spans="1:10">
      <c r="A417" t="s">
        <v>155</v>
      </c>
      <c r="B417">
        <v>9</v>
      </c>
      <c r="C417" t="s">
        <v>168</v>
      </c>
      <c r="D417">
        <v>12</v>
      </c>
      <c r="E417">
        <v>4</v>
      </c>
      <c r="F417">
        <v>3.0004995000000001</v>
      </c>
      <c r="G417">
        <v>245</v>
      </c>
      <c r="H417">
        <v>295</v>
      </c>
      <c r="I417" s="1">
        <f t="shared" si="12"/>
        <v>0.75012487500000002</v>
      </c>
      <c r="J417" s="1">
        <f t="shared" si="13"/>
        <v>0.83050847457627119</v>
      </c>
    </row>
    <row r="418" spans="1:10">
      <c r="A418" t="s">
        <v>155</v>
      </c>
      <c r="B418">
        <v>9</v>
      </c>
      <c r="C418" t="s">
        <v>21</v>
      </c>
      <c r="D418">
        <v>13</v>
      </c>
      <c r="E418">
        <v>4</v>
      </c>
      <c r="F418">
        <v>3.0005994</v>
      </c>
      <c r="G418">
        <v>255</v>
      </c>
      <c r="H418">
        <v>295</v>
      </c>
      <c r="I418" s="1">
        <f t="shared" si="12"/>
        <v>0.75014985000000001</v>
      </c>
      <c r="J418" s="1">
        <f t="shared" si="13"/>
        <v>0.86440677966101698</v>
      </c>
    </row>
    <row r="419" spans="1:10">
      <c r="A419" t="s">
        <v>155</v>
      </c>
      <c r="B419">
        <v>9</v>
      </c>
      <c r="C419" t="s">
        <v>165</v>
      </c>
      <c r="D419">
        <v>14</v>
      </c>
      <c r="E419">
        <v>4</v>
      </c>
      <c r="F419">
        <v>3.0006993</v>
      </c>
      <c r="G419">
        <v>255</v>
      </c>
      <c r="H419">
        <v>295</v>
      </c>
      <c r="I419" s="1">
        <f t="shared" si="12"/>
        <v>0.75017482499999999</v>
      </c>
      <c r="J419" s="1">
        <f t="shared" si="13"/>
        <v>0.86440677966101698</v>
      </c>
    </row>
    <row r="420" spans="1:10">
      <c r="A420" t="s">
        <v>155</v>
      </c>
      <c r="B420">
        <v>9</v>
      </c>
      <c r="C420" t="s">
        <v>167</v>
      </c>
      <c r="D420">
        <v>15</v>
      </c>
      <c r="E420">
        <v>4</v>
      </c>
      <c r="F420">
        <v>3.0007991999999999</v>
      </c>
      <c r="G420">
        <v>278</v>
      </c>
      <c r="H420">
        <v>295</v>
      </c>
      <c r="I420" s="1">
        <f t="shared" si="12"/>
        <v>0.75019979999999997</v>
      </c>
      <c r="J420" s="1">
        <f t="shared" si="13"/>
        <v>0.94237288135593222</v>
      </c>
    </row>
    <row r="421" spans="1:10">
      <c r="A421" t="s">
        <v>155</v>
      </c>
      <c r="B421">
        <v>9</v>
      </c>
      <c r="C421" t="s">
        <v>172</v>
      </c>
      <c r="D421">
        <v>16</v>
      </c>
      <c r="E421">
        <v>4</v>
      </c>
      <c r="F421">
        <v>3.000899</v>
      </c>
      <c r="G421">
        <v>293</v>
      </c>
      <c r="H421">
        <v>295</v>
      </c>
      <c r="I421" s="1">
        <f t="shared" si="12"/>
        <v>0.75022475</v>
      </c>
      <c r="J421" s="1">
        <f t="shared" si="13"/>
        <v>0.99322033898305084</v>
      </c>
    </row>
    <row r="422" spans="1:10">
      <c r="A422" t="s">
        <v>155</v>
      </c>
      <c r="B422">
        <v>9</v>
      </c>
      <c r="C422" t="s">
        <v>163</v>
      </c>
      <c r="D422">
        <v>17</v>
      </c>
      <c r="E422">
        <v>4</v>
      </c>
      <c r="F422">
        <v>4</v>
      </c>
      <c r="G422">
        <v>295</v>
      </c>
      <c r="H422">
        <v>295</v>
      </c>
      <c r="I422" s="1">
        <f t="shared" si="12"/>
        <v>1</v>
      </c>
      <c r="J422" s="1">
        <f t="shared" si="13"/>
        <v>1</v>
      </c>
    </row>
    <row r="423" spans="1:10">
      <c r="A423" t="s">
        <v>155</v>
      </c>
      <c r="B423">
        <v>9</v>
      </c>
      <c r="C423" t="s">
        <v>170</v>
      </c>
      <c r="D423">
        <v>18</v>
      </c>
      <c r="E423">
        <v>4</v>
      </c>
      <c r="F423">
        <v>4.0000999999999998</v>
      </c>
      <c r="G423">
        <v>295</v>
      </c>
      <c r="H423">
        <v>295</v>
      </c>
      <c r="I423" s="1">
        <f t="shared" si="12"/>
        <v>1.0000249999999999</v>
      </c>
      <c r="J423" s="1">
        <f t="shared" si="13"/>
        <v>1</v>
      </c>
    </row>
    <row r="424" spans="1:10">
      <c r="A424" t="s">
        <v>155</v>
      </c>
      <c r="B424">
        <v>10</v>
      </c>
      <c r="C424" t="s">
        <v>2</v>
      </c>
      <c r="D424">
        <v>1</v>
      </c>
      <c r="E424">
        <v>4</v>
      </c>
      <c r="F424">
        <v>3</v>
      </c>
      <c r="G424">
        <v>258</v>
      </c>
      <c r="H424">
        <v>311</v>
      </c>
      <c r="I424" s="1">
        <f t="shared" si="12"/>
        <v>0.75</v>
      </c>
      <c r="J424" s="1">
        <f t="shared" si="13"/>
        <v>0.82958199356913187</v>
      </c>
    </row>
    <row r="425" spans="1:10">
      <c r="A425" t="s">
        <v>155</v>
      </c>
      <c r="B425">
        <v>10</v>
      </c>
      <c r="C425" t="s">
        <v>1</v>
      </c>
      <c r="D425">
        <v>2</v>
      </c>
      <c r="E425">
        <v>4</v>
      </c>
      <c r="F425">
        <v>4</v>
      </c>
      <c r="G425">
        <v>309</v>
      </c>
      <c r="H425">
        <v>311</v>
      </c>
      <c r="I425" s="1">
        <f t="shared" si="12"/>
        <v>1</v>
      </c>
      <c r="J425" s="1">
        <f t="shared" si="13"/>
        <v>0.99356913183279738</v>
      </c>
    </row>
    <row r="426" spans="1:10">
      <c r="A426" t="s">
        <v>155</v>
      </c>
      <c r="B426">
        <v>10</v>
      </c>
      <c r="C426" t="s">
        <v>0</v>
      </c>
      <c r="D426">
        <v>3</v>
      </c>
      <c r="E426">
        <v>4</v>
      </c>
      <c r="F426">
        <v>4.0000999999999998</v>
      </c>
      <c r="G426">
        <v>309</v>
      </c>
      <c r="H426">
        <v>311</v>
      </c>
      <c r="I426" s="1">
        <f t="shared" si="12"/>
        <v>1.0000249999999999</v>
      </c>
      <c r="J426" s="1">
        <f t="shared" si="13"/>
        <v>0.99356913183279738</v>
      </c>
    </row>
    <row r="427" spans="1:10">
      <c r="A427" t="s">
        <v>155</v>
      </c>
      <c r="B427">
        <v>10</v>
      </c>
      <c r="C427" t="s">
        <v>3</v>
      </c>
      <c r="D427">
        <v>4</v>
      </c>
      <c r="E427">
        <v>4</v>
      </c>
      <c r="F427">
        <v>4.0002003000000004</v>
      </c>
      <c r="G427">
        <v>311</v>
      </c>
      <c r="H427">
        <v>311</v>
      </c>
      <c r="I427" s="1">
        <f t="shared" si="12"/>
        <v>1.0000500750000001</v>
      </c>
      <c r="J427" s="1">
        <f t="shared" si="13"/>
        <v>1</v>
      </c>
    </row>
    <row r="428" spans="1:10">
      <c r="A428" t="s">
        <v>155</v>
      </c>
      <c r="B428">
        <v>11</v>
      </c>
      <c r="C428" t="s">
        <v>173</v>
      </c>
      <c r="D428">
        <v>1</v>
      </c>
      <c r="E428">
        <v>10</v>
      </c>
      <c r="F428">
        <v>3</v>
      </c>
      <c r="G428">
        <v>69</v>
      </c>
      <c r="H428">
        <v>3114</v>
      </c>
      <c r="I428" s="1">
        <f t="shared" si="12"/>
        <v>0.3</v>
      </c>
      <c r="J428" s="1">
        <f t="shared" si="13"/>
        <v>2.2157996146435453E-2</v>
      </c>
    </row>
    <row r="429" spans="1:10">
      <c r="A429" t="s">
        <v>155</v>
      </c>
      <c r="B429">
        <v>11</v>
      </c>
      <c r="C429" t="s">
        <v>176</v>
      </c>
      <c r="D429">
        <v>2</v>
      </c>
      <c r="E429">
        <v>10</v>
      </c>
      <c r="F429">
        <v>4</v>
      </c>
      <c r="G429">
        <v>649</v>
      </c>
      <c r="H429">
        <v>3114</v>
      </c>
      <c r="I429" s="1">
        <f t="shared" si="12"/>
        <v>0.4</v>
      </c>
      <c r="J429" s="1">
        <f t="shared" si="13"/>
        <v>0.20841361592806679</v>
      </c>
    </row>
    <row r="430" spans="1:10">
      <c r="A430" t="s">
        <v>155</v>
      </c>
      <c r="B430">
        <v>11</v>
      </c>
      <c r="C430" t="s">
        <v>174</v>
      </c>
      <c r="D430">
        <v>3</v>
      </c>
      <c r="E430">
        <v>10</v>
      </c>
      <c r="F430">
        <v>4.0000999999999998</v>
      </c>
      <c r="G430">
        <v>798</v>
      </c>
      <c r="H430">
        <v>3114</v>
      </c>
      <c r="I430" s="1">
        <f t="shared" si="12"/>
        <v>0.40000999999999998</v>
      </c>
      <c r="J430" s="1">
        <f t="shared" si="13"/>
        <v>0.25626204238921002</v>
      </c>
    </row>
    <row r="431" spans="1:10">
      <c r="A431" t="s">
        <v>155</v>
      </c>
      <c r="B431">
        <v>11</v>
      </c>
      <c r="C431" t="s">
        <v>177</v>
      </c>
      <c r="D431">
        <v>4</v>
      </c>
      <c r="E431">
        <v>10</v>
      </c>
      <c r="F431">
        <v>5</v>
      </c>
      <c r="G431">
        <v>955</v>
      </c>
      <c r="H431">
        <v>3114</v>
      </c>
      <c r="I431" s="1">
        <f t="shared" si="12"/>
        <v>0.5</v>
      </c>
      <c r="J431" s="1">
        <f t="shared" si="13"/>
        <v>0.30667951188182402</v>
      </c>
    </row>
    <row r="432" spans="1:10">
      <c r="A432" t="s">
        <v>155</v>
      </c>
      <c r="B432">
        <v>11</v>
      </c>
      <c r="C432" t="s">
        <v>178</v>
      </c>
      <c r="D432">
        <v>5</v>
      </c>
      <c r="E432">
        <v>10</v>
      </c>
      <c r="F432">
        <v>5.0000999999999998</v>
      </c>
      <c r="G432">
        <v>1171</v>
      </c>
      <c r="H432">
        <v>3114</v>
      </c>
      <c r="I432" s="1">
        <f t="shared" si="12"/>
        <v>0.50000999999999995</v>
      </c>
      <c r="J432" s="1">
        <f t="shared" si="13"/>
        <v>0.37604367373153502</v>
      </c>
    </row>
    <row r="433" spans="1:10">
      <c r="A433" t="s">
        <v>155</v>
      </c>
      <c r="B433">
        <v>11</v>
      </c>
      <c r="C433" t="s">
        <v>182</v>
      </c>
      <c r="D433">
        <v>6</v>
      </c>
      <c r="E433">
        <v>10</v>
      </c>
      <c r="F433">
        <v>5.0002003000000004</v>
      </c>
      <c r="G433">
        <v>1641</v>
      </c>
      <c r="H433">
        <v>3114</v>
      </c>
      <c r="I433" s="1">
        <f t="shared" si="12"/>
        <v>0.50002003000000006</v>
      </c>
      <c r="J433" s="1">
        <f t="shared" si="13"/>
        <v>0.52697495183044318</v>
      </c>
    </row>
    <row r="434" spans="1:10">
      <c r="A434" t="s">
        <v>155</v>
      </c>
      <c r="B434">
        <v>11</v>
      </c>
      <c r="C434" t="s">
        <v>184</v>
      </c>
      <c r="D434">
        <v>7</v>
      </c>
      <c r="E434">
        <v>10</v>
      </c>
      <c r="F434">
        <v>5.0003004000000004</v>
      </c>
      <c r="G434">
        <v>1645</v>
      </c>
      <c r="H434">
        <v>3114</v>
      </c>
      <c r="I434" s="1">
        <f t="shared" si="12"/>
        <v>0.50003004000000006</v>
      </c>
      <c r="J434" s="1">
        <f t="shared" si="13"/>
        <v>0.52825947334617851</v>
      </c>
    </row>
    <row r="435" spans="1:10">
      <c r="A435" t="s">
        <v>155</v>
      </c>
      <c r="B435">
        <v>11</v>
      </c>
      <c r="C435" t="s">
        <v>188</v>
      </c>
      <c r="D435">
        <v>8</v>
      </c>
      <c r="E435">
        <v>10</v>
      </c>
      <c r="F435">
        <v>5.0004004999999996</v>
      </c>
      <c r="G435">
        <v>1880</v>
      </c>
      <c r="H435">
        <v>3114</v>
      </c>
      <c r="I435" s="1">
        <f t="shared" si="12"/>
        <v>0.50004004999999996</v>
      </c>
      <c r="J435" s="1">
        <f t="shared" si="13"/>
        <v>0.60372511239563265</v>
      </c>
    </row>
    <row r="436" spans="1:10">
      <c r="A436" t="s">
        <v>155</v>
      </c>
      <c r="B436">
        <v>11</v>
      </c>
      <c r="C436" t="s">
        <v>175</v>
      </c>
      <c r="D436">
        <v>9</v>
      </c>
      <c r="E436">
        <v>10</v>
      </c>
      <c r="F436">
        <v>5.0005006999999999</v>
      </c>
      <c r="G436">
        <v>1890</v>
      </c>
      <c r="H436">
        <v>3114</v>
      </c>
      <c r="I436" s="1">
        <f t="shared" si="12"/>
        <v>0.50005007000000001</v>
      </c>
      <c r="J436" s="1">
        <f t="shared" si="13"/>
        <v>0.60693641618497107</v>
      </c>
    </row>
    <row r="437" spans="1:10">
      <c r="A437" t="s">
        <v>155</v>
      </c>
      <c r="B437">
        <v>11</v>
      </c>
      <c r="C437" t="s">
        <v>183</v>
      </c>
      <c r="D437">
        <v>10</v>
      </c>
      <c r="E437">
        <v>10</v>
      </c>
      <c r="F437">
        <v>5.0006009999999996</v>
      </c>
      <c r="G437">
        <v>1915</v>
      </c>
      <c r="H437">
        <v>3114</v>
      </c>
      <c r="I437" s="1">
        <f t="shared" si="12"/>
        <v>0.50006010000000001</v>
      </c>
      <c r="J437" s="1">
        <f t="shared" si="13"/>
        <v>0.61496467565831725</v>
      </c>
    </row>
    <row r="438" spans="1:10">
      <c r="A438" t="s">
        <v>155</v>
      </c>
      <c r="B438">
        <v>11</v>
      </c>
      <c r="C438" t="s">
        <v>179</v>
      </c>
      <c r="D438">
        <v>11</v>
      </c>
      <c r="E438">
        <v>10</v>
      </c>
      <c r="F438">
        <v>6</v>
      </c>
      <c r="G438">
        <v>2358</v>
      </c>
      <c r="H438">
        <v>3114</v>
      </c>
      <c r="I438" s="1">
        <f t="shared" si="12"/>
        <v>0.6</v>
      </c>
      <c r="J438" s="1">
        <f t="shared" si="13"/>
        <v>0.75722543352601157</v>
      </c>
    </row>
    <row r="439" spans="1:10">
      <c r="A439" t="s">
        <v>155</v>
      </c>
      <c r="B439">
        <v>11</v>
      </c>
      <c r="C439" t="s">
        <v>185</v>
      </c>
      <c r="D439">
        <v>12</v>
      </c>
      <c r="E439">
        <v>10</v>
      </c>
      <c r="F439">
        <v>6.0000999999999998</v>
      </c>
      <c r="G439">
        <v>2358</v>
      </c>
      <c r="H439">
        <v>3114</v>
      </c>
      <c r="I439" s="1">
        <f t="shared" si="12"/>
        <v>0.60000999999999993</v>
      </c>
      <c r="J439" s="1">
        <f t="shared" si="13"/>
        <v>0.75722543352601157</v>
      </c>
    </row>
    <row r="440" spans="1:10">
      <c r="A440" t="s">
        <v>155</v>
      </c>
      <c r="B440">
        <v>11</v>
      </c>
      <c r="C440" t="s">
        <v>186</v>
      </c>
      <c r="D440">
        <v>13</v>
      </c>
      <c r="E440">
        <v>10</v>
      </c>
      <c r="F440">
        <v>6.0002003000000004</v>
      </c>
      <c r="G440">
        <v>2880</v>
      </c>
      <c r="H440">
        <v>3114</v>
      </c>
      <c r="I440" s="1">
        <f t="shared" si="12"/>
        <v>0.60002003000000004</v>
      </c>
      <c r="J440" s="1">
        <f t="shared" si="13"/>
        <v>0.92485549132947975</v>
      </c>
    </row>
    <row r="441" spans="1:10">
      <c r="A441" t="s">
        <v>155</v>
      </c>
      <c r="B441">
        <v>11</v>
      </c>
      <c r="C441" t="s">
        <v>189</v>
      </c>
      <c r="D441">
        <v>14</v>
      </c>
      <c r="E441">
        <v>10</v>
      </c>
      <c r="F441">
        <v>6.0003004000000004</v>
      </c>
      <c r="G441">
        <v>3000</v>
      </c>
      <c r="H441">
        <v>3114</v>
      </c>
      <c r="I441" s="1">
        <f t="shared" si="12"/>
        <v>0.60003004000000004</v>
      </c>
      <c r="J441" s="1">
        <f t="shared" si="13"/>
        <v>0.96339113680154143</v>
      </c>
    </row>
    <row r="442" spans="1:10">
      <c r="A442" t="s">
        <v>155</v>
      </c>
      <c r="B442">
        <v>11</v>
      </c>
      <c r="C442" t="s">
        <v>181</v>
      </c>
      <c r="D442">
        <v>15</v>
      </c>
      <c r="E442">
        <v>10</v>
      </c>
      <c r="F442">
        <v>6.0004004999999996</v>
      </c>
      <c r="G442">
        <v>3024</v>
      </c>
      <c r="H442">
        <v>3114</v>
      </c>
      <c r="I442" s="1">
        <f t="shared" si="12"/>
        <v>0.60004004999999994</v>
      </c>
      <c r="J442" s="1">
        <f t="shared" si="13"/>
        <v>0.97109826589595372</v>
      </c>
    </row>
    <row r="443" spans="1:10">
      <c r="A443" t="s">
        <v>155</v>
      </c>
      <c r="B443">
        <v>11</v>
      </c>
      <c r="C443" t="s">
        <v>190</v>
      </c>
      <c r="D443">
        <v>16</v>
      </c>
      <c r="E443">
        <v>10</v>
      </c>
      <c r="F443">
        <v>6.0005006999999999</v>
      </c>
      <c r="G443">
        <v>3034</v>
      </c>
      <c r="H443">
        <v>3114</v>
      </c>
      <c r="I443" s="1">
        <f t="shared" si="12"/>
        <v>0.60005006999999999</v>
      </c>
      <c r="J443" s="1">
        <f t="shared" si="13"/>
        <v>0.97430956968529225</v>
      </c>
    </row>
    <row r="444" spans="1:10">
      <c r="A444" t="s">
        <v>155</v>
      </c>
      <c r="B444">
        <v>11</v>
      </c>
      <c r="C444" t="s">
        <v>191</v>
      </c>
      <c r="D444">
        <v>17</v>
      </c>
      <c r="E444">
        <v>10</v>
      </c>
      <c r="F444">
        <v>6.0006009999999996</v>
      </c>
      <c r="G444">
        <v>3089</v>
      </c>
      <c r="H444">
        <v>3114</v>
      </c>
      <c r="I444" s="1">
        <f t="shared" si="12"/>
        <v>0.60006009999999999</v>
      </c>
      <c r="J444" s="1">
        <f t="shared" si="13"/>
        <v>0.99197174052665382</v>
      </c>
    </row>
    <row r="445" spans="1:10">
      <c r="A445" t="s">
        <v>155</v>
      </c>
      <c r="B445">
        <v>11</v>
      </c>
      <c r="C445" t="s">
        <v>180</v>
      </c>
      <c r="D445">
        <v>18</v>
      </c>
      <c r="E445">
        <v>10</v>
      </c>
      <c r="F445">
        <v>7</v>
      </c>
      <c r="G445">
        <v>3089</v>
      </c>
      <c r="H445">
        <v>3114</v>
      </c>
      <c r="I445" s="1">
        <f t="shared" si="12"/>
        <v>0.7</v>
      </c>
      <c r="J445" s="1">
        <f t="shared" si="13"/>
        <v>0.99197174052665382</v>
      </c>
    </row>
    <row r="446" spans="1:10">
      <c r="A446" t="s">
        <v>155</v>
      </c>
      <c r="B446">
        <v>11</v>
      </c>
      <c r="C446" t="s">
        <v>187</v>
      </c>
      <c r="D446">
        <v>19</v>
      </c>
      <c r="E446">
        <v>10</v>
      </c>
      <c r="F446">
        <v>9</v>
      </c>
      <c r="G446">
        <v>3114</v>
      </c>
      <c r="H446">
        <v>3114</v>
      </c>
      <c r="I446" s="1">
        <f t="shared" si="12"/>
        <v>0.9</v>
      </c>
      <c r="J446" s="1">
        <f t="shared" si="13"/>
        <v>1</v>
      </c>
    </row>
    <row r="447" spans="1:10">
      <c r="A447" t="s">
        <v>155</v>
      </c>
      <c r="B447">
        <v>12</v>
      </c>
      <c r="C447" t="s">
        <v>192</v>
      </c>
      <c r="D447">
        <v>1</v>
      </c>
      <c r="E447">
        <v>7</v>
      </c>
      <c r="F447">
        <v>2</v>
      </c>
      <c r="G447">
        <v>69</v>
      </c>
      <c r="H447">
        <v>1455</v>
      </c>
      <c r="I447" s="1">
        <f t="shared" si="12"/>
        <v>0.2857142857142857</v>
      </c>
      <c r="J447" s="1">
        <f t="shared" si="13"/>
        <v>4.7422680412371132E-2</v>
      </c>
    </row>
    <row r="448" spans="1:10">
      <c r="A448" t="s">
        <v>155</v>
      </c>
      <c r="B448">
        <v>12</v>
      </c>
      <c r="C448" t="s">
        <v>195</v>
      </c>
      <c r="D448">
        <v>2</v>
      </c>
      <c r="E448">
        <v>7</v>
      </c>
      <c r="F448">
        <v>4</v>
      </c>
      <c r="G448">
        <v>592</v>
      </c>
      <c r="H448">
        <v>1455</v>
      </c>
      <c r="I448" s="1">
        <f t="shared" si="12"/>
        <v>0.5714285714285714</v>
      </c>
      <c r="J448" s="1">
        <f t="shared" si="13"/>
        <v>0.40687285223367697</v>
      </c>
    </row>
    <row r="449" spans="1:10">
      <c r="A449" t="s">
        <v>155</v>
      </c>
      <c r="B449">
        <v>12</v>
      </c>
      <c r="C449" t="s">
        <v>193</v>
      </c>
      <c r="D449">
        <v>3</v>
      </c>
      <c r="E449">
        <v>7</v>
      </c>
      <c r="F449">
        <v>4.0000999999999998</v>
      </c>
      <c r="G449">
        <v>655</v>
      </c>
      <c r="H449">
        <v>1455</v>
      </c>
      <c r="I449" s="1">
        <f t="shared" si="12"/>
        <v>0.57144285714285714</v>
      </c>
      <c r="J449" s="1">
        <f t="shared" si="13"/>
        <v>0.45017182130584193</v>
      </c>
    </row>
    <row r="450" spans="1:10">
      <c r="A450" t="s">
        <v>155</v>
      </c>
      <c r="B450">
        <v>12</v>
      </c>
      <c r="C450" t="s">
        <v>169</v>
      </c>
      <c r="D450">
        <v>4</v>
      </c>
      <c r="E450">
        <v>7</v>
      </c>
      <c r="F450">
        <v>4.0002003000000004</v>
      </c>
      <c r="G450">
        <v>737</v>
      </c>
      <c r="H450">
        <v>1455</v>
      </c>
      <c r="I450" s="1">
        <f t="shared" si="12"/>
        <v>0.57145718571428572</v>
      </c>
      <c r="J450" s="1">
        <f t="shared" si="13"/>
        <v>0.5065292096219931</v>
      </c>
    </row>
    <row r="451" spans="1:10">
      <c r="A451" t="s">
        <v>155</v>
      </c>
      <c r="B451">
        <v>12</v>
      </c>
      <c r="C451" t="s">
        <v>194</v>
      </c>
      <c r="D451">
        <v>5</v>
      </c>
      <c r="E451">
        <v>7</v>
      </c>
      <c r="F451">
        <v>4.0003004000000004</v>
      </c>
      <c r="G451">
        <v>1063</v>
      </c>
      <c r="H451">
        <v>1455</v>
      </c>
      <c r="I451" s="1">
        <f t="shared" ref="I451:I472" si="14">F451/E451</f>
        <v>0.57147148571428574</v>
      </c>
      <c r="J451" s="1">
        <f t="shared" ref="J451:J472" si="15">G451/H451</f>
        <v>0.7305841924398625</v>
      </c>
    </row>
    <row r="452" spans="1:10">
      <c r="A452" t="s">
        <v>155</v>
      </c>
      <c r="B452">
        <v>12</v>
      </c>
      <c r="C452" t="s">
        <v>196</v>
      </c>
      <c r="D452">
        <v>6</v>
      </c>
      <c r="E452">
        <v>7</v>
      </c>
      <c r="F452">
        <v>4.0004004999999996</v>
      </c>
      <c r="G452">
        <v>1138</v>
      </c>
      <c r="H452">
        <v>1455</v>
      </c>
      <c r="I452" s="1">
        <f t="shared" si="14"/>
        <v>0.57148578571428565</v>
      </c>
      <c r="J452" s="1">
        <f t="shared" si="15"/>
        <v>0.78213058419243986</v>
      </c>
    </row>
    <row r="453" spans="1:10">
      <c r="A453" t="s">
        <v>155</v>
      </c>
      <c r="B453">
        <v>12</v>
      </c>
      <c r="C453" t="s">
        <v>198</v>
      </c>
      <c r="D453">
        <v>7</v>
      </c>
      <c r="E453">
        <v>7</v>
      </c>
      <c r="F453">
        <v>5</v>
      </c>
      <c r="G453">
        <v>1350</v>
      </c>
      <c r="H453">
        <v>1455</v>
      </c>
      <c r="I453" s="1">
        <f t="shared" si="14"/>
        <v>0.7142857142857143</v>
      </c>
      <c r="J453" s="1">
        <f t="shared" si="15"/>
        <v>0.92783505154639179</v>
      </c>
    </row>
    <row r="454" spans="1:10">
      <c r="A454" t="s">
        <v>155</v>
      </c>
      <c r="B454">
        <v>12</v>
      </c>
      <c r="C454" t="s">
        <v>17</v>
      </c>
      <c r="D454">
        <v>8</v>
      </c>
      <c r="E454">
        <v>7</v>
      </c>
      <c r="F454">
        <v>5.0000999999999998</v>
      </c>
      <c r="G454">
        <v>1425</v>
      </c>
      <c r="H454">
        <v>1455</v>
      </c>
      <c r="I454" s="1">
        <f t="shared" si="14"/>
        <v>0.71429999999999993</v>
      </c>
      <c r="J454" s="1">
        <f t="shared" si="15"/>
        <v>0.97938144329896903</v>
      </c>
    </row>
    <row r="455" spans="1:10">
      <c r="A455" t="s">
        <v>155</v>
      </c>
      <c r="B455">
        <v>12</v>
      </c>
      <c r="C455" t="s">
        <v>197</v>
      </c>
      <c r="D455">
        <v>9</v>
      </c>
      <c r="E455">
        <v>7</v>
      </c>
      <c r="F455">
        <v>6</v>
      </c>
      <c r="G455">
        <v>1455</v>
      </c>
      <c r="H455">
        <v>1455</v>
      </c>
      <c r="I455" s="1">
        <f t="shared" si="14"/>
        <v>0.8571428571428571</v>
      </c>
      <c r="J455" s="1">
        <f t="shared" si="15"/>
        <v>1</v>
      </c>
    </row>
    <row r="456" spans="1:10">
      <c r="A456" t="s">
        <v>155</v>
      </c>
      <c r="B456">
        <v>13</v>
      </c>
      <c r="C456" t="s">
        <v>19</v>
      </c>
      <c r="D456">
        <v>1</v>
      </c>
      <c r="E456">
        <v>2</v>
      </c>
      <c r="F456">
        <v>2</v>
      </c>
      <c r="G456">
        <v>18</v>
      </c>
      <c r="H456">
        <v>56</v>
      </c>
      <c r="I456" s="1">
        <f t="shared" si="14"/>
        <v>1</v>
      </c>
      <c r="J456" s="1">
        <f t="shared" si="15"/>
        <v>0.32142857142857145</v>
      </c>
    </row>
    <row r="457" spans="1:10">
      <c r="A457" t="s">
        <v>155</v>
      </c>
      <c r="B457">
        <v>13</v>
      </c>
      <c r="C457" t="s">
        <v>33</v>
      </c>
      <c r="D457">
        <v>2</v>
      </c>
      <c r="E457">
        <v>2</v>
      </c>
      <c r="F457">
        <v>2.0001000000000002</v>
      </c>
      <c r="G457">
        <v>56</v>
      </c>
      <c r="H457">
        <v>56</v>
      </c>
      <c r="I457" s="1">
        <f t="shared" si="14"/>
        <v>1.0000500000000001</v>
      </c>
      <c r="J457" s="1">
        <f t="shared" si="15"/>
        <v>1</v>
      </c>
    </row>
    <row r="458" spans="1:10">
      <c r="A458" t="s">
        <v>199</v>
      </c>
      <c r="B458">
        <v>2</v>
      </c>
      <c r="C458" t="s">
        <v>33</v>
      </c>
      <c r="D458">
        <v>1</v>
      </c>
      <c r="E458">
        <v>8</v>
      </c>
      <c r="F458">
        <v>2</v>
      </c>
      <c r="G458">
        <v>20</v>
      </c>
      <c r="H458">
        <v>1296</v>
      </c>
      <c r="I458" s="1">
        <f t="shared" si="14"/>
        <v>0.25</v>
      </c>
      <c r="J458" s="1">
        <f t="shared" si="15"/>
        <v>1.5432098765432098E-2</v>
      </c>
    </row>
    <row r="459" spans="1:10">
      <c r="A459" t="s">
        <v>199</v>
      </c>
      <c r="B459">
        <v>2</v>
      </c>
      <c r="C459" t="s">
        <v>478</v>
      </c>
      <c r="D459">
        <v>2</v>
      </c>
      <c r="E459">
        <v>8</v>
      </c>
      <c r="F459">
        <v>5</v>
      </c>
      <c r="G459">
        <v>764</v>
      </c>
      <c r="H459">
        <v>1296</v>
      </c>
      <c r="I459" s="1">
        <f t="shared" si="14"/>
        <v>0.625</v>
      </c>
      <c r="J459" s="1">
        <f t="shared" si="15"/>
        <v>0.58950617283950613</v>
      </c>
    </row>
    <row r="460" spans="1:10">
      <c r="A460" t="s">
        <v>199</v>
      </c>
      <c r="B460">
        <v>2</v>
      </c>
      <c r="C460" t="s">
        <v>75</v>
      </c>
      <c r="D460">
        <v>3</v>
      </c>
      <c r="E460">
        <v>8</v>
      </c>
      <c r="F460">
        <v>5.0000999999999998</v>
      </c>
      <c r="G460">
        <v>958</v>
      </c>
      <c r="H460">
        <v>1296</v>
      </c>
      <c r="I460" s="1">
        <f t="shared" si="14"/>
        <v>0.62501249999999997</v>
      </c>
      <c r="J460" s="1">
        <f t="shared" si="15"/>
        <v>0.73919753086419748</v>
      </c>
    </row>
    <row r="461" spans="1:10">
      <c r="A461" t="s">
        <v>199</v>
      </c>
      <c r="B461">
        <v>2</v>
      </c>
      <c r="C461" t="s">
        <v>479</v>
      </c>
      <c r="D461">
        <v>4</v>
      </c>
      <c r="E461">
        <v>8</v>
      </c>
      <c r="F461">
        <v>5.0002003000000004</v>
      </c>
      <c r="G461">
        <v>981</v>
      </c>
      <c r="H461">
        <v>1296</v>
      </c>
      <c r="I461" s="1">
        <f t="shared" si="14"/>
        <v>0.62502503750000005</v>
      </c>
      <c r="J461" s="1">
        <f t="shared" si="15"/>
        <v>0.75694444444444442</v>
      </c>
    </row>
    <row r="462" spans="1:10">
      <c r="A462" t="s">
        <v>199</v>
      </c>
      <c r="B462">
        <v>2</v>
      </c>
      <c r="C462" t="s">
        <v>480</v>
      </c>
      <c r="D462">
        <v>5</v>
      </c>
      <c r="E462">
        <v>8</v>
      </c>
      <c r="F462">
        <v>6</v>
      </c>
      <c r="G462">
        <v>1266</v>
      </c>
      <c r="H462">
        <v>1296</v>
      </c>
      <c r="I462" s="1">
        <f t="shared" si="14"/>
        <v>0.75</v>
      </c>
      <c r="J462" s="1">
        <f t="shared" si="15"/>
        <v>0.97685185185185186</v>
      </c>
    </row>
    <row r="463" spans="1:10">
      <c r="A463" t="s">
        <v>199</v>
      </c>
      <c r="B463">
        <v>2</v>
      </c>
      <c r="C463" t="s">
        <v>481</v>
      </c>
      <c r="D463">
        <v>6</v>
      </c>
      <c r="E463">
        <v>8</v>
      </c>
      <c r="F463">
        <v>6.0000999999999998</v>
      </c>
      <c r="G463">
        <v>1291</v>
      </c>
      <c r="H463">
        <v>1296</v>
      </c>
      <c r="I463" s="1">
        <f t="shared" si="14"/>
        <v>0.75001249999999997</v>
      </c>
      <c r="J463" s="1">
        <f t="shared" si="15"/>
        <v>0.99614197530864201</v>
      </c>
    </row>
    <row r="464" spans="1:10">
      <c r="A464" t="s">
        <v>199</v>
      </c>
      <c r="B464">
        <v>2</v>
      </c>
      <c r="C464" t="s">
        <v>482</v>
      </c>
      <c r="D464">
        <v>7</v>
      </c>
      <c r="E464">
        <v>8</v>
      </c>
      <c r="F464">
        <v>7</v>
      </c>
      <c r="G464">
        <v>1296</v>
      </c>
      <c r="H464">
        <v>1296</v>
      </c>
      <c r="I464" s="1">
        <f t="shared" si="14"/>
        <v>0.875</v>
      </c>
      <c r="J464" s="1">
        <f t="shared" si="15"/>
        <v>1</v>
      </c>
    </row>
    <row r="465" spans="1:10">
      <c r="A465" t="s">
        <v>199</v>
      </c>
      <c r="B465">
        <v>6</v>
      </c>
      <c r="C465" t="s">
        <v>37</v>
      </c>
      <c r="D465">
        <v>1</v>
      </c>
      <c r="E465">
        <v>5</v>
      </c>
      <c r="F465">
        <v>4</v>
      </c>
      <c r="G465">
        <v>347</v>
      </c>
      <c r="H465">
        <v>497</v>
      </c>
      <c r="I465" s="1">
        <f t="shared" si="14"/>
        <v>0.8</v>
      </c>
      <c r="J465" s="1">
        <f t="shared" si="15"/>
        <v>0.69818913480885314</v>
      </c>
    </row>
    <row r="466" spans="1:10">
      <c r="A466" t="s">
        <v>199</v>
      </c>
      <c r="B466">
        <v>6</v>
      </c>
      <c r="C466" t="s">
        <v>201</v>
      </c>
      <c r="D466">
        <v>2</v>
      </c>
      <c r="E466">
        <v>5</v>
      </c>
      <c r="F466">
        <v>4.0000999999999998</v>
      </c>
      <c r="G466">
        <v>472</v>
      </c>
      <c r="H466">
        <v>497</v>
      </c>
      <c r="I466" s="1">
        <f t="shared" si="14"/>
        <v>0.80001999999999995</v>
      </c>
      <c r="J466" s="1">
        <f t="shared" si="15"/>
        <v>0.94969818913480886</v>
      </c>
    </row>
    <row r="467" spans="1:10">
      <c r="A467" t="s">
        <v>199</v>
      </c>
      <c r="B467">
        <v>6</v>
      </c>
      <c r="C467" t="s">
        <v>200</v>
      </c>
      <c r="D467">
        <v>3</v>
      </c>
      <c r="E467">
        <v>5</v>
      </c>
      <c r="F467">
        <v>4.0002003000000004</v>
      </c>
      <c r="G467">
        <v>472</v>
      </c>
      <c r="H467">
        <v>497</v>
      </c>
      <c r="I467" s="1">
        <f t="shared" si="14"/>
        <v>0.80004006000000005</v>
      </c>
      <c r="J467" s="1">
        <f t="shared" si="15"/>
        <v>0.94969818913480886</v>
      </c>
    </row>
    <row r="468" spans="1:10">
      <c r="A468" t="s">
        <v>199</v>
      </c>
      <c r="B468">
        <v>6</v>
      </c>
      <c r="C468" t="s">
        <v>203</v>
      </c>
      <c r="D468">
        <v>4</v>
      </c>
      <c r="E468">
        <v>5</v>
      </c>
      <c r="F468">
        <v>4.0003004000000004</v>
      </c>
      <c r="G468">
        <v>497</v>
      </c>
      <c r="H468">
        <v>497</v>
      </c>
      <c r="I468" s="1">
        <f t="shared" si="14"/>
        <v>0.80006008000000006</v>
      </c>
      <c r="J468" s="1">
        <f t="shared" si="15"/>
        <v>1</v>
      </c>
    </row>
    <row r="469" spans="1:10">
      <c r="A469" t="s">
        <v>199</v>
      </c>
      <c r="B469">
        <v>6</v>
      </c>
      <c r="C469" t="s">
        <v>74</v>
      </c>
      <c r="D469">
        <v>5</v>
      </c>
      <c r="E469">
        <v>5</v>
      </c>
      <c r="F469">
        <v>6</v>
      </c>
      <c r="G469">
        <v>497</v>
      </c>
      <c r="H469">
        <v>497</v>
      </c>
      <c r="I469" s="1">
        <f t="shared" si="14"/>
        <v>1.2</v>
      </c>
      <c r="J469" s="1">
        <f t="shared" si="15"/>
        <v>1</v>
      </c>
    </row>
    <row r="470" spans="1:10">
      <c r="A470" t="s">
        <v>199</v>
      </c>
      <c r="B470">
        <v>6</v>
      </c>
      <c r="C470" t="s">
        <v>202</v>
      </c>
      <c r="D470">
        <v>6</v>
      </c>
      <c r="E470">
        <v>5</v>
      </c>
      <c r="F470">
        <v>7</v>
      </c>
      <c r="G470">
        <v>497</v>
      </c>
      <c r="H470">
        <v>497</v>
      </c>
      <c r="I470" s="1">
        <f t="shared" si="14"/>
        <v>1.4</v>
      </c>
      <c r="J470" s="1">
        <f t="shared" si="15"/>
        <v>1</v>
      </c>
    </row>
    <row r="471" spans="1:10">
      <c r="A471" t="s">
        <v>199</v>
      </c>
      <c r="B471">
        <v>8</v>
      </c>
      <c r="C471" t="s">
        <v>19</v>
      </c>
      <c r="D471">
        <v>1</v>
      </c>
      <c r="E471">
        <v>4</v>
      </c>
      <c r="F471">
        <v>5</v>
      </c>
      <c r="G471">
        <v>458</v>
      </c>
      <c r="H471">
        <v>529</v>
      </c>
      <c r="I471" s="1">
        <f t="shared" si="14"/>
        <v>1.25</v>
      </c>
      <c r="J471" s="1">
        <f t="shared" si="15"/>
        <v>0.86578449905482047</v>
      </c>
    </row>
    <row r="472" spans="1:10">
      <c r="A472" t="s">
        <v>199</v>
      </c>
      <c r="B472">
        <v>8</v>
      </c>
      <c r="C472" t="s">
        <v>33</v>
      </c>
      <c r="D472">
        <v>2</v>
      </c>
      <c r="E472">
        <v>4</v>
      </c>
      <c r="F472">
        <v>5.0000999999999998</v>
      </c>
      <c r="G472">
        <v>529</v>
      </c>
      <c r="H472">
        <v>529</v>
      </c>
      <c r="I472" s="1">
        <f t="shared" si="14"/>
        <v>1.2500249999999999</v>
      </c>
      <c r="J472" s="1">
        <f t="shared" si="15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472"/>
  <sheetViews>
    <sheetView topLeftCell="G2" workbookViewId="0">
      <selection activeCell="P2" sqref="P2:V8"/>
    </sheetView>
  </sheetViews>
  <sheetFormatPr baseColWidth="10" defaultRowHeight="15" x14ac:dyDescent="0"/>
  <cols>
    <col min="1" max="1" width="20" customWidth="1"/>
    <col min="3" max="3" width="17.5" customWidth="1"/>
  </cols>
  <sheetData>
    <row r="1" spans="1:76">
      <c r="A1" t="s">
        <v>204</v>
      </c>
      <c r="B1" t="s">
        <v>205</v>
      </c>
      <c r="C1" t="s">
        <v>214</v>
      </c>
      <c r="D1" t="s">
        <v>207</v>
      </c>
      <c r="E1" t="s">
        <v>212</v>
      </c>
      <c r="F1" s="1" t="s">
        <v>213</v>
      </c>
      <c r="G1" s="1" t="s">
        <v>215</v>
      </c>
      <c r="H1" t="s">
        <v>216</v>
      </c>
      <c r="I1" t="s">
        <v>217</v>
      </c>
      <c r="J1" t="s">
        <v>218</v>
      </c>
      <c r="K1" s="2" t="s">
        <v>219</v>
      </c>
      <c r="L1" s="2" t="s">
        <v>220</v>
      </c>
      <c r="M1" s="2"/>
      <c r="N1" s="2"/>
      <c r="O1" s="2"/>
      <c r="P1" s="2"/>
      <c r="Q1" s="2" t="s">
        <v>221</v>
      </c>
      <c r="R1" s="2"/>
      <c r="S1" s="2"/>
      <c r="T1" s="2"/>
      <c r="U1" s="2"/>
      <c r="W1" t="s">
        <v>222</v>
      </c>
      <c r="X1" t="s">
        <v>214</v>
      </c>
      <c r="Y1" t="s">
        <v>214</v>
      </c>
      <c r="Z1" t="s">
        <v>214</v>
      </c>
      <c r="AA1" t="s">
        <v>214</v>
      </c>
      <c r="AB1" t="s">
        <v>214</v>
      </c>
      <c r="AC1" t="s">
        <v>214</v>
      </c>
      <c r="AD1" t="s">
        <v>214</v>
      </c>
      <c r="AE1" t="s">
        <v>214</v>
      </c>
      <c r="AF1" t="s">
        <v>214</v>
      </c>
      <c r="AG1" t="s">
        <v>214</v>
      </c>
      <c r="AH1" t="s">
        <v>214</v>
      </c>
      <c r="AI1" t="s">
        <v>214</v>
      </c>
      <c r="AJ1" t="s">
        <v>214</v>
      </c>
      <c r="AK1" t="s">
        <v>214</v>
      </c>
      <c r="AL1" t="s">
        <v>214</v>
      </c>
      <c r="AM1" t="s">
        <v>214</v>
      </c>
      <c r="AN1" t="s">
        <v>214</v>
      </c>
      <c r="AO1" t="s">
        <v>214</v>
      </c>
      <c r="AP1" t="s">
        <v>214</v>
      </c>
      <c r="AQ1" t="s">
        <v>214</v>
      </c>
      <c r="AR1" t="s">
        <v>214</v>
      </c>
      <c r="AS1" t="s">
        <v>214</v>
      </c>
      <c r="AT1" t="s">
        <v>214</v>
      </c>
      <c r="AU1" t="s">
        <v>214</v>
      </c>
      <c r="AV1" t="s">
        <v>214</v>
      </c>
      <c r="AW1" t="s">
        <v>214</v>
      </c>
      <c r="AX1" t="s">
        <v>214</v>
      </c>
      <c r="AY1" t="s">
        <v>214</v>
      </c>
      <c r="AZ1" t="s">
        <v>214</v>
      </c>
      <c r="BA1" t="s">
        <v>214</v>
      </c>
      <c r="BB1" t="s">
        <v>214</v>
      </c>
      <c r="BC1" t="s">
        <v>214</v>
      </c>
      <c r="BD1" t="s">
        <v>214</v>
      </c>
      <c r="BE1" t="s">
        <v>214</v>
      </c>
      <c r="BF1" t="s">
        <v>214</v>
      </c>
      <c r="BG1" t="s">
        <v>214</v>
      </c>
      <c r="BH1" t="s">
        <v>214</v>
      </c>
      <c r="BI1" t="s">
        <v>214</v>
      </c>
      <c r="BJ1" t="s">
        <v>214</v>
      </c>
      <c r="BK1" t="s">
        <v>214</v>
      </c>
      <c r="BL1" t="s">
        <v>214</v>
      </c>
      <c r="BM1" t="s">
        <v>214</v>
      </c>
      <c r="BN1" t="s">
        <v>214</v>
      </c>
      <c r="BO1" t="s">
        <v>214</v>
      </c>
      <c r="BP1" t="s">
        <v>214</v>
      </c>
      <c r="BQ1" t="s">
        <v>214</v>
      </c>
      <c r="BR1" t="s">
        <v>214</v>
      </c>
      <c r="BS1" t="s">
        <v>214</v>
      </c>
      <c r="BT1" t="s">
        <v>214</v>
      </c>
      <c r="BU1" t="s">
        <v>214</v>
      </c>
      <c r="BV1" t="s">
        <v>214</v>
      </c>
      <c r="BW1" t="s">
        <v>214</v>
      </c>
      <c r="BX1" t="s">
        <v>214</v>
      </c>
    </row>
    <row r="2" spans="1:76">
      <c r="A2" t="s">
        <v>4</v>
      </c>
      <c r="B2">
        <v>1</v>
      </c>
      <c r="C2" t="str">
        <f>CONCATENATE(A2, "_",B2,"_")</f>
        <v>test.BallonFactory_1_</v>
      </c>
      <c r="D2">
        <v>1</v>
      </c>
      <c r="E2">
        <v>0.94440031771247024</v>
      </c>
      <c r="F2">
        <v>0.88235294117647056</v>
      </c>
      <c r="G2" s="1" t="str">
        <f>IF($F2 &lt;= 0.2,$E2,"")</f>
        <v/>
      </c>
      <c r="H2" s="1" t="str">
        <f>IF(AND($F2 &gt; 0.2,$F2 &lt;= 0.4),$E2,"")</f>
        <v/>
      </c>
      <c r="I2" s="1" t="str">
        <f>IF(AND($F2 &gt; 0.4,$F2 &lt;= 0.6),$E2,"")</f>
        <v/>
      </c>
      <c r="J2" s="1" t="str">
        <f>IF(AND($F2 &gt; 0.6,$F2 &lt;= 0.8),$E2,"")</f>
        <v/>
      </c>
      <c r="K2" s="1">
        <f>IF(AND($F2 &gt; 0.8, $F2 &lt;=1.1),$E2,"")</f>
        <v>0.94440031771247024</v>
      </c>
      <c r="L2" s="1" t="str">
        <f>IF(AND($F2 &gt; 1.1),$E2,"")</f>
        <v/>
      </c>
      <c r="M2" s="1"/>
      <c r="N2" s="1" t="s">
        <v>223</v>
      </c>
      <c r="O2" s="1" t="s">
        <v>224</v>
      </c>
      <c r="P2" s="1" t="s">
        <v>225</v>
      </c>
      <c r="Q2" s="1">
        <v>0</v>
      </c>
      <c r="R2" s="1" t="s">
        <v>226</v>
      </c>
      <c r="S2" s="1" t="s">
        <v>227</v>
      </c>
      <c r="T2" s="1" t="s">
        <v>228</v>
      </c>
      <c r="U2" s="1" t="s">
        <v>229</v>
      </c>
      <c r="V2" t="s">
        <v>230</v>
      </c>
      <c r="W2">
        <f>COUNTA(X2:BX2)</f>
        <v>53</v>
      </c>
      <c r="X2" t="s">
        <v>231</v>
      </c>
      <c r="Y2" t="s">
        <v>232</v>
      </c>
      <c r="Z2" t="s">
        <v>233</v>
      </c>
      <c r="AA2" t="s">
        <v>234</v>
      </c>
      <c r="AB2" t="s">
        <v>235</v>
      </c>
      <c r="AC2" t="s">
        <v>236</v>
      </c>
      <c r="AD2" t="s">
        <v>237</v>
      </c>
      <c r="AE2" t="s">
        <v>238</v>
      </c>
      <c r="AF2" t="s">
        <v>239</v>
      </c>
      <c r="AG2" t="s">
        <v>240</v>
      </c>
      <c r="AH2" t="s">
        <v>241</v>
      </c>
      <c r="AI2" t="s">
        <v>242</v>
      </c>
      <c r="AJ2" t="s">
        <v>243</v>
      </c>
      <c r="AK2" t="s">
        <v>244</v>
      </c>
      <c r="AL2" t="s">
        <v>245</v>
      </c>
      <c r="AM2" t="s">
        <v>246</v>
      </c>
      <c r="AN2" t="s">
        <v>247</v>
      </c>
      <c r="AO2" t="s">
        <v>248</v>
      </c>
      <c r="AP2" t="s">
        <v>249</v>
      </c>
      <c r="AQ2" t="s">
        <v>250</v>
      </c>
      <c r="AR2" t="s">
        <v>251</v>
      </c>
      <c r="AS2" t="s">
        <v>252</v>
      </c>
      <c r="AT2" t="s">
        <v>253</v>
      </c>
      <c r="AU2" t="s">
        <v>254</v>
      </c>
      <c r="AV2" t="s">
        <v>255</v>
      </c>
      <c r="AW2" t="s">
        <v>483</v>
      </c>
      <c r="AX2" t="s">
        <v>256</v>
      </c>
      <c r="AY2" t="s">
        <v>257</v>
      </c>
      <c r="AZ2" t="s">
        <v>258</v>
      </c>
      <c r="BA2" t="s">
        <v>259</v>
      </c>
      <c r="BB2" t="s">
        <v>260</v>
      </c>
      <c r="BC2" t="s">
        <v>261</v>
      </c>
      <c r="BD2" t="s">
        <v>262</v>
      </c>
      <c r="BE2" t="s">
        <v>263</v>
      </c>
      <c r="BF2" t="s">
        <v>264</v>
      </c>
      <c r="BG2" t="s">
        <v>265</v>
      </c>
      <c r="BH2" t="s">
        <v>266</v>
      </c>
      <c r="BI2" t="s">
        <v>267</v>
      </c>
      <c r="BJ2" t="s">
        <v>268</v>
      </c>
      <c r="BK2" t="s">
        <v>269</v>
      </c>
      <c r="BL2" t="s">
        <v>270</v>
      </c>
      <c r="BM2" t="s">
        <v>271</v>
      </c>
      <c r="BN2" t="s">
        <v>272</v>
      </c>
      <c r="BO2" t="s">
        <v>484</v>
      </c>
      <c r="BP2" t="s">
        <v>485</v>
      </c>
      <c r="BQ2" t="s">
        <v>273</v>
      </c>
      <c r="BR2" t="s">
        <v>274</v>
      </c>
      <c r="BS2" t="s">
        <v>275</v>
      </c>
      <c r="BT2" t="s">
        <v>276</v>
      </c>
      <c r="BU2" t="s">
        <v>277</v>
      </c>
      <c r="BV2" t="s">
        <v>278</v>
      </c>
      <c r="BW2" t="s">
        <v>279</v>
      </c>
      <c r="BX2" t="s">
        <v>280</v>
      </c>
    </row>
    <row r="3" spans="1:76">
      <c r="A3" t="s">
        <v>4</v>
      </c>
      <c r="B3">
        <v>1</v>
      </c>
      <c r="C3" t="str">
        <f t="shared" ref="C3:C66" si="0">CONCATENATE(A3, "_",B3,"_")</f>
        <v>test.BallonFactory_1_</v>
      </c>
      <c r="D3">
        <v>2</v>
      </c>
      <c r="E3">
        <v>0.99364575059571092</v>
      </c>
      <c r="F3">
        <v>0.88235882352941175</v>
      </c>
      <c r="G3" s="1" t="str">
        <f t="shared" ref="G3:G66" si="1">IF($F3 &lt;= 0.2,$E3,"")</f>
        <v/>
      </c>
      <c r="H3" s="1" t="str">
        <f t="shared" ref="H3:H66" si="2">IF(AND($F3 &gt; 0.2,$F3 &lt;= 0.4),$E3,"")</f>
        <v/>
      </c>
      <c r="I3" s="1" t="str">
        <f t="shared" ref="I3:I66" si="3">IF(AND($F3 &gt; 0.4,$F3 &lt;= 0.6),$E3,"")</f>
        <v/>
      </c>
      <c r="J3" s="1" t="str">
        <f t="shared" ref="J3:J66" si="4">IF(AND($F3 &gt; 0.6,$F3 &lt;= 0.8),$E3,"")</f>
        <v/>
      </c>
      <c r="K3" s="1">
        <f t="shared" ref="K3:K66" si="5">IF(AND($F3 &gt; 0.8, $F3 &lt;=1.1),$E3,"")</f>
        <v>0.99364575059571092</v>
      </c>
      <c r="L3" s="1" t="str">
        <f t="shared" ref="L3:L66" si="6">IF(AND($F3 &gt; 1.1),$E3,"")</f>
        <v/>
      </c>
      <c r="M3" s="1"/>
      <c r="N3" s="1">
        <f>SUM(T3:V3)/64</f>
        <v>1.5625E-2</v>
      </c>
      <c r="O3" s="1">
        <f>SUM(Q3:V3)</f>
        <v>53</v>
      </c>
      <c r="P3" t="s">
        <v>215</v>
      </c>
      <c r="Q3" s="3">
        <f t="shared" ref="Q3:Q8" si="7">COUNTIF($X3:$BX3,"=0")</f>
        <v>35</v>
      </c>
      <c r="R3" s="3">
        <f t="shared" ref="R3:R8" si="8">COUNTIFS($X3:$BX3,"&gt;0",$X3:$BX3,"&lt;0.25")</f>
        <v>15</v>
      </c>
      <c r="S3" s="3">
        <f t="shared" ref="S3:S8" si="9">COUNTIFS($X3:$BX3,"&gt;=0.25",$X3:$BX3,"&lt;0.5")</f>
        <v>2</v>
      </c>
      <c r="T3" s="3">
        <f t="shared" ref="T3:T8" si="10">COUNTIFS($X3:$BX3,"&gt;=0.5",$X3:$BX3,"&lt;0.75")</f>
        <v>1</v>
      </c>
      <c r="U3" s="3">
        <f t="shared" ref="U3:U8" si="11">COUNTIFS($X3:$BX3,"&gt;=0.75",$X3:$BX3,"&lt;1")</f>
        <v>0</v>
      </c>
      <c r="V3" s="3">
        <f t="shared" ref="V3:V8" si="12">COUNTIF($X3:$BX3,"=1")</f>
        <v>0</v>
      </c>
      <c r="W3" t="s">
        <v>215</v>
      </c>
      <c r="X3">
        <f>DMAX($A$1:$L$472,$W3,X$1:X$2)</f>
        <v>0</v>
      </c>
      <c r="Y3">
        <f t="shared" ref="Y3:BX3" si="13">DMAX($A$1:$L$472,$W3,Y$1:Y$2)</f>
        <v>0</v>
      </c>
      <c r="Z3">
        <f t="shared" si="13"/>
        <v>0</v>
      </c>
      <c r="AA3">
        <f t="shared" si="13"/>
        <v>0</v>
      </c>
      <c r="AB3">
        <f t="shared" si="13"/>
        <v>0</v>
      </c>
      <c r="AC3">
        <f t="shared" si="13"/>
        <v>0</v>
      </c>
      <c r="AD3">
        <f t="shared" si="13"/>
        <v>0</v>
      </c>
      <c r="AE3">
        <f t="shared" si="13"/>
        <v>1.1308728282101368E-3</v>
      </c>
      <c r="AF3">
        <f t="shared" si="13"/>
        <v>0.12661637931034483</v>
      </c>
      <c r="AG3">
        <f t="shared" si="13"/>
        <v>4.138081237068496E-3</v>
      </c>
      <c r="AH3">
        <f t="shared" si="13"/>
        <v>0</v>
      </c>
      <c r="AI3">
        <f t="shared" si="13"/>
        <v>0.38785933167955639</v>
      </c>
      <c r="AJ3">
        <f t="shared" si="13"/>
        <v>1.3948256467941508E-2</v>
      </c>
      <c r="AK3">
        <f t="shared" si="13"/>
        <v>3.1705227077977724E-2</v>
      </c>
      <c r="AL3">
        <f t="shared" si="13"/>
        <v>0</v>
      </c>
      <c r="AM3">
        <f t="shared" si="13"/>
        <v>0</v>
      </c>
      <c r="AN3">
        <f t="shared" si="13"/>
        <v>0</v>
      </c>
      <c r="AO3">
        <f t="shared" si="13"/>
        <v>0</v>
      </c>
      <c r="AP3">
        <f t="shared" si="13"/>
        <v>0</v>
      </c>
      <c r="AQ3">
        <f t="shared" si="13"/>
        <v>4.4161358811040337E-2</v>
      </c>
      <c r="AR3">
        <f t="shared" si="13"/>
        <v>0</v>
      </c>
      <c r="AS3">
        <f t="shared" si="13"/>
        <v>0</v>
      </c>
      <c r="AT3">
        <f t="shared" si="13"/>
        <v>0</v>
      </c>
      <c r="AU3">
        <f t="shared" si="13"/>
        <v>0</v>
      </c>
      <c r="AV3">
        <f t="shared" si="13"/>
        <v>0</v>
      </c>
      <c r="AW3">
        <f t="shared" si="13"/>
        <v>5.8560507716717149E-2</v>
      </c>
      <c r="AX3">
        <f t="shared" si="13"/>
        <v>0</v>
      </c>
      <c r="AY3">
        <f t="shared" si="13"/>
        <v>0.18197246841410522</v>
      </c>
      <c r="AZ3">
        <f t="shared" si="13"/>
        <v>0.53948133503895801</v>
      </c>
      <c r="BA3">
        <f t="shared" si="13"/>
        <v>0</v>
      </c>
      <c r="BB3">
        <f t="shared" si="13"/>
        <v>0</v>
      </c>
      <c r="BC3">
        <f t="shared" si="13"/>
        <v>0.16767748840528005</v>
      </c>
      <c r="BD3">
        <f t="shared" si="13"/>
        <v>0.20523356401384082</v>
      </c>
      <c r="BE3">
        <f t="shared" si="13"/>
        <v>0</v>
      </c>
      <c r="BF3">
        <f t="shared" si="13"/>
        <v>2.0805920127759596E-3</v>
      </c>
      <c r="BG3">
        <f t="shared" si="13"/>
        <v>2.5039024786378769E-3</v>
      </c>
      <c r="BH3">
        <f t="shared" si="13"/>
        <v>3.6641402804552777E-3</v>
      </c>
      <c r="BI3">
        <f t="shared" si="13"/>
        <v>2.4198189713807356E-3</v>
      </c>
      <c r="BJ3">
        <f t="shared" si="13"/>
        <v>0</v>
      </c>
      <c r="BK3">
        <f t="shared" si="13"/>
        <v>0</v>
      </c>
      <c r="BL3">
        <f t="shared" si="13"/>
        <v>0</v>
      </c>
      <c r="BM3">
        <f t="shared" si="13"/>
        <v>0</v>
      </c>
      <c r="BN3">
        <f t="shared" si="13"/>
        <v>0</v>
      </c>
      <c r="BO3">
        <f t="shared" si="13"/>
        <v>0.30851782998140947</v>
      </c>
      <c r="BP3">
        <f t="shared" si="13"/>
        <v>0.14181949642264935</v>
      </c>
      <c r="BQ3">
        <f t="shared" si="13"/>
        <v>0</v>
      </c>
      <c r="BR3">
        <f t="shared" si="13"/>
        <v>0</v>
      </c>
      <c r="BS3">
        <f t="shared" si="13"/>
        <v>0</v>
      </c>
      <c r="BT3">
        <f t="shared" si="13"/>
        <v>0</v>
      </c>
      <c r="BU3">
        <f t="shared" si="13"/>
        <v>0</v>
      </c>
      <c r="BV3">
        <f t="shared" si="13"/>
        <v>0</v>
      </c>
      <c r="BW3">
        <f t="shared" si="13"/>
        <v>0</v>
      </c>
      <c r="BX3">
        <f t="shared" si="13"/>
        <v>0</v>
      </c>
    </row>
    <row r="4" spans="1:76">
      <c r="A4" t="s">
        <v>4</v>
      </c>
      <c r="B4">
        <v>1</v>
      </c>
      <c r="C4" t="str">
        <f t="shared" si="0"/>
        <v>test.BallonFactory_1_</v>
      </c>
      <c r="D4">
        <v>3</v>
      </c>
      <c r="E4">
        <v>1</v>
      </c>
      <c r="F4">
        <v>0.88236470588235294</v>
      </c>
      <c r="G4" s="1" t="str">
        <f t="shared" si="1"/>
        <v/>
      </c>
      <c r="H4" s="1" t="str">
        <f t="shared" si="2"/>
        <v/>
      </c>
      <c r="I4" s="1" t="str">
        <f t="shared" si="3"/>
        <v/>
      </c>
      <c r="J4" s="1" t="str">
        <f t="shared" si="4"/>
        <v/>
      </c>
      <c r="K4" s="1">
        <f t="shared" si="5"/>
        <v>1</v>
      </c>
      <c r="L4" s="1" t="str">
        <f t="shared" si="6"/>
        <v/>
      </c>
      <c r="M4" s="1"/>
      <c r="N4" s="1">
        <f t="shared" ref="N4:N7" si="14">SUM(T4:V4)/64</f>
        <v>0.109375</v>
      </c>
      <c r="O4" s="1">
        <f t="shared" ref="O4:O7" si="15">SUM(Q4:V4)</f>
        <v>53</v>
      </c>
      <c r="P4" t="s">
        <v>216</v>
      </c>
      <c r="Q4" s="3">
        <f t="shared" si="7"/>
        <v>22</v>
      </c>
      <c r="R4" s="3">
        <f t="shared" si="8"/>
        <v>19</v>
      </c>
      <c r="S4" s="3">
        <f t="shared" si="9"/>
        <v>5</v>
      </c>
      <c r="T4" s="3">
        <f t="shared" si="10"/>
        <v>2</v>
      </c>
      <c r="U4" s="3">
        <f t="shared" si="11"/>
        <v>1</v>
      </c>
      <c r="V4" s="3">
        <f t="shared" si="12"/>
        <v>4</v>
      </c>
      <c r="W4" t="s">
        <v>216</v>
      </c>
      <c r="X4">
        <f>IF(X3&lt;DMAX($A$1:$L$472,$W4,X$1:X$2),DMAX($A$1:$L$472,$W4,X$1:X$2),X3)</f>
        <v>0</v>
      </c>
      <c r="Y4">
        <f t="shared" ref="Y4:AN8" si="16">IF(Y3&lt;DMAX($A$1:$L$472,$W4,Y$1:Y$2),DMAX($A$1:$L$472,$W4,Y$1:Y$2),Y3)</f>
        <v>0</v>
      </c>
      <c r="Z4">
        <f t="shared" si="16"/>
        <v>0</v>
      </c>
      <c r="AA4">
        <f t="shared" si="16"/>
        <v>0.23096010689062799</v>
      </c>
      <c r="AB4">
        <f t="shared" si="16"/>
        <v>0</v>
      </c>
      <c r="AC4">
        <f t="shared" si="16"/>
        <v>0</v>
      </c>
      <c r="AD4">
        <f t="shared" si="16"/>
        <v>0</v>
      </c>
      <c r="AE4">
        <f t="shared" si="16"/>
        <v>1.1308728282101368E-3</v>
      </c>
      <c r="AF4">
        <f t="shared" si="16"/>
        <v>0.12661637931034483</v>
      </c>
      <c r="AG4">
        <f t="shared" si="16"/>
        <v>0.82663617554176194</v>
      </c>
      <c r="AH4">
        <f t="shared" si="16"/>
        <v>0</v>
      </c>
      <c r="AI4">
        <f t="shared" si="16"/>
        <v>0.69334597986283375</v>
      </c>
      <c r="AJ4">
        <f t="shared" si="16"/>
        <v>1.3948256467941508E-2</v>
      </c>
      <c r="AK4">
        <f t="shared" si="16"/>
        <v>3.1705227077977724E-2</v>
      </c>
      <c r="AL4">
        <f t="shared" si="16"/>
        <v>0.25147653092943734</v>
      </c>
      <c r="AM4">
        <f t="shared" si="16"/>
        <v>0</v>
      </c>
      <c r="AN4">
        <f t="shared" si="16"/>
        <v>0</v>
      </c>
      <c r="AO4">
        <f t="shared" ref="AO4:BD8" si="17">IF(AO3&lt;DMAX($A$1:$L$472,$W4,AO$1:AO$2),DMAX($A$1:$L$472,$W4,AO$1:AO$2),AO3)</f>
        <v>0</v>
      </c>
      <c r="AP4">
        <f t="shared" si="17"/>
        <v>8.4112149532710276E-2</v>
      </c>
      <c r="AQ4">
        <f t="shared" si="17"/>
        <v>4.4161358811040337E-2</v>
      </c>
      <c r="AR4">
        <f t="shared" si="17"/>
        <v>0.27879901960784315</v>
      </c>
      <c r="AS4">
        <f t="shared" si="17"/>
        <v>4.0228245363766048E-2</v>
      </c>
      <c r="AT4">
        <f t="shared" si="17"/>
        <v>0.16417910447761194</v>
      </c>
      <c r="AU4">
        <f t="shared" si="17"/>
        <v>0</v>
      </c>
      <c r="AV4">
        <f t="shared" si="17"/>
        <v>0</v>
      </c>
      <c r="AW4">
        <f t="shared" si="17"/>
        <v>5.8560507716717149E-2</v>
      </c>
      <c r="AX4">
        <f t="shared" si="17"/>
        <v>0.20345744680851063</v>
      </c>
      <c r="AY4">
        <f t="shared" si="17"/>
        <v>1</v>
      </c>
      <c r="AZ4">
        <f t="shared" si="17"/>
        <v>1</v>
      </c>
      <c r="BA4">
        <f t="shared" si="17"/>
        <v>0</v>
      </c>
      <c r="BB4">
        <f t="shared" si="17"/>
        <v>0.37366201751540706</v>
      </c>
      <c r="BC4">
        <f t="shared" si="17"/>
        <v>1</v>
      </c>
      <c r="BD4">
        <f t="shared" si="17"/>
        <v>0.50216262975778547</v>
      </c>
      <c r="BE4">
        <f t="shared" ref="BE4:BT8" si="18">IF(BE3&lt;DMAX($A$1:$L$472,$W4,BE$1:BE$2),DMAX($A$1:$L$472,$W4,BE$1:BE$2),BE3)</f>
        <v>0</v>
      </c>
      <c r="BF4">
        <f t="shared" si="18"/>
        <v>2.0805920127759596E-3</v>
      </c>
      <c r="BG4">
        <f t="shared" si="18"/>
        <v>0.23968437294161171</v>
      </c>
      <c r="BH4">
        <f t="shared" si="18"/>
        <v>3.6641402804552777E-3</v>
      </c>
      <c r="BI4">
        <f t="shared" si="18"/>
        <v>2.4198189713807356E-3</v>
      </c>
      <c r="BJ4">
        <f t="shared" si="18"/>
        <v>0</v>
      </c>
      <c r="BK4">
        <f t="shared" si="18"/>
        <v>0</v>
      </c>
      <c r="BL4">
        <f t="shared" si="18"/>
        <v>0</v>
      </c>
      <c r="BM4">
        <f t="shared" si="18"/>
        <v>0.12802626179729176</v>
      </c>
      <c r="BN4">
        <f t="shared" si="18"/>
        <v>0.26559060895084374</v>
      </c>
      <c r="BO4">
        <f t="shared" si="18"/>
        <v>0.30851782998140947</v>
      </c>
      <c r="BP4">
        <f t="shared" si="18"/>
        <v>1</v>
      </c>
      <c r="BQ4">
        <f t="shared" si="18"/>
        <v>0</v>
      </c>
      <c r="BR4">
        <f t="shared" si="18"/>
        <v>0</v>
      </c>
      <c r="BS4">
        <f t="shared" si="18"/>
        <v>0.20841361592806679</v>
      </c>
      <c r="BT4">
        <f t="shared" si="18"/>
        <v>4.7422680412371132E-2</v>
      </c>
      <c r="BU4">
        <f t="shared" ref="BU4:BX8" si="19">IF(BU3&lt;DMAX($A$1:$L$472,$W4,BU$1:BU$2),DMAX($A$1:$L$472,$W4,BU$1:BU$2),BU3)</f>
        <v>0</v>
      </c>
      <c r="BV4">
        <f t="shared" si="19"/>
        <v>1.5432098765432098E-2</v>
      </c>
      <c r="BW4">
        <f t="shared" si="19"/>
        <v>0</v>
      </c>
      <c r="BX4">
        <f t="shared" si="19"/>
        <v>0</v>
      </c>
    </row>
    <row r="5" spans="1:76">
      <c r="A5" t="s">
        <v>4</v>
      </c>
      <c r="B5">
        <v>1</v>
      </c>
      <c r="C5" t="str">
        <f t="shared" si="0"/>
        <v>test.BallonFactory_1_</v>
      </c>
      <c r="D5">
        <v>4</v>
      </c>
      <c r="E5">
        <v>1</v>
      </c>
      <c r="F5">
        <v>0.88237058823529413</v>
      </c>
      <c r="G5" s="1" t="str">
        <f t="shared" si="1"/>
        <v/>
      </c>
      <c r="H5" s="1" t="str">
        <f t="shared" si="2"/>
        <v/>
      </c>
      <c r="I5" s="1" t="str">
        <f t="shared" si="3"/>
        <v/>
      </c>
      <c r="J5" s="1" t="str">
        <f t="shared" si="4"/>
        <v/>
      </c>
      <c r="K5" s="1">
        <f t="shared" si="5"/>
        <v>1</v>
      </c>
      <c r="L5" s="1" t="str">
        <f t="shared" si="6"/>
        <v/>
      </c>
      <c r="M5" s="1">
        <f>SUM(R5:V5)/64</f>
        <v>0.5625</v>
      </c>
      <c r="N5" s="1">
        <f t="shared" si="14"/>
        <v>0.28125</v>
      </c>
      <c r="O5" s="1">
        <f t="shared" si="15"/>
        <v>53</v>
      </c>
      <c r="P5" t="s">
        <v>217</v>
      </c>
      <c r="Q5" s="3">
        <f t="shared" si="7"/>
        <v>17</v>
      </c>
      <c r="R5" s="3">
        <f t="shared" si="8"/>
        <v>10</v>
      </c>
      <c r="S5" s="3">
        <f t="shared" si="9"/>
        <v>8</v>
      </c>
      <c r="T5" s="3">
        <f t="shared" si="10"/>
        <v>5</v>
      </c>
      <c r="U5" s="3">
        <f t="shared" si="11"/>
        <v>5</v>
      </c>
      <c r="V5" s="3">
        <f t="shared" si="12"/>
        <v>8</v>
      </c>
      <c r="W5" t="s">
        <v>217</v>
      </c>
      <c r="X5">
        <f>IF(X4&lt;DMAX($A$1:$L$472,$W5,X$1:X$2),DMAX($A$1:$L$472,$W5,X$1:X$2),X4)</f>
        <v>0</v>
      </c>
      <c r="Y5">
        <f t="shared" si="16"/>
        <v>0.68416801292407103</v>
      </c>
      <c r="Z5">
        <f t="shared" si="16"/>
        <v>0</v>
      </c>
      <c r="AA5">
        <f t="shared" si="16"/>
        <v>1</v>
      </c>
      <c r="AB5">
        <f t="shared" si="16"/>
        <v>0.11263736263736264</v>
      </c>
      <c r="AC5">
        <f t="shared" si="16"/>
        <v>0</v>
      </c>
      <c r="AD5">
        <f t="shared" si="16"/>
        <v>0</v>
      </c>
      <c r="AE5">
        <f t="shared" si="16"/>
        <v>1.1308728282101368E-3</v>
      </c>
      <c r="AF5">
        <f t="shared" si="16"/>
        <v>0.12661637931034483</v>
      </c>
      <c r="AG5">
        <f t="shared" si="16"/>
        <v>1</v>
      </c>
      <c r="AH5">
        <f t="shared" si="16"/>
        <v>0.46602800294767871</v>
      </c>
      <c r="AI5">
        <f t="shared" si="16"/>
        <v>0.99883262804611117</v>
      </c>
      <c r="AJ5">
        <f t="shared" si="16"/>
        <v>0.47401574803149604</v>
      </c>
      <c r="AK5">
        <f t="shared" si="16"/>
        <v>0.44001713796058267</v>
      </c>
      <c r="AL5">
        <f t="shared" si="16"/>
        <v>0.25240907677960833</v>
      </c>
      <c r="AM5">
        <f t="shared" si="16"/>
        <v>0</v>
      </c>
      <c r="AN5">
        <f t="shared" si="16"/>
        <v>0</v>
      </c>
      <c r="AO5">
        <f t="shared" si="17"/>
        <v>0</v>
      </c>
      <c r="AP5">
        <f t="shared" si="17"/>
        <v>0.10654205607476636</v>
      </c>
      <c r="AQ5">
        <f t="shared" si="17"/>
        <v>4.4161358811040337E-2</v>
      </c>
      <c r="AR5">
        <f t="shared" si="17"/>
        <v>0.62438725490196079</v>
      </c>
      <c r="AS5">
        <f t="shared" si="17"/>
        <v>0.37517831669044222</v>
      </c>
      <c r="AT5">
        <f t="shared" si="17"/>
        <v>0.52955223880597013</v>
      </c>
      <c r="AU5">
        <f t="shared" si="17"/>
        <v>0</v>
      </c>
      <c r="AV5">
        <f t="shared" si="17"/>
        <v>0</v>
      </c>
      <c r="AW5">
        <f t="shared" si="17"/>
        <v>5.8560507716717149E-2</v>
      </c>
      <c r="AX5">
        <f t="shared" si="17"/>
        <v>1</v>
      </c>
      <c r="AY5">
        <f t="shared" si="17"/>
        <v>1</v>
      </c>
      <c r="AZ5">
        <f t="shared" si="17"/>
        <v>1</v>
      </c>
      <c r="BA5">
        <f t="shared" si="17"/>
        <v>0</v>
      </c>
      <c r="BB5">
        <f t="shared" si="17"/>
        <v>0.86020110282192674</v>
      </c>
      <c r="BC5">
        <f t="shared" si="17"/>
        <v>1</v>
      </c>
      <c r="BD5">
        <f t="shared" si="17"/>
        <v>0.83996539792387548</v>
      </c>
      <c r="BE5">
        <f t="shared" si="18"/>
        <v>0.31725265739983649</v>
      </c>
      <c r="BF5">
        <f t="shared" si="18"/>
        <v>2.0805920127759596E-3</v>
      </c>
      <c r="BG5">
        <f t="shared" si="18"/>
        <v>0.37500338365199815</v>
      </c>
      <c r="BH5">
        <f t="shared" si="18"/>
        <v>3.6641402804552777E-3</v>
      </c>
      <c r="BI5">
        <f t="shared" si="18"/>
        <v>2.4198189713807356E-3</v>
      </c>
      <c r="BJ5">
        <f t="shared" si="18"/>
        <v>0</v>
      </c>
      <c r="BK5">
        <f t="shared" si="18"/>
        <v>0</v>
      </c>
      <c r="BL5">
        <f t="shared" si="18"/>
        <v>0</v>
      </c>
      <c r="BM5">
        <f t="shared" si="18"/>
        <v>0.32663110381616745</v>
      </c>
      <c r="BN5">
        <f t="shared" si="18"/>
        <v>1</v>
      </c>
      <c r="BO5">
        <f t="shared" si="18"/>
        <v>0.58914990704749026</v>
      </c>
      <c r="BP5">
        <f t="shared" si="18"/>
        <v>1</v>
      </c>
      <c r="BQ5">
        <f t="shared" si="18"/>
        <v>0.52203389830508473</v>
      </c>
      <c r="BR5">
        <f t="shared" si="18"/>
        <v>0</v>
      </c>
      <c r="BS5">
        <f t="shared" si="18"/>
        <v>0.75722543352601157</v>
      </c>
      <c r="BT5">
        <f t="shared" si="18"/>
        <v>0.78213058419243986</v>
      </c>
      <c r="BU5">
        <f t="shared" si="19"/>
        <v>0</v>
      </c>
      <c r="BV5">
        <f t="shared" si="19"/>
        <v>1.5432098765432098E-2</v>
      </c>
      <c r="BW5">
        <f t="shared" si="19"/>
        <v>0</v>
      </c>
      <c r="BX5">
        <f t="shared" si="19"/>
        <v>0</v>
      </c>
    </row>
    <row r="6" spans="1:76">
      <c r="A6" t="s">
        <v>4</v>
      </c>
      <c r="B6">
        <v>1</v>
      </c>
      <c r="C6" t="str">
        <f t="shared" si="0"/>
        <v>test.BallonFactory_1_</v>
      </c>
      <c r="D6">
        <v>1</v>
      </c>
      <c r="E6">
        <v>1</v>
      </c>
      <c r="F6">
        <v>0.8823765294117647</v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" t="str">
        <f t="shared" si="4"/>
        <v/>
      </c>
      <c r="K6" s="1">
        <f t="shared" si="5"/>
        <v>1</v>
      </c>
      <c r="L6" s="1" t="str">
        <f t="shared" si="6"/>
        <v/>
      </c>
      <c r="M6" s="1">
        <f>25/64</f>
        <v>0.390625</v>
      </c>
      <c r="N6" s="1">
        <f>SUM(T6:V6)/64</f>
        <v>0.546875</v>
      </c>
      <c r="O6" s="1">
        <f t="shared" si="15"/>
        <v>53</v>
      </c>
      <c r="P6" t="s">
        <v>218</v>
      </c>
      <c r="Q6" s="3">
        <f t="shared" si="7"/>
        <v>10</v>
      </c>
      <c r="R6" s="3">
        <f t="shared" si="8"/>
        <v>7</v>
      </c>
      <c r="S6" s="3">
        <f t="shared" si="9"/>
        <v>1</v>
      </c>
      <c r="T6" s="3">
        <f t="shared" si="10"/>
        <v>7</v>
      </c>
      <c r="U6" s="3">
        <f t="shared" si="11"/>
        <v>10</v>
      </c>
      <c r="V6" s="3">
        <f t="shared" si="12"/>
        <v>18</v>
      </c>
      <c r="W6" t="s">
        <v>218</v>
      </c>
      <c r="X6">
        <f>IF(X5&lt;DMAX($A$1:$L$472,$W6,X$1:X$2),DMAX($A$1:$L$472,$W6,X$1:X$2),X5)</f>
        <v>0</v>
      </c>
      <c r="Y6">
        <f t="shared" si="16"/>
        <v>1</v>
      </c>
      <c r="Z6">
        <f t="shared" si="16"/>
        <v>0</v>
      </c>
      <c r="AA6">
        <f t="shared" si="16"/>
        <v>1</v>
      </c>
      <c r="AB6">
        <f t="shared" si="16"/>
        <v>1</v>
      </c>
      <c r="AC6">
        <f t="shared" si="16"/>
        <v>0</v>
      </c>
      <c r="AD6">
        <f t="shared" si="16"/>
        <v>0</v>
      </c>
      <c r="AE6">
        <f t="shared" si="16"/>
        <v>1.1308728282101368E-3</v>
      </c>
      <c r="AF6">
        <f t="shared" si="16"/>
        <v>0.12661637931034483</v>
      </c>
      <c r="AG6">
        <f t="shared" si="16"/>
        <v>1</v>
      </c>
      <c r="AH6">
        <f t="shared" si="16"/>
        <v>1</v>
      </c>
      <c r="AI6">
        <f t="shared" si="16"/>
        <v>0.99883262804611117</v>
      </c>
      <c r="AJ6">
        <f t="shared" si="16"/>
        <v>0.99640044994375698</v>
      </c>
      <c r="AK6">
        <f t="shared" si="16"/>
        <v>0.67823479005998288</v>
      </c>
      <c r="AL6">
        <f t="shared" si="16"/>
        <v>1</v>
      </c>
      <c r="AM6">
        <f t="shared" si="16"/>
        <v>0</v>
      </c>
      <c r="AN6">
        <f t="shared" si="16"/>
        <v>0.76949152542372878</v>
      </c>
      <c r="AO6">
        <f t="shared" si="17"/>
        <v>1</v>
      </c>
      <c r="AP6">
        <f t="shared" si="17"/>
        <v>0.11775700934579439</v>
      </c>
      <c r="AQ6">
        <f t="shared" si="17"/>
        <v>0.71974522292993626</v>
      </c>
      <c r="AR6">
        <f t="shared" si="17"/>
        <v>0.62438725490196079</v>
      </c>
      <c r="AS6">
        <f t="shared" si="17"/>
        <v>0.76348074179743219</v>
      </c>
      <c r="AT6">
        <f t="shared" si="17"/>
        <v>0.52955223880597013</v>
      </c>
      <c r="AU6">
        <f t="shared" si="17"/>
        <v>0</v>
      </c>
      <c r="AV6">
        <f t="shared" si="17"/>
        <v>0</v>
      </c>
      <c r="AW6">
        <f t="shared" si="17"/>
        <v>5.8560507716717149E-2</v>
      </c>
      <c r="AX6">
        <f t="shared" si="17"/>
        <v>1</v>
      </c>
      <c r="AY6">
        <f t="shared" si="17"/>
        <v>1</v>
      </c>
      <c r="AZ6">
        <f t="shared" si="17"/>
        <v>1</v>
      </c>
      <c r="BA6">
        <f t="shared" si="17"/>
        <v>0.54103343465045595</v>
      </c>
      <c r="BB6">
        <f t="shared" si="17"/>
        <v>0.86020110282192674</v>
      </c>
      <c r="BC6">
        <f t="shared" si="17"/>
        <v>1</v>
      </c>
      <c r="BD6">
        <f t="shared" si="17"/>
        <v>1</v>
      </c>
      <c r="BE6">
        <f t="shared" si="18"/>
        <v>0.31725265739983649</v>
      </c>
      <c r="BF6">
        <f t="shared" si="18"/>
        <v>2.0805920127759596E-3</v>
      </c>
      <c r="BG6">
        <f t="shared" si="18"/>
        <v>1</v>
      </c>
      <c r="BH6">
        <f t="shared" si="18"/>
        <v>3.6641402804552777E-3</v>
      </c>
      <c r="BI6">
        <f t="shared" si="18"/>
        <v>2.4198189713807356E-3</v>
      </c>
      <c r="BJ6">
        <f t="shared" si="18"/>
        <v>0.61643835616438358</v>
      </c>
      <c r="BK6">
        <f t="shared" si="18"/>
        <v>1</v>
      </c>
      <c r="BL6">
        <f t="shared" si="18"/>
        <v>0</v>
      </c>
      <c r="BM6">
        <f t="shared" si="18"/>
        <v>1</v>
      </c>
      <c r="BN6">
        <f t="shared" si="18"/>
        <v>1</v>
      </c>
      <c r="BO6">
        <f t="shared" si="18"/>
        <v>1</v>
      </c>
      <c r="BP6">
        <f t="shared" si="18"/>
        <v>1</v>
      </c>
      <c r="BQ6">
        <f t="shared" si="18"/>
        <v>0.99322033898305084</v>
      </c>
      <c r="BR6">
        <f t="shared" si="18"/>
        <v>0.82958199356913187</v>
      </c>
      <c r="BS6">
        <f t="shared" si="18"/>
        <v>0.99197174052665382</v>
      </c>
      <c r="BT6">
        <f t="shared" si="18"/>
        <v>0.97938144329896903</v>
      </c>
      <c r="BU6">
        <f t="shared" si="19"/>
        <v>0</v>
      </c>
      <c r="BV6">
        <f t="shared" si="19"/>
        <v>0.99614197530864201</v>
      </c>
      <c r="BW6">
        <f t="shared" si="19"/>
        <v>0.69818913480885314</v>
      </c>
      <c r="BX6">
        <f t="shared" si="19"/>
        <v>0</v>
      </c>
    </row>
    <row r="7" spans="1:76">
      <c r="A7" t="s">
        <v>4</v>
      </c>
      <c r="B7">
        <v>1</v>
      </c>
      <c r="C7" t="str">
        <f t="shared" si="0"/>
        <v>test.BallonFactory_1_</v>
      </c>
      <c r="D7">
        <v>2</v>
      </c>
      <c r="E7">
        <v>1</v>
      </c>
      <c r="F7">
        <v>0.88238241176470589</v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" t="str">
        <f t="shared" si="4"/>
        <v/>
      </c>
      <c r="K7" s="1">
        <f t="shared" si="5"/>
        <v>1</v>
      </c>
      <c r="L7" s="1" t="str">
        <f t="shared" si="6"/>
        <v/>
      </c>
      <c r="M7" s="1"/>
      <c r="N7" s="1">
        <f t="shared" si="14"/>
        <v>0.75</v>
      </c>
      <c r="O7" s="1">
        <f t="shared" si="15"/>
        <v>53</v>
      </c>
      <c r="P7" s="2" t="s">
        <v>219</v>
      </c>
      <c r="Q7" s="3">
        <f t="shared" si="7"/>
        <v>2</v>
      </c>
      <c r="R7" s="3">
        <f t="shared" si="8"/>
        <v>1</v>
      </c>
      <c r="S7" s="3">
        <f t="shared" si="9"/>
        <v>2</v>
      </c>
      <c r="T7" s="3">
        <f t="shared" si="10"/>
        <v>1</v>
      </c>
      <c r="U7" s="3">
        <f t="shared" si="11"/>
        <v>4</v>
      </c>
      <c r="V7" s="3">
        <f t="shared" si="12"/>
        <v>43</v>
      </c>
      <c r="W7" s="2" t="s">
        <v>219</v>
      </c>
      <c r="X7">
        <f>IF(X6&lt;DMAX($A$1:$L$472,$W7,X$1:X$2),DMAX($A$1:$L$472,$W7,X$1:X$2),X6)</f>
        <v>1</v>
      </c>
      <c r="Y7">
        <f t="shared" si="16"/>
        <v>1</v>
      </c>
      <c r="Z7">
        <f t="shared" si="16"/>
        <v>0.3</v>
      </c>
      <c r="AA7">
        <f t="shared" si="16"/>
        <v>1</v>
      </c>
      <c r="AB7">
        <f t="shared" si="16"/>
        <v>1</v>
      </c>
      <c r="AC7">
        <f t="shared" si="16"/>
        <v>0.8571428571428571</v>
      </c>
      <c r="AD7">
        <f t="shared" si="16"/>
        <v>0</v>
      </c>
      <c r="AE7">
        <f t="shared" si="16"/>
        <v>1</v>
      </c>
      <c r="AF7">
        <f t="shared" si="16"/>
        <v>1</v>
      </c>
      <c r="AG7">
        <f t="shared" si="16"/>
        <v>1</v>
      </c>
      <c r="AH7">
        <f t="shared" si="16"/>
        <v>1</v>
      </c>
      <c r="AI7">
        <f t="shared" si="16"/>
        <v>1</v>
      </c>
      <c r="AJ7">
        <f t="shared" si="16"/>
        <v>1</v>
      </c>
      <c r="AK7">
        <f t="shared" si="16"/>
        <v>1</v>
      </c>
      <c r="AL7">
        <f t="shared" si="16"/>
        <v>1</v>
      </c>
      <c r="AM7">
        <f t="shared" si="16"/>
        <v>1</v>
      </c>
      <c r="AN7">
        <f t="shared" si="16"/>
        <v>1</v>
      </c>
      <c r="AO7">
        <f t="shared" si="17"/>
        <v>1</v>
      </c>
      <c r="AP7">
        <f t="shared" si="17"/>
        <v>0.98878504672897194</v>
      </c>
      <c r="AQ7">
        <f t="shared" si="17"/>
        <v>1</v>
      </c>
      <c r="AR7">
        <f t="shared" si="17"/>
        <v>1</v>
      </c>
      <c r="AS7">
        <f t="shared" si="17"/>
        <v>1</v>
      </c>
      <c r="AT7">
        <f t="shared" si="17"/>
        <v>1</v>
      </c>
      <c r="AU7">
        <f t="shared" si="17"/>
        <v>0.92907801418439717</v>
      </c>
      <c r="AV7">
        <f t="shared" si="17"/>
        <v>1</v>
      </c>
      <c r="AW7">
        <f t="shared" si="17"/>
        <v>1</v>
      </c>
      <c r="AX7">
        <f t="shared" si="17"/>
        <v>1</v>
      </c>
      <c r="AY7">
        <f t="shared" si="17"/>
        <v>1</v>
      </c>
      <c r="AZ7">
        <f t="shared" si="17"/>
        <v>1</v>
      </c>
      <c r="BA7">
        <f t="shared" si="17"/>
        <v>0.54103343465045595</v>
      </c>
      <c r="BB7">
        <f t="shared" si="17"/>
        <v>1</v>
      </c>
      <c r="BC7">
        <f t="shared" si="17"/>
        <v>1</v>
      </c>
      <c r="BD7">
        <f t="shared" si="17"/>
        <v>1</v>
      </c>
      <c r="BE7">
        <f t="shared" si="18"/>
        <v>0.31725265739983649</v>
      </c>
      <c r="BF7">
        <f t="shared" si="18"/>
        <v>2.0805920127759596E-3</v>
      </c>
      <c r="BG7">
        <f t="shared" si="18"/>
        <v>1</v>
      </c>
      <c r="BH7">
        <f t="shared" si="18"/>
        <v>1</v>
      </c>
      <c r="BI7">
        <f t="shared" si="18"/>
        <v>1</v>
      </c>
      <c r="BJ7">
        <f t="shared" si="18"/>
        <v>1</v>
      </c>
      <c r="BK7">
        <f t="shared" si="18"/>
        <v>1</v>
      </c>
      <c r="BL7">
        <f t="shared" si="18"/>
        <v>0.94463667820069208</v>
      </c>
      <c r="BM7">
        <f t="shared" si="18"/>
        <v>1</v>
      </c>
      <c r="BN7">
        <f t="shared" si="18"/>
        <v>1</v>
      </c>
      <c r="BO7">
        <f t="shared" si="18"/>
        <v>1</v>
      </c>
      <c r="BP7">
        <f t="shared" si="18"/>
        <v>1</v>
      </c>
      <c r="BQ7">
        <f t="shared" si="18"/>
        <v>1</v>
      </c>
      <c r="BR7">
        <f t="shared" si="18"/>
        <v>1</v>
      </c>
      <c r="BS7">
        <f t="shared" si="18"/>
        <v>1</v>
      </c>
      <c r="BT7">
        <f t="shared" si="18"/>
        <v>1</v>
      </c>
      <c r="BU7">
        <f t="shared" si="19"/>
        <v>1</v>
      </c>
      <c r="BV7">
        <f t="shared" si="19"/>
        <v>1</v>
      </c>
      <c r="BW7">
        <f t="shared" si="19"/>
        <v>1</v>
      </c>
      <c r="BX7">
        <f t="shared" si="19"/>
        <v>0</v>
      </c>
    </row>
    <row r="8" spans="1:76">
      <c r="A8" t="s">
        <v>4</v>
      </c>
      <c r="B8">
        <v>1</v>
      </c>
      <c r="C8" t="str">
        <f t="shared" si="0"/>
        <v>test.BallonFactory_1_</v>
      </c>
      <c r="D8">
        <v>3</v>
      </c>
      <c r="E8">
        <v>1</v>
      </c>
      <c r="F8">
        <v>0.94117647058823528</v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" t="str">
        <f t="shared" si="4"/>
        <v/>
      </c>
      <c r="K8" s="1">
        <f t="shared" si="5"/>
        <v>1</v>
      </c>
      <c r="L8" s="1" t="str">
        <f t="shared" si="6"/>
        <v/>
      </c>
      <c r="M8" s="1"/>
      <c r="N8" s="1">
        <f>SUM(T8:V8)/64</f>
        <v>0.828125</v>
      </c>
      <c r="O8" s="1"/>
      <c r="P8" s="1" t="s">
        <v>220</v>
      </c>
      <c r="Q8" s="3">
        <f t="shared" si="7"/>
        <v>0</v>
      </c>
      <c r="R8" s="3">
        <f t="shared" si="8"/>
        <v>0</v>
      </c>
      <c r="S8" s="3">
        <f t="shared" si="9"/>
        <v>0</v>
      </c>
      <c r="T8" s="3">
        <f t="shared" si="10"/>
        <v>0</v>
      </c>
      <c r="U8" s="3">
        <f t="shared" si="11"/>
        <v>0</v>
      </c>
      <c r="V8" s="3">
        <f t="shared" si="12"/>
        <v>53</v>
      </c>
      <c r="W8" s="2" t="s">
        <v>220</v>
      </c>
      <c r="X8">
        <f>IF(X7&lt;DMAX($A$1:$L$472,$W8,X$1:X$2),DMAX($A$1:$L$472,$W8,X$1:X$2),X7)</f>
        <v>1</v>
      </c>
      <c r="Y8">
        <f t="shared" si="16"/>
        <v>1</v>
      </c>
      <c r="Z8">
        <f t="shared" si="16"/>
        <v>1</v>
      </c>
      <c r="AA8">
        <f t="shared" si="16"/>
        <v>1</v>
      </c>
      <c r="AB8">
        <f t="shared" si="16"/>
        <v>1</v>
      </c>
      <c r="AC8">
        <f t="shared" si="16"/>
        <v>1</v>
      </c>
      <c r="AD8">
        <f t="shared" si="16"/>
        <v>1</v>
      </c>
      <c r="AE8">
        <f t="shared" si="16"/>
        <v>1</v>
      </c>
      <c r="AF8">
        <f t="shared" si="16"/>
        <v>1</v>
      </c>
      <c r="AG8">
        <f t="shared" si="16"/>
        <v>1</v>
      </c>
      <c r="AH8">
        <f t="shared" si="16"/>
        <v>1</v>
      </c>
      <c r="AI8">
        <f t="shared" si="16"/>
        <v>1</v>
      </c>
      <c r="AJ8">
        <f t="shared" si="16"/>
        <v>1</v>
      </c>
      <c r="AK8">
        <f t="shared" si="16"/>
        <v>1</v>
      </c>
      <c r="AL8">
        <f t="shared" si="16"/>
        <v>1</v>
      </c>
      <c r="AM8">
        <f t="shared" si="16"/>
        <v>1</v>
      </c>
      <c r="AN8">
        <f t="shared" si="16"/>
        <v>1</v>
      </c>
      <c r="AO8">
        <f t="shared" si="17"/>
        <v>1</v>
      </c>
      <c r="AP8">
        <f t="shared" si="17"/>
        <v>1</v>
      </c>
      <c r="AQ8">
        <f t="shared" si="17"/>
        <v>1</v>
      </c>
      <c r="AR8">
        <f t="shared" si="17"/>
        <v>1</v>
      </c>
      <c r="AS8">
        <f t="shared" si="17"/>
        <v>1</v>
      </c>
      <c r="AT8">
        <f t="shared" si="17"/>
        <v>1</v>
      </c>
      <c r="AU8">
        <f t="shared" si="17"/>
        <v>1</v>
      </c>
      <c r="AV8">
        <f t="shared" si="17"/>
        <v>1</v>
      </c>
      <c r="AW8">
        <f t="shared" si="17"/>
        <v>1</v>
      </c>
      <c r="AX8">
        <f t="shared" si="17"/>
        <v>1</v>
      </c>
      <c r="AY8">
        <f t="shared" si="17"/>
        <v>1</v>
      </c>
      <c r="AZ8">
        <f t="shared" si="17"/>
        <v>1</v>
      </c>
      <c r="BA8">
        <f t="shared" si="17"/>
        <v>1</v>
      </c>
      <c r="BB8">
        <f t="shared" si="17"/>
        <v>1</v>
      </c>
      <c r="BC8">
        <f t="shared" si="17"/>
        <v>1</v>
      </c>
      <c r="BD8">
        <f t="shared" si="17"/>
        <v>1</v>
      </c>
      <c r="BE8">
        <f t="shared" si="18"/>
        <v>1</v>
      </c>
      <c r="BF8">
        <f t="shared" si="18"/>
        <v>1</v>
      </c>
      <c r="BG8">
        <f t="shared" si="18"/>
        <v>1</v>
      </c>
      <c r="BH8">
        <f t="shared" si="18"/>
        <v>1</v>
      </c>
      <c r="BI8">
        <f t="shared" si="18"/>
        <v>1</v>
      </c>
      <c r="BJ8">
        <f t="shared" si="18"/>
        <v>1</v>
      </c>
      <c r="BK8">
        <f t="shared" si="18"/>
        <v>1</v>
      </c>
      <c r="BL8">
        <f t="shared" si="18"/>
        <v>1</v>
      </c>
      <c r="BM8">
        <f t="shared" si="18"/>
        <v>1</v>
      </c>
      <c r="BN8">
        <f t="shared" si="18"/>
        <v>1</v>
      </c>
      <c r="BO8">
        <f t="shared" si="18"/>
        <v>1</v>
      </c>
      <c r="BP8">
        <f t="shared" si="18"/>
        <v>1</v>
      </c>
      <c r="BQ8">
        <f t="shared" si="18"/>
        <v>1</v>
      </c>
      <c r="BR8">
        <f t="shared" si="18"/>
        <v>1</v>
      </c>
      <c r="BS8">
        <f t="shared" si="18"/>
        <v>1</v>
      </c>
      <c r="BT8">
        <f t="shared" si="18"/>
        <v>1</v>
      </c>
      <c r="BU8">
        <f t="shared" si="19"/>
        <v>1</v>
      </c>
      <c r="BV8">
        <f t="shared" si="19"/>
        <v>1</v>
      </c>
      <c r="BW8">
        <f t="shared" si="19"/>
        <v>1</v>
      </c>
      <c r="BX8">
        <f t="shared" si="19"/>
        <v>1</v>
      </c>
    </row>
    <row r="9" spans="1:76">
      <c r="A9" t="s">
        <v>4</v>
      </c>
      <c r="B9">
        <v>1</v>
      </c>
      <c r="C9" t="str">
        <f t="shared" si="0"/>
        <v>test.BallonFactory_1_</v>
      </c>
      <c r="D9">
        <v>4</v>
      </c>
      <c r="E9">
        <v>1</v>
      </c>
      <c r="F9">
        <v>1.0588235294117647</v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" t="str">
        <f t="shared" si="4"/>
        <v/>
      </c>
      <c r="K9" s="1">
        <f t="shared" si="5"/>
        <v>1</v>
      </c>
      <c r="L9" s="1" t="str">
        <f t="shared" si="6"/>
        <v/>
      </c>
    </row>
    <row r="10" spans="1:76">
      <c r="A10" t="s">
        <v>4</v>
      </c>
      <c r="B10">
        <v>2</v>
      </c>
      <c r="C10" t="str">
        <f t="shared" si="0"/>
        <v>test.BallonFactory_2_</v>
      </c>
      <c r="D10">
        <v>5</v>
      </c>
      <c r="E10">
        <v>0.18739903069466882</v>
      </c>
      <c r="F10">
        <v>0.42857142857142855</v>
      </c>
      <c r="G10" s="1" t="str">
        <f t="shared" si="1"/>
        <v/>
      </c>
      <c r="H10" s="1" t="str">
        <f t="shared" si="2"/>
        <v/>
      </c>
      <c r="I10" s="1">
        <f t="shared" si="3"/>
        <v>0.18739903069466882</v>
      </c>
      <c r="J10" s="1" t="str">
        <f t="shared" si="4"/>
        <v/>
      </c>
      <c r="K10" s="1" t="str">
        <f t="shared" si="5"/>
        <v/>
      </c>
      <c r="L10" s="1" t="str">
        <f t="shared" si="6"/>
        <v/>
      </c>
    </row>
    <row r="11" spans="1:76">
      <c r="A11" t="s">
        <v>4</v>
      </c>
      <c r="B11">
        <v>2</v>
      </c>
      <c r="C11" t="str">
        <f t="shared" si="0"/>
        <v>test.BallonFactory_2_</v>
      </c>
      <c r="D11">
        <v>6</v>
      </c>
      <c r="E11">
        <v>0.60662358642972536</v>
      </c>
      <c r="F11">
        <v>0.5714285714285714</v>
      </c>
      <c r="G11" s="1" t="str">
        <f t="shared" si="1"/>
        <v/>
      </c>
      <c r="H11" s="1" t="str">
        <f t="shared" si="2"/>
        <v/>
      </c>
      <c r="I11" s="1">
        <f t="shared" si="3"/>
        <v>0.60662358642972536</v>
      </c>
      <c r="J11" s="1" t="str">
        <f t="shared" si="4"/>
        <v/>
      </c>
      <c r="K11" s="1" t="str">
        <f t="shared" si="5"/>
        <v/>
      </c>
      <c r="L11" s="1" t="str">
        <f t="shared" si="6"/>
        <v/>
      </c>
    </row>
    <row r="12" spans="1:76">
      <c r="A12" t="s">
        <v>4</v>
      </c>
      <c r="B12">
        <v>2</v>
      </c>
      <c r="C12" t="str">
        <f t="shared" si="0"/>
        <v>test.BallonFactory_2_</v>
      </c>
      <c r="D12">
        <v>7</v>
      </c>
      <c r="E12">
        <v>0.60662358642972536</v>
      </c>
      <c r="F12">
        <v>0.57144285714285714</v>
      </c>
      <c r="G12" s="1" t="str">
        <f t="shared" si="1"/>
        <v/>
      </c>
      <c r="H12" s="1" t="str">
        <f t="shared" si="2"/>
        <v/>
      </c>
      <c r="I12" s="1">
        <f t="shared" si="3"/>
        <v>0.60662358642972536</v>
      </c>
      <c r="J12" s="1" t="str">
        <f t="shared" si="4"/>
        <v/>
      </c>
      <c r="K12" s="1" t="str">
        <f t="shared" si="5"/>
        <v/>
      </c>
      <c r="L12" s="1" t="str">
        <f t="shared" si="6"/>
        <v/>
      </c>
    </row>
    <row r="13" spans="1:76">
      <c r="A13" t="s">
        <v>4</v>
      </c>
      <c r="B13">
        <v>2</v>
      </c>
      <c r="C13" t="str">
        <f t="shared" si="0"/>
        <v>test.BallonFactory_2_</v>
      </c>
      <c r="D13">
        <v>8</v>
      </c>
      <c r="E13">
        <v>0.68093699515347339</v>
      </c>
      <c r="F13">
        <v>0.57145718571428572</v>
      </c>
      <c r="G13" s="1" t="str">
        <f t="shared" si="1"/>
        <v/>
      </c>
      <c r="H13" s="1" t="str">
        <f t="shared" si="2"/>
        <v/>
      </c>
      <c r="I13" s="1">
        <f t="shared" si="3"/>
        <v>0.68093699515347339</v>
      </c>
      <c r="J13" s="1" t="str">
        <f t="shared" si="4"/>
        <v/>
      </c>
      <c r="K13" s="1" t="str">
        <f t="shared" si="5"/>
        <v/>
      </c>
      <c r="L13" s="1" t="str">
        <f t="shared" si="6"/>
        <v/>
      </c>
    </row>
    <row r="14" spans="1:76">
      <c r="A14" t="s">
        <v>4</v>
      </c>
      <c r="B14">
        <v>2</v>
      </c>
      <c r="C14" t="str">
        <f t="shared" si="0"/>
        <v>test.BallonFactory_2_</v>
      </c>
      <c r="D14">
        <v>9</v>
      </c>
      <c r="E14">
        <v>0.68093699515347339</v>
      </c>
      <c r="F14">
        <v>0.57147148571428574</v>
      </c>
      <c r="G14" s="1" t="str">
        <f t="shared" si="1"/>
        <v/>
      </c>
      <c r="H14" s="1" t="str">
        <f t="shared" si="2"/>
        <v/>
      </c>
      <c r="I14" s="1">
        <f t="shared" si="3"/>
        <v>0.68093699515347339</v>
      </c>
      <c r="J14" s="1" t="str">
        <f t="shared" si="4"/>
        <v/>
      </c>
      <c r="K14" s="1" t="str">
        <f t="shared" si="5"/>
        <v/>
      </c>
      <c r="L14" s="1" t="str">
        <f t="shared" si="6"/>
        <v/>
      </c>
    </row>
    <row r="15" spans="1:76">
      <c r="A15" t="s">
        <v>4</v>
      </c>
      <c r="B15">
        <v>2</v>
      </c>
      <c r="C15" t="str">
        <f t="shared" si="0"/>
        <v>test.BallonFactory_2_</v>
      </c>
      <c r="D15">
        <v>10</v>
      </c>
      <c r="E15">
        <v>0.68093699515347339</v>
      </c>
      <c r="F15">
        <v>0.57148578571428565</v>
      </c>
      <c r="G15" s="1" t="str">
        <f t="shared" si="1"/>
        <v/>
      </c>
      <c r="H15" s="1" t="str">
        <f t="shared" si="2"/>
        <v/>
      </c>
      <c r="I15" s="1">
        <f t="shared" si="3"/>
        <v>0.68093699515347339</v>
      </c>
      <c r="J15" s="1" t="str">
        <f t="shared" si="4"/>
        <v/>
      </c>
      <c r="K15" s="1" t="str">
        <f t="shared" si="5"/>
        <v/>
      </c>
      <c r="L15" s="1" t="str">
        <f t="shared" si="6"/>
        <v/>
      </c>
    </row>
    <row r="16" spans="1:76">
      <c r="A16" t="s">
        <v>4</v>
      </c>
      <c r="B16">
        <v>2</v>
      </c>
      <c r="C16" t="str">
        <f t="shared" si="0"/>
        <v>test.BallonFactory_2_</v>
      </c>
      <c r="D16">
        <v>11</v>
      </c>
      <c r="E16">
        <v>0.68416801292407103</v>
      </c>
      <c r="F16">
        <v>0.57150009999999996</v>
      </c>
      <c r="G16" s="1" t="str">
        <f t="shared" si="1"/>
        <v/>
      </c>
      <c r="H16" s="1" t="str">
        <f t="shared" si="2"/>
        <v/>
      </c>
      <c r="I16" s="1">
        <f t="shared" si="3"/>
        <v>0.68416801292407103</v>
      </c>
      <c r="J16" s="1" t="str">
        <f t="shared" si="4"/>
        <v/>
      </c>
      <c r="K16" s="1" t="str">
        <f t="shared" si="5"/>
        <v/>
      </c>
      <c r="L16" s="1" t="str">
        <f t="shared" si="6"/>
        <v/>
      </c>
    </row>
    <row r="17" spans="1:12">
      <c r="A17" t="s">
        <v>4</v>
      </c>
      <c r="B17">
        <v>2</v>
      </c>
      <c r="C17" t="str">
        <f t="shared" si="0"/>
        <v>test.BallonFactory_2_</v>
      </c>
      <c r="D17">
        <v>12</v>
      </c>
      <c r="E17">
        <v>0.99030694668820674</v>
      </c>
      <c r="F17">
        <v>0.7142857142857143</v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">
        <f t="shared" si="4"/>
        <v>0.99030694668820674</v>
      </c>
      <c r="K17" s="1" t="str">
        <f t="shared" si="5"/>
        <v/>
      </c>
      <c r="L17" s="1" t="str">
        <f t="shared" si="6"/>
        <v/>
      </c>
    </row>
    <row r="18" spans="1:12">
      <c r="A18" t="s">
        <v>4</v>
      </c>
      <c r="B18">
        <v>2</v>
      </c>
      <c r="C18" t="str">
        <f t="shared" si="0"/>
        <v>test.BallonFactory_2_</v>
      </c>
      <c r="D18">
        <v>13</v>
      </c>
      <c r="E18">
        <v>1</v>
      </c>
      <c r="F18">
        <v>0.71429999999999993</v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">
        <f t="shared" si="4"/>
        <v>1</v>
      </c>
      <c r="K18" s="1" t="str">
        <f t="shared" si="5"/>
        <v/>
      </c>
      <c r="L18" s="1" t="str">
        <f t="shared" si="6"/>
        <v/>
      </c>
    </row>
    <row r="19" spans="1:12">
      <c r="A19" t="s">
        <v>4</v>
      </c>
      <c r="B19">
        <v>2</v>
      </c>
      <c r="C19" t="str">
        <f t="shared" si="0"/>
        <v>test.BallonFactory_2_</v>
      </c>
      <c r="D19">
        <v>14</v>
      </c>
      <c r="E19">
        <v>1</v>
      </c>
      <c r="F19">
        <v>0.71431432857142863</v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">
        <f t="shared" si="4"/>
        <v>1</v>
      </c>
      <c r="K19" s="1" t="str">
        <f t="shared" si="5"/>
        <v/>
      </c>
      <c r="L19" s="1" t="str">
        <f t="shared" si="6"/>
        <v/>
      </c>
    </row>
    <row r="20" spans="1:12">
      <c r="A20" t="s">
        <v>4</v>
      </c>
      <c r="B20">
        <v>2</v>
      </c>
      <c r="C20" t="str">
        <f t="shared" si="0"/>
        <v>test.BallonFactory_2_</v>
      </c>
      <c r="D20">
        <v>15</v>
      </c>
      <c r="E20">
        <v>1</v>
      </c>
      <c r="F20">
        <v>0.71432862857142865</v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">
        <f t="shared" si="4"/>
        <v>1</v>
      </c>
      <c r="K20" s="1" t="str">
        <f t="shared" si="5"/>
        <v/>
      </c>
      <c r="L20" s="1" t="str">
        <f t="shared" si="6"/>
        <v/>
      </c>
    </row>
    <row r="21" spans="1:12">
      <c r="A21" t="s">
        <v>4</v>
      </c>
      <c r="B21">
        <v>2</v>
      </c>
      <c r="C21" t="str">
        <f t="shared" si="0"/>
        <v>test.BallonFactory_2_</v>
      </c>
      <c r="D21">
        <v>1</v>
      </c>
      <c r="E21">
        <v>1</v>
      </c>
      <c r="F21">
        <v>0.71434292857142856</v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">
        <f t="shared" si="4"/>
        <v>1</v>
      </c>
      <c r="K21" s="1" t="str">
        <f t="shared" si="5"/>
        <v/>
      </c>
      <c r="L21" s="1" t="str">
        <f t="shared" si="6"/>
        <v/>
      </c>
    </row>
    <row r="22" spans="1:12">
      <c r="A22" t="s">
        <v>4</v>
      </c>
      <c r="B22">
        <v>2</v>
      </c>
      <c r="C22" t="str">
        <f t="shared" si="0"/>
        <v>test.BallonFactory_2_</v>
      </c>
      <c r="D22">
        <v>2</v>
      </c>
      <c r="E22">
        <v>1</v>
      </c>
      <c r="F22">
        <v>0.71435724285714286</v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">
        <f t="shared" si="4"/>
        <v>1</v>
      </c>
      <c r="K22" s="1" t="str">
        <f t="shared" si="5"/>
        <v/>
      </c>
      <c r="L22" s="1" t="str">
        <f t="shared" si="6"/>
        <v/>
      </c>
    </row>
    <row r="23" spans="1:12">
      <c r="A23" t="s">
        <v>4</v>
      </c>
      <c r="B23">
        <v>2</v>
      </c>
      <c r="C23" t="str">
        <f t="shared" si="0"/>
        <v>test.BallonFactory_2_</v>
      </c>
      <c r="D23">
        <v>3</v>
      </c>
      <c r="E23">
        <v>1</v>
      </c>
      <c r="F23">
        <v>0.8571428571428571</v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" t="str">
        <f t="shared" si="4"/>
        <v/>
      </c>
      <c r="K23" s="1">
        <f t="shared" si="5"/>
        <v>1</v>
      </c>
      <c r="L23" s="1" t="str">
        <f t="shared" si="6"/>
        <v/>
      </c>
    </row>
    <row r="24" spans="1:12">
      <c r="A24" t="s">
        <v>4</v>
      </c>
      <c r="B24">
        <v>2</v>
      </c>
      <c r="C24" t="str">
        <f t="shared" si="0"/>
        <v>test.BallonFactory_2_</v>
      </c>
      <c r="D24">
        <v>4</v>
      </c>
      <c r="E24">
        <v>1</v>
      </c>
      <c r="F24">
        <v>0.85715714285714284</v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" t="str">
        <f t="shared" si="4"/>
        <v/>
      </c>
      <c r="K24" s="1">
        <f t="shared" si="5"/>
        <v>1</v>
      </c>
      <c r="L24" s="1" t="str">
        <f t="shared" si="6"/>
        <v/>
      </c>
    </row>
    <row r="25" spans="1:12">
      <c r="A25" t="s">
        <v>4</v>
      </c>
      <c r="B25">
        <v>6</v>
      </c>
      <c r="C25" t="str">
        <f t="shared" si="0"/>
        <v>test.BallonFactory_6_</v>
      </c>
      <c r="D25">
        <v>5</v>
      </c>
      <c r="E25">
        <v>0.3</v>
      </c>
      <c r="F25">
        <v>1</v>
      </c>
      <c r="G25" s="1" t="str">
        <f t="shared" si="1"/>
        <v/>
      </c>
      <c r="H25" s="1" t="str">
        <f t="shared" si="2"/>
        <v/>
      </c>
      <c r="I25" s="1" t="str">
        <f t="shared" si="3"/>
        <v/>
      </c>
      <c r="J25" s="1" t="str">
        <f t="shared" si="4"/>
        <v/>
      </c>
      <c r="K25" s="1">
        <f t="shared" si="5"/>
        <v>0.3</v>
      </c>
      <c r="L25" s="1" t="str">
        <f t="shared" si="6"/>
        <v/>
      </c>
    </row>
    <row r="26" spans="1:12">
      <c r="A26" t="s">
        <v>4</v>
      </c>
      <c r="B26">
        <v>6</v>
      </c>
      <c r="C26" t="str">
        <f t="shared" si="0"/>
        <v>test.BallonFactory_6_</v>
      </c>
      <c r="D26">
        <v>1</v>
      </c>
      <c r="E26">
        <v>0.88749999999999996</v>
      </c>
      <c r="F26">
        <v>1.5</v>
      </c>
      <c r="G26" s="1" t="str">
        <f t="shared" si="1"/>
        <v/>
      </c>
      <c r="H26" s="1" t="str">
        <f t="shared" si="2"/>
        <v/>
      </c>
      <c r="I26" s="1" t="str">
        <f t="shared" si="3"/>
        <v/>
      </c>
      <c r="J26" s="1" t="str">
        <f t="shared" si="4"/>
        <v/>
      </c>
      <c r="K26" s="1" t="str">
        <f t="shared" si="5"/>
        <v/>
      </c>
      <c r="L26" s="1">
        <f t="shared" si="6"/>
        <v>0.88749999999999996</v>
      </c>
    </row>
    <row r="27" spans="1:12">
      <c r="A27" t="s">
        <v>4</v>
      </c>
      <c r="B27">
        <v>6</v>
      </c>
      <c r="C27" t="str">
        <f t="shared" si="0"/>
        <v>test.BallonFactory_6_</v>
      </c>
      <c r="D27">
        <v>2</v>
      </c>
      <c r="E27">
        <v>0.88749999999999996</v>
      </c>
      <c r="F27">
        <v>1.5000500000000001</v>
      </c>
      <c r="G27" s="1" t="str">
        <f t="shared" si="1"/>
        <v/>
      </c>
      <c r="H27" s="1" t="str">
        <f t="shared" si="2"/>
        <v/>
      </c>
      <c r="I27" s="1" t="str">
        <f t="shared" si="3"/>
        <v/>
      </c>
      <c r="J27" s="1" t="str">
        <f t="shared" si="4"/>
        <v/>
      </c>
      <c r="K27" s="1" t="str">
        <f t="shared" si="5"/>
        <v/>
      </c>
      <c r="L27" s="1">
        <f t="shared" si="6"/>
        <v>0.88749999999999996</v>
      </c>
    </row>
    <row r="28" spans="1:12">
      <c r="A28" t="s">
        <v>4</v>
      </c>
      <c r="B28">
        <v>6</v>
      </c>
      <c r="C28" t="str">
        <f t="shared" si="0"/>
        <v>test.BallonFactory_6_</v>
      </c>
      <c r="D28">
        <v>3</v>
      </c>
      <c r="E28">
        <v>1</v>
      </c>
      <c r="F28">
        <v>1.5000998999999999</v>
      </c>
      <c r="G28" s="1" t="str">
        <f t="shared" si="1"/>
        <v/>
      </c>
      <c r="H28" s="1" t="str">
        <f t="shared" si="2"/>
        <v/>
      </c>
      <c r="I28" s="1" t="str">
        <f t="shared" si="3"/>
        <v/>
      </c>
      <c r="J28" s="1" t="str">
        <f t="shared" si="4"/>
        <v/>
      </c>
      <c r="K28" s="1" t="str">
        <f t="shared" si="5"/>
        <v/>
      </c>
      <c r="L28" s="1">
        <f t="shared" si="6"/>
        <v>1</v>
      </c>
    </row>
    <row r="29" spans="1:12">
      <c r="A29" t="s">
        <v>4</v>
      </c>
      <c r="B29">
        <v>6</v>
      </c>
      <c r="C29" t="str">
        <f t="shared" si="0"/>
        <v>test.BallonFactory_6_</v>
      </c>
      <c r="D29">
        <v>4</v>
      </c>
      <c r="E29">
        <v>1</v>
      </c>
      <c r="F29">
        <v>1.5001498499999999</v>
      </c>
      <c r="G29" s="1" t="str">
        <f t="shared" si="1"/>
        <v/>
      </c>
      <c r="H29" s="1" t="str">
        <f t="shared" si="2"/>
        <v/>
      </c>
      <c r="I29" s="1" t="str">
        <f t="shared" si="3"/>
        <v/>
      </c>
      <c r="J29" s="1" t="str">
        <f t="shared" si="4"/>
        <v/>
      </c>
      <c r="K29" s="1" t="str">
        <f t="shared" si="5"/>
        <v/>
      </c>
      <c r="L29" s="1">
        <f t="shared" si="6"/>
        <v>1</v>
      </c>
    </row>
    <row r="30" spans="1:12">
      <c r="A30" t="s">
        <v>4</v>
      </c>
      <c r="B30">
        <v>9</v>
      </c>
      <c r="C30" t="str">
        <f t="shared" si="0"/>
        <v>test.BallonFactory_9_</v>
      </c>
      <c r="D30">
        <v>5</v>
      </c>
      <c r="E30">
        <v>2.500477190303493E-2</v>
      </c>
      <c r="F30">
        <v>0.21428571428571427</v>
      </c>
      <c r="G30" s="1" t="str">
        <f t="shared" si="1"/>
        <v/>
      </c>
      <c r="H30" s="1">
        <f t="shared" si="2"/>
        <v>2.500477190303493E-2</v>
      </c>
      <c r="I30" s="1" t="str">
        <f t="shared" si="3"/>
        <v/>
      </c>
      <c r="J30" s="1" t="str">
        <f t="shared" si="4"/>
        <v/>
      </c>
      <c r="K30" s="1" t="str">
        <f t="shared" si="5"/>
        <v/>
      </c>
      <c r="L30" s="1" t="str">
        <f t="shared" si="6"/>
        <v/>
      </c>
    </row>
    <row r="31" spans="1:12">
      <c r="A31" t="s">
        <v>4</v>
      </c>
      <c r="B31">
        <v>9</v>
      </c>
      <c r="C31" t="str">
        <f t="shared" si="0"/>
        <v>test.BallonFactory_9_</v>
      </c>
      <c r="D31">
        <v>6</v>
      </c>
      <c r="E31">
        <v>9.6392441305592672E-2</v>
      </c>
      <c r="F31">
        <v>0.21429285714285715</v>
      </c>
      <c r="G31" s="1" t="str">
        <f t="shared" si="1"/>
        <v/>
      </c>
      <c r="H31" s="1">
        <f t="shared" si="2"/>
        <v>9.6392441305592672E-2</v>
      </c>
      <c r="I31" s="1" t="str">
        <f t="shared" si="3"/>
        <v/>
      </c>
      <c r="J31" s="1" t="str">
        <f t="shared" si="4"/>
        <v/>
      </c>
      <c r="K31" s="1" t="str">
        <f t="shared" si="5"/>
        <v/>
      </c>
      <c r="L31" s="1" t="str">
        <f t="shared" si="6"/>
        <v/>
      </c>
    </row>
    <row r="32" spans="1:12">
      <c r="A32" t="s">
        <v>4</v>
      </c>
      <c r="B32">
        <v>9</v>
      </c>
      <c r="C32" t="str">
        <f t="shared" si="0"/>
        <v>test.BallonFactory_9_</v>
      </c>
      <c r="D32">
        <v>7</v>
      </c>
      <c r="E32">
        <v>0.14124832983393779</v>
      </c>
      <c r="F32">
        <v>0.2857142857142857</v>
      </c>
      <c r="G32" s="1" t="str">
        <f t="shared" si="1"/>
        <v/>
      </c>
      <c r="H32" s="1">
        <f t="shared" si="2"/>
        <v>0.14124832983393779</v>
      </c>
      <c r="I32" s="1" t="str">
        <f t="shared" si="3"/>
        <v/>
      </c>
      <c r="J32" s="1" t="str">
        <f t="shared" si="4"/>
        <v/>
      </c>
      <c r="K32" s="1" t="str">
        <f t="shared" si="5"/>
        <v/>
      </c>
      <c r="L32" s="1" t="str">
        <f t="shared" si="6"/>
        <v/>
      </c>
    </row>
    <row r="33" spans="1:12">
      <c r="A33" t="s">
        <v>4</v>
      </c>
      <c r="B33">
        <v>9</v>
      </c>
      <c r="C33" t="str">
        <f t="shared" si="0"/>
        <v>test.BallonFactory_9_</v>
      </c>
      <c r="D33">
        <v>8</v>
      </c>
      <c r="E33">
        <v>0.19030349303302158</v>
      </c>
      <c r="F33">
        <v>0.28572142857142857</v>
      </c>
      <c r="G33" s="1" t="str">
        <f t="shared" si="1"/>
        <v/>
      </c>
      <c r="H33" s="1">
        <f t="shared" si="2"/>
        <v>0.19030349303302158</v>
      </c>
      <c r="I33" s="1" t="str">
        <f t="shared" si="3"/>
        <v/>
      </c>
      <c r="J33" s="1" t="str">
        <f t="shared" si="4"/>
        <v/>
      </c>
      <c r="K33" s="1" t="str">
        <f t="shared" si="5"/>
        <v/>
      </c>
      <c r="L33" s="1" t="str">
        <f t="shared" si="6"/>
        <v/>
      </c>
    </row>
    <row r="34" spans="1:12">
      <c r="A34" t="s">
        <v>4</v>
      </c>
      <c r="B34">
        <v>9</v>
      </c>
      <c r="C34" t="str">
        <f t="shared" si="0"/>
        <v>test.BallonFactory_9_</v>
      </c>
      <c r="D34">
        <v>9</v>
      </c>
      <c r="E34">
        <v>0.23096010689062799</v>
      </c>
      <c r="F34">
        <v>0.28572859285714286</v>
      </c>
      <c r="G34" s="1" t="str">
        <f t="shared" si="1"/>
        <v/>
      </c>
      <c r="H34" s="1">
        <f t="shared" si="2"/>
        <v>0.23096010689062799</v>
      </c>
      <c r="I34" s="1" t="str">
        <f t="shared" si="3"/>
        <v/>
      </c>
      <c r="J34" s="1" t="str">
        <f t="shared" si="4"/>
        <v/>
      </c>
      <c r="K34" s="1" t="str">
        <f t="shared" si="5"/>
        <v/>
      </c>
      <c r="L34" s="1" t="str">
        <f t="shared" si="6"/>
        <v/>
      </c>
    </row>
    <row r="35" spans="1:12">
      <c r="A35" t="s">
        <v>4</v>
      </c>
      <c r="B35">
        <v>9</v>
      </c>
      <c r="C35" t="str">
        <f t="shared" si="0"/>
        <v>test.BallonFactory_9_</v>
      </c>
      <c r="D35">
        <v>10</v>
      </c>
      <c r="E35">
        <v>0.47738117961443022</v>
      </c>
      <c r="F35">
        <v>0.42857142857142855</v>
      </c>
      <c r="G35" s="1" t="str">
        <f t="shared" si="1"/>
        <v/>
      </c>
      <c r="H35" s="1" t="str">
        <f t="shared" si="2"/>
        <v/>
      </c>
      <c r="I35" s="1">
        <f t="shared" si="3"/>
        <v>0.47738117961443022</v>
      </c>
      <c r="J35" s="1" t="str">
        <f t="shared" si="4"/>
        <v/>
      </c>
      <c r="K35" s="1" t="str">
        <f t="shared" si="5"/>
        <v/>
      </c>
      <c r="L35" s="1" t="str">
        <f t="shared" si="6"/>
        <v/>
      </c>
    </row>
    <row r="36" spans="1:12">
      <c r="A36" t="s">
        <v>4</v>
      </c>
      <c r="B36">
        <v>9</v>
      </c>
      <c r="C36" t="str">
        <f t="shared" si="0"/>
        <v>test.BallonFactory_9_</v>
      </c>
      <c r="D36">
        <v>1</v>
      </c>
      <c r="E36">
        <v>0.59610612712349687</v>
      </c>
      <c r="F36">
        <v>0.42857857142857142</v>
      </c>
      <c r="G36" s="1" t="str">
        <f t="shared" si="1"/>
        <v/>
      </c>
      <c r="H36" s="1" t="str">
        <f t="shared" si="2"/>
        <v/>
      </c>
      <c r="I36" s="1">
        <f t="shared" si="3"/>
        <v>0.59610612712349687</v>
      </c>
      <c r="J36" s="1" t="str">
        <f t="shared" si="4"/>
        <v/>
      </c>
      <c r="K36" s="1" t="str">
        <f t="shared" si="5"/>
        <v/>
      </c>
      <c r="L36" s="1" t="str">
        <f t="shared" si="6"/>
        <v/>
      </c>
    </row>
    <row r="37" spans="1:12">
      <c r="A37" t="s">
        <v>4</v>
      </c>
      <c r="B37">
        <v>9</v>
      </c>
      <c r="C37" t="str">
        <f t="shared" si="0"/>
        <v>test.BallonFactory_9_</v>
      </c>
      <c r="D37">
        <v>2</v>
      </c>
      <c r="E37">
        <v>0.75854170643252528</v>
      </c>
      <c r="F37">
        <v>0.42858573571428576</v>
      </c>
      <c r="G37" s="1" t="str">
        <f t="shared" si="1"/>
        <v/>
      </c>
      <c r="H37" s="1" t="str">
        <f t="shared" si="2"/>
        <v/>
      </c>
      <c r="I37" s="1">
        <f t="shared" si="3"/>
        <v>0.75854170643252528</v>
      </c>
      <c r="J37" s="1" t="str">
        <f t="shared" si="4"/>
        <v/>
      </c>
      <c r="K37" s="1" t="str">
        <f t="shared" si="5"/>
        <v/>
      </c>
      <c r="L37" s="1" t="str">
        <f t="shared" si="6"/>
        <v/>
      </c>
    </row>
    <row r="38" spans="1:12">
      <c r="A38" t="s">
        <v>4</v>
      </c>
      <c r="B38">
        <v>9</v>
      </c>
      <c r="C38" t="str">
        <f t="shared" si="0"/>
        <v>test.BallonFactory_9_</v>
      </c>
      <c r="D38">
        <v>3</v>
      </c>
      <c r="E38">
        <v>0.95800725329261305</v>
      </c>
      <c r="F38">
        <v>0.42859288571428572</v>
      </c>
      <c r="G38" s="1" t="str">
        <f t="shared" si="1"/>
        <v/>
      </c>
      <c r="H38" s="1" t="str">
        <f t="shared" si="2"/>
        <v/>
      </c>
      <c r="I38" s="1">
        <f t="shared" si="3"/>
        <v>0.95800725329261305</v>
      </c>
      <c r="J38" s="1" t="str">
        <f t="shared" si="4"/>
        <v/>
      </c>
      <c r="K38" s="1" t="str">
        <f t="shared" si="5"/>
        <v/>
      </c>
      <c r="L38" s="1" t="str">
        <f t="shared" si="6"/>
        <v/>
      </c>
    </row>
    <row r="39" spans="1:12">
      <c r="A39" t="s">
        <v>4</v>
      </c>
      <c r="B39">
        <v>9</v>
      </c>
      <c r="C39" t="str">
        <f t="shared" si="0"/>
        <v>test.BallonFactory_9_</v>
      </c>
      <c r="D39">
        <v>4</v>
      </c>
      <c r="E39">
        <v>1</v>
      </c>
      <c r="F39">
        <v>0.5714285714285714</v>
      </c>
      <c r="G39" s="1" t="str">
        <f t="shared" si="1"/>
        <v/>
      </c>
      <c r="H39" s="1" t="str">
        <f t="shared" si="2"/>
        <v/>
      </c>
      <c r="I39" s="1">
        <f t="shared" si="3"/>
        <v>1</v>
      </c>
      <c r="J39" s="1" t="str">
        <f t="shared" si="4"/>
        <v/>
      </c>
      <c r="K39" s="1" t="str">
        <f t="shared" si="5"/>
        <v/>
      </c>
      <c r="L39" s="1" t="str">
        <f t="shared" si="6"/>
        <v/>
      </c>
    </row>
    <row r="40" spans="1:12">
      <c r="A40" t="s">
        <v>32</v>
      </c>
      <c r="B40">
        <v>2</v>
      </c>
      <c r="C40" t="str">
        <f t="shared" si="0"/>
        <v>test.Base64_2_</v>
      </c>
      <c r="D40">
        <v>1</v>
      </c>
      <c r="E40">
        <v>0.11263736263736264</v>
      </c>
      <c r="F40">
        <v>0.5</v>
      </c>
      <c r="G40" s="1" t="str">
        <f t="shared" si="1"/>
        <v/>
      </c>
      <c r="H40" s="1" t="str">
        <f t="shared" si="2"/>
        <v/>
      </c>
      <c r="I40" s="1">
        <f t="shared" si="3"/>
        <v>0.11263736263736264</v>
      </c>
      <c r="J40" s="1" t="str">
        <f t="shared" si="4"/>
        <v/>
      </c>
      <c r="K40" s="1" t="str">
        <f t="shared" si="5"/>
        <v/>
      </c>
      <c r="L40" s="1" t="str">
        <f t="shared" si="6"/>
        <v/>
      </c>
    </row>
    <row r="41" spans="1:12">
      <c r="A41" t="s">
        <v>32</v>
      </c>
      <c r="B41">
        <v>2</v>
      </c>
      <c r="C41" t="str">
        <f t="shared" si="0"/>
        <v>test.Base64_2_</v>
      </c>
      <c r="D41">
        <v>2</v>
      </c>
      <c r="E41">
        <v>0.9642857142857143</v>
      </c>
      <c r="F41">
        <v>0.75</v>
      </c>
      <c r="G41" s="1" t="str">
        <f t="shared" si="1"/>
        <v/>
      </c>
      <c r="H41" s="1" t="str">
        <f t="shared" si="2"/>
        <v/>
      </c>
      <c r="I41" s="1" t="str">
        <f t="shared" si="3"/>
        <v/>
      </c>
      <c r="J41" s="1">
        <f t="shared" si="4"/>
        <v>0.9642857142857143</v>
      </c>
      <c r="K41" s="1" t="str">
        <f t="shared" si="5"/>
        <v/>
      </c>
      <c r="L41" s="1" t="str">
        <f t="shared" si="6"/>
        <v/>
      </c>
    </row>
    <row r="42" spans="1:12">
      <c r="A42" t="s">
        <v>32</v>
      </c>
      <c r="B42">
        <v>2</v>
      </c>
      <c r="C42" t="str">
        <f t="shared" si="0"/>
        <v>test.Base64_2_</v>
      </c>
      <c r="D42">
        <v>3</v>
      </c>
      <c r="E42">
        <v>1</v>
      </c>
      <c r="F42">
        <v>0.75002500000000005</v>
      </c>
      <c r="G42" s="1" t="str">
        <f t="shared" si="1"/>
        <v/>
      </c>
      <c r="H42" s="1" t="str">
        <f t="shared" si="2"/>
        <v/>
      </c>
      <c r="I42" s="1" t="str">
        <f t="shared" si="3"/>
        <v/>
      </c>
      <c r="J42" s="1">
        <f t="shared" si="4"/>
        <v>1</v>
      </c>
      <c r="K42" s="1" t="str">
        <f t="shared" si="5"/>
        <v/>
      </c>
      <c r="L42" s="1" t="str">
        <f t="shared" si="6"/>
        <v/>
      </c>
    </row>
    <row r="43" spans="1:12">
      <c r="A43" t="s">
        <v>32</v>
      </c>
      <c r="B43">
        <v>2</v>
      </c>
      <c r="C43" t="str">
        <f t="shared" si="0"/>
        <v>test.Base64_2_</v>
      </c>
      <c r="D43">
        <v>4</v>
      </c>
      <c r="E43">
        <v>1</v>
      </c>
      <c r="F43">
        <v>0.75004994999999997</v>
      </c>
      <c r="G43" s="1" t="str">
        <f t="shared" si="1"/>
        <v/>
      </c>
      <c r="H43" s="1" t="str">
        <f t="shared" si="2"/>
        <v/>
      </c>
      <c r="I43" s="1" t="str">
        <f t="shared" si="3"/>
        <v/>
      </c>
      <c r="J43" s="1">
        <f t="shared" si="4"/>
        <v>1</v>
      </c>
      <c r="K43" s="1" t="str">
        <f t="shared" si="5"/>
        <v/>
      </c>
      <c r="L43" s="1" t="str">
        <f t="shared" si="6"/>
        <v/>
      </c>
    </row>
    <row r="44" spans="1:12">
      <c r="A44" t="s">
        <v>32</v>
      </c>
      <c r="B44">
        <v>4</v>
      </c>
      <c r="C44" t="str">
        <f t="shared" si="0"/>
        <v>test.Base64_4_</v>
      </c>
      <c r="D44">
        <v>1</v>
      </c>
      <c r="E44">
        <v>0.32692307692307693</v>
      </c>
      <c r="F44">
        <v>1</v>
      </c>
      <c r="G44" s="1" t="str">
        <f t="shared" si="1"/>
        <v/>
      </c>
      <c r="H44" s="1" t="str">
        <f t="shared" si="2"/>
        <v/>
      </c>
      <c r="I44" s="1" t="str">
        <f t="shared" si="3"/>
        <v/>
      </c>
      <c r="J44" s="1" t="str">
        <f t="shared" si="4"/>
        <v/>
      </c>
      <c r="K44" s="1">
        <f t="shared" si="5"/>
        <v>0.32692307692307693</v>
      </c>
      <c r="L44" s="1" t="str">
        <f t="shared" si="6"/>
        <v/>
      </c>
    </row>
    <row r="45" spans="1:12">
      <c r="A45" t="s">
        <v>32</v>
      </c>
      <c r="B45">
        <v>4</v>
      </c>
      <c r="C45" t="str">
        <f t="shared" si="0"/>
        <v>test.Base64_4_</v>
      </c>
      <c r="D45">
        <v>2</v>
      </c>
      <c r="E45">
        <v>0.38186813186813184</v>
      </c>
      <c r="F45">
        <v>1.0000333333333333</v>
      </c>
      <c r="G45" s="1" t="str">
        <f t="shared" si="1"/>
        <v/>
      </c>
      <c r="H45" s="1" t="str">
        <f t="shared" si="2"/>
        <v/>
      </c>
      <c r="I45" s="1" t="str">
        <f t="shared" si="3"/>
        <v/>
      </c>
      <c r="J45" s="1" t="str">
        <f t="shared" si="4"/>
        <v/>
      </c>
      <c r="K45" s="1">
        <f t="shared" si="5"/>
        <v>0.38186813186813184</v>
      </c>
      <c r="L45" s="1" t="str">
        <f t="shared" si="6"/>
        <v/>
      </c>
    </row>
    <row r="46" spans="1:12">
      <c r="A46" t="s">
        <v>32</v>
      </c>
      <c r="B46">
        <v>4</v>
      </c>
      <c r="C46" t="str">
        <f t="shared" si="0"/>
        <v>test.Base64_4_</v>
      </c>
      <c r="D46">
        <v>3</v>
      </c>
      <c r="E46">
        <v>0.8571428571428571</v>
      </c>
      <c r="F46">
        <v>1.0000666</v>
      </c>
      <c r="G46" s="1" t="str">
        <f t="shared" si="1"/>
        <v/>
      </c>
      <c r="H46" s="1" t="str">
        <f t="shared" si="2"/>
        <v/>
      </c>
      <c r="I46" s="1" t="str">
        <f t="shared" si="3"/>
        <v/>
      </c>
      <c r="J46" s="1" t="str">
        <f t="shared" si="4"/>
        <v/>
      </c>
      <c r="K46" s="1">
        <f t="shared" si="5"/>
        <v>0.8571428571428571</v>
      </c>
      <c r="L46" s="1" t="str">
        <f t="shared" si="6"/>
        <v/>
      </c>
    </row>
    <row r="47" spans="1:12">
      <c r="A47" t="s">
        <v>32</v>
      </c>
      <c r="B47">
        <v>4</v>
      </c>
      <c r="C47" t="str">
        <f t="shared" si="0"/>
        <v>test.Base64_4_</v>
      </c>
      <c r="D47">
        <v>4</v>
      </c>
      <c r="E47">
        <v>1</v>
      </c>
      <c r="F47">
        <v>1.6666666666666667</v>
      </c>
      <c r="G47" s="1" t="str">
        <f t="shared" si="1"/>
        <v/>
      </c>
      <c r="H47" s="1" t="str">
        <f t="shared" si="2"/>
        <v/>
      </c>
      <c r="I47" s="1" t="str">
        <f t="shared" si="3"/>
        <v/>
      </c>
      <c r="J47" s="1" t="str">
        <f t="shared" si="4"/>
        <v/>
      </c>
      <c r="K47" s="1" t="str">
        <f t="shared" si="5"/>
        <v/>
      </c>
      <c r="L47" s="1">
        <f t="shared" si="6"/>
        <v>1</v>
      </c>
    </row>
    <row r="48" spans="1:12">
      <c r="A48" t="s">
        <v>32</v>
      </c>
      <c r="B48">
        <v>13</v>
      </c>
      <c r="C48" t="str">
        <f t="shared" si="0"/>
        <v>test.Base64_13_</v>
      </c>
      <c r="D48">
        <v>5</v>
      </c>
      <c r="E48">
        <v>0.83333333333333337</v>
      </c>
      <c r="F48">
        <v>2</v>
      </c>
      <c r="G48" s="1" t="str">
        <f t="shared" si="1"/>
        <v/>
      </c>
      <c r="H48" s="1" t="str">
        <f t="shared" si="2"/>
        <v/>
      </c>
      <c r="I48" s="1" t="str">
        <f t="shared" si="3"/>
        <v/>
      </c>
      <c r="J48" s="1" t="str">
        <f t="shared" si="4"/>
        <v/>
      </c>
      <c r="K48" s="1" t="str">
        <f t="shared" si="5"/>
        <v/>
      </c>
      <c r="L48" s="1">
        <f t="shared" si="6"/>
        <v>0.83333333333333337</v>
      </c>
    </row>
    <row r="49" spans="1:12">
      <c r="A49" t="s">
        <v>32</v>
      </c>
      <c r="B49">
        <v>13</v>
      </c>
      <c r="C49" t="str">
        <f t="shared" si="0"/>
        <v>test.Base64_13_</v>
      </c>
      <c r="D49">
        <v>1</v>
      </c>
      <c r="E49">
        <v>1</v>
      </c>
      <c r="F49">
        <v>2.0001000000000002</v>
      </c>
      <c r="G49" s="1" t="str">
        <f>IF($F49 &lt;= 0.2,$E49,"")</f>
        <v/>
      </c>
      <c r="H49" s="1" t="str">
        <f t="shared" si="2"/>
        <v/>
      </c>
      <c r="I49" s="1" t="str">
        <f t="shared" si="3"/>
        <v/>
      </c>
      <c r="J49" s="1" t="str">
        <f t="shared" si="4"/>
        <v/>
      </c>
      <c r="K49" s="1" t="str">
        <f t="shared" si="5"/>
        <v/>
      </c>
      <c r="L49" s="1">
        <f t="shared" si="6"/>
        <v>1</v>
      </c>
    </row>
    <row r="50" spans="1:12">
      <c r="A50" t="s">
        <v>32</v>
      </c>
      <c r="B50">
        <v>16</v>
      </c>
      <c r="C50" t="str">
        <f t="shared" si="0"/>
        <v>test.Base64_16_</v>
      </c>
      <c r="D50">
        <v>2</v>
      </c>
      <c r="E50">
        <v>4.6262979335869232E-4</v>
      </c>
      <c r="F50">
        <v>7.6923076923076927E-2</v>
      </c>
      <c r="G50" s="1">
        <f t="shared" si="1"/>
        <v>4.6262979335869232E-4</v>
      </c>
      <c r="H50" s="1" t="str">
        <f t="shared" si="2"/>
        <v/>
      </c>
      <c r="I50" s="1" t="str">
        <f t="shared" si="3"/>
        <v/>
      </c>
      <c r="J50" s="1" t="str">
        <f t="shared" si="4"/>
        <v/>
      </c>
      <c r="K50" s="1" t="str">
        <f t="shared" si="5"/>
        <v/>
      </c>
      <c r="L50" s="1" t="str">
        <f t="shared" si="6"/>
        <v/>
      </c>
    </row>
    <row r="51" spans="1:12">
      <c r="A51" t="s">
        <v>32</v>
      </c>
      <c r="B51">
        <v>16</v>
      </c>
      <c r="C51" t="str">
        <f t="shared" si="0"/>
        <v>test.Base64_16_</v>
      </c>
      <c r="D51">
        <v>3</v>
      </c>
      <c r="E51">
        <v>1.1308728282101368E-3</v>
      </c>
      <c r="F51">
        <v>7.6924999999999993E-2</v>
      </c>
      <c r="G51" s="1">
        <f t="shared" si="1"/>
        <v>1.1308728282101368E-3</v>
      </c>
      <c r="H51" s="1" t="str">
        <f t="shared" si="2"/>
        <v/>
      </c>
      <c r="I51" s="1" t="str">
        <f t="shared" si="3"/>
        <v/>
      </c>
      <c r="J51" s="1" t="str">
        <f t="shared" si="4"/>
        <v/>
      </c>
      <c r="K51" s="1" t="str">
        <f t="shared" si="5"/>
        <v/>
      </c>
      <c r="L51" s="1" t="str">
        <f t="shared" si="6"/>
        <v/>
      </c>
    </row>
    <row r="52" spans="1:12">
      <c r="A52" t="s">
        <v>32</v>
      </c>
      <c r="B52">
        <v>16</v>
      </c>
      <c r="C52" t="str">
        <f t="shared" si="0"/>
        <v>test.Base64_16_</v>
      </c>
      <c r="D52">
        <v>4</v>
      </c>
      <c r="E52">
        <v>0.84949110722730548</v>
      </c>
      <c r="F52">
        <v>1</v>
      </c>
      <c r="G52" s="1" t="str">
        <f t="shared" si="1"/>
        <v/>
      </c>
      <c r="H52" s="1" t="str">
        <f t="shared" si="2"/>
        <v/>
      </c>
      <c r="I52" s="1" t="str">
        <f t="shared" si="3"/>
        <v/>
      </c>
      <c r="J52" s="1" t="str">
        <f t="shared" si="4"/>
        <v/>
      </c>
      <c r="K52" s="1">
        <f t="shared" si="5"/>
        <v>0.84949110722730548</v>
      </c>
      <c r="L52" s="1" t="str">
        <f t="shared" si="6"/>
        <v/>
      </c>
    </row>
    <row r="53" spans="1:12">
      <c r="A53" t="s">
        <v>32</v>
      </c>
      <c r="B53">
        <v>16</v>
      </c>
      <c r="C53" t="str">
        <f t="shared" si="0"/>
        <v>test.Base64_16_</v>
      </c>
      <c r="D53">
        <v>1</v>
      </c>
      <c r="E53">
        <v>1</v>
      </c>
      <c r="F53">
        <v>1.0384615384615385</v>
      </c>
      <c r="G53" s="1" t="str">
        <f t="shared" si="1"/>
        <v/>
      </c>
      <c r="H53" s="1" t="str">
        <f t="shared" si="2"/>
        <v/>
      </c>
      <c r="I53" s="1" t="str">
        <f t="shared" si="3"/>
        <v/>
      </c>
      <c r="J53" s="1" t="str">
        <f t="shared" si="4"/>
        <v/>
      </c>
      <c r="K53" s="1">
        <f t="shared" si="5"/>
        <v>1</v>
      </c>
      <c r="L53" s="1" t="str">
        <f t="shared" si="6"/>
        <v/>
      </c>
    </row>
    <row r="54" spans="1:12">
      <c r="A54" t="s">
        <v>32</v>
      </c>
      <c r="B54">
        <v>18</v>
      </c>
      <c r="C54" t="str">
        <f t="shared" si="0"/>
        <v>test.Base64_18_</v>
      </c>
      <c r="D54">
        <v>2</v>
      </c>
      <c r="E54">
        <v>1.8318965517241379E-3</v>
      </c>
      <c r="F54">
        <v>6.3829787234042548E-2</v>
      </c>
      <c r="G54" s="1">
        <f t="shared" si="1"/>
        <v>1.8318965517241379E-3</v>
      </c>
      <c r="H54" s="1" t="str">
        <f t="shared" si="2"/>
        <v/>
      </c>
      <c r="I54" s="1" t="str">
        <f t="shared" si="3"/>
        <v/>
      </c>
      <c r="J54" s="1" t="str">
        <f t="shared" si="4"/>
        <v/>
      </c>
      <c r="K54" s="1" t="str">
        <f t="shared" si="5"/>
        <v/>
      </c>
      <c r="L54" s="1" t="str">
        <f t="shared" si="6"/>
        <v/>
      </c>
    </row>
    <row r="55" spans="1:12">
      <c r="A55" t="s">
        <v>32</v>
      </c>
      <c r="B55">
        <v>18</v>
      </c>
      <c r="C55" t="str">
        <f t="shared" si="0"/>
        <v>test.Base64_18_</v>
      </c>
      <c r="D55">
        <v>3</v>
      </c>
      <c r="E55">
        <v>3.5560344827586209E-3</v>
      </c>
      <c r="F55">
        <v>8.5106382978723402E-2</v>
      </c>
      <c r="G55" s="1">
        <f t="shared" si="1"/>
        <v>3.5560344827586209E-3</v>
      </c>
      <c r="H55" s="1" t="str">
        <f t="shared" si="2"/>
        <v/>
      </c>
      <c r="I55" s="1" t="str">
        <f t="shared" si="3"/>
        <v/>
      </c>
      <c r="J55" s="1" t="str">
        <f t="shared" si="4"/>
        <v/>
      </c>
      <c r="K55" s="1" t="str">
        <f t="shared" si="5"/>
        <v/>
      </c>
      <c r="L55" s="1" t="str">
        <f t="shared" si="6"/>
        <v/>
      </c>
    </row>
    <row r="56" spans="1:12">
      <c r="A56" t="s">
        <v>32</v>
      </c>
      <c r="B56">
        <v>18</v>
      </c>
      <c r="C56" t="str">
        <f t="shared" si="0"/>
        <v>test.Base64_18_</v>
      </c>
      <c r="D56">
        <v>4</v>
      </c>
      <c r="E56">
        <v>2.6508620689655173E-2</v>
      </c>
      <c r="F56">
        <v>8.5108510638297871E-2</v>
      </c>
      <c r="G56" s="1">
        <f t="shared" si="1"/>
        <v>2.6508620689655173E-2</v>
      </c>
      <c r="H56" s="1" t="str">
        <f t="shared" si="2"/>
        <v/>
      </c>
      <c r="I56" s="1" t="str">
        <f t="shared" si="3"/>
        <v/>
      </c>
      <c r="J56" s="1" t="str">
        <f t="shared" si="4"/>
        <v/>
      </c>
      <c r="K56" s="1" t="str">
        <f t="shared" si="5"/>
        <v/>
      </c>
      <c r="L56" s="1" t="str">
        <f t="shared" si="6"/>
        <v/>
      </c>
    </row>
    <row r="57" spans="1:12">
      <c r="A57" t="s">
        <v>32</v>
      </c>
      <c r="B57">
        <v>18</v>
      </c>
      <c r="C57" t="str">
        <f t="shared" si="0"/>
        <v>test.Base64_18_</v>
      </c>
      <c r="D57">
        <v>5</v>
      </c>
      <c r="E57">
        <v>2.6508620689655173E-2</v>
      </c>
      <c r="F57">
        <v>8.5110644680851069E-2</v>
      </c>
      <c r="G57" s="1">
        <f t="shared" si="1"/>
        <v>2.6508620689655173E-2</v>
      </c>
      <c r="H57" s="1" t="str">
        <f t="shared" si="2"/>
        <v/>
      </c>
      <c r="I57" s="1" t="str">
        <f t="shared" si="3"/>
        <v/>
      </c>
      <c r="J57" s="1" t="str">
        <f t="shared" si="4"/>
        <v/>
      </c>
      <c r="K57" s="1" t="str">
        <f t="shared" si="5"/>
        <v/>
      </c>
      <c r="L57" s="1" t="str">
        <f t="shared" si="6"/>
        <v/>
      </c>
    </row>
    <row r="58" spans="1:12">
      <c r="A58" t="s">
        <v>32</v>
      </c>
      <c r="B58">
        <v>18</v>
      </c>
      <c r="C58" t="str">
        <f t="shared" si="0"/>
        <v>test.Base64_18_</v>
      </c>
      <c r="D58">
        <v>6</v>
      </c>
      <c r="E58">
        <v>7.3275862068965511E-2</v>
      </c>
      <c r="F58">
        <v>0.10638297872340426</v>
      </c>
      <c r="G58" s="1">
        <f t="shared" si="1"/>
        <v>7.3275862068965511E-2</v>
      </c>
      <c r="H58" s="1" t="str">
        <f t="shared" si="2"/>
        <v/>
      </c>
      <c r="I58" s="1" t="str">
        <f t="shared" si="3"/>
        <v/>
      </c>
      <c r="J58" s="1" t="str">
        <f t="shared" si="4"/>
        <v/>
      </c>
      <c r="K58" s="1" t="str">
        <f t="shared" si="5"/>
        <v/>
      </c>
      <c r="L58" s="1" t="str">
        <f t="shared" si="6"/>
        <v/>
      </c>
    </row>
    <row r="59" spans="1:12">
      <c r="A59" t="s">
        <v>32</v>
      </c>
      <c r="B59">
        <v>18</v>
      </c>
      <c r="C59" t="str">
        <f t="shared" si="0"/>
        <v>test.Base64_18_</v>
      </c>
      <c r="D59">
        <v>7</v>
      </c>
      <c r="E59">
        <v>9.4181034482758622E-2</v>
      </c>
      <c r="F59">
        <v>0.10638510638297873</v>
      </c>
      <c r="G59" s="1">
        <f t="shared" si="1"/>
        <v>9.4181034482758622E-2</v>
      </c>
      <c r="H59" s="1" t="str">
        <f t="shared" si="2"/>
        <v/>
      </c>
      <c r="I59" s="1" t="str">
        <f t="shared" si="3"/>
        <v/>
      </c>
      <c r="J59" s="1" t="str">
        <f t="shared" si="4"/>
        <v/>
      </c>
      <c r="K59" s="1" t="str">
        <f t="shared" si="5"/>
        <v/>
      </c>
      <c r="L59" s="1" t="str">
        <f t="shared" si="6"/>
        <v/>
      </c>
    </row>
    <row r="60" spans="1:12">
      <c r="A60" t="s">
        <v>32</v>
      </c>
      <c r="B60">
        <v>18</v>
      </c>
      <c r="C60" t="str">
        <f t="shared" si="0"/>
        <v>test.Base64_18_</v>
      </c>
      <c r="D60">
        <v>8</v>
      </c>
      <c r="E60">
        <v>9.4181034482758622E-2</v>
      </c>
      <c r="F60">
        <v>0.10638724042553192</v>
      </c>
      <c r="G60" s="1">
        <f t="shared" si="1"/>
        <v>9.4181034482758622E-2</v>
      </c>
      <c r="H60" s="1" t="str">
        <f t="shared" si="2"/>
        <v/>
      </c>
      <c r="I60" s="1" t="str">
        <f t="shared" si="3"/>
        <v/>
      </c>
      <c r="J60" s="1" t="str">
        <f t="shared" si="4"/>
        <v/>
      </c>
      <c r="K60" s="1" t="str">
        <f t="shared" si="5"/>
        <v/>
      </c>
      <c r="L60" s="1" t="str">
        <f t="shared" si="6"/>
        <v/>
      </c>
    </row>
    <row r="61" spans="1:12">
      <c r="A61" t="s">
        <v>32</v>
      </c>
      <c r="B61">
        <v>18</v>
      </c>
      <c r="C61" t="str">
        <f t="shared" si="0"/>
        <v>test.Base64_18_</v>
      </c>
      <c r="D61">
        <v>9</v>
      </c>
      <c r="E61">
        <v>0.10043103448275863</v>
      </c>
      <c r="F61">
        <v>0.1276595744680851</v>
      </c>
      <c r="G61" s="1">
        <f t="shared" si="1"/>
        <v>0.10043103448275863</v>
      </c>
      <c r="H61" s="1" t="str">
        <f t="shared" si="2"/>
        <v/>
      </c>
      <c r="I61" s="1" t="str">
        <f t="shared" si="3"/>
        <v/>
      </c>
      <c r="J61" s="1" t="str">
        <f t="shared" si="4"/>
        <v/>
      </c>
      <c r="K61" s="1" t="str">
        <f t="shared" si="5"/>
        <v/>
      </c>
      <c r="L61" s="1" t="str">
        <f t="shared" si="6"/>
        <v/>
      </c>
    </row>
    <row r="62" spans="1:12">
      <c r="A62" t="s">
        <v>32</v>
      </c>
      <c r="B62">
        <v>18</v>
      </c>
      <c r="C62" t="str">
        <f t="shared" si="0"/>
        <v>test.Base64_18_</v>
      </c>
      <c r="D62">
        <v>10</v>
      </c>
      <c r="E62">
        <v>0.10161637931034483</v>
      </c>
      <c r="F62">
        <v>0.12766170212765957</v>
      </c>
      <c r="G62" s="1">
        <f t="shared" si="1"/>
        <v>0.10161637931034483</v>
      </c>
      <c r="H62" s="1" t="str">
        <f t="shared" si="2"/>
        <v/>
      </c>
      <c r="I62" s="1" t="str">
        <f t="shared" si="3"/>
        <v/>
      </c>
      <c r="J62" s="1" t="str">
        <f t="shared" si="4"/>
        <v/>
      </c>
      <c r="K62" s="1" t="str">
        <f t="shared" si="5"/>
        <v/>
      </c>
      <c r="L62" s="1" t="str">
        <f t="shared" si="6"/>
        <v/>
      </c>
    </row>
    <row r="63" spans="1:12">
      <c r="A63" t="s">
        <v>32</v>
      </c>
      <c r="B63">
        <v>18</v>
      </c>
      <c r="C63" t="str">
        <f t="shared" si="0"/>
        <v>test.Base64_18_</v>
      </c>
      <c r="D63">
        <v>11</v>
      </c>
      <c r="E63">
        <v>0.10161637931034483</v>
      </c>
      <c r="F63">
        <v>0.12766383617021276</v>
      </c>
      <c r="G63" s="1">
        <f t="shared" si="1"/>
        <v>0.10161637931034483</v>
      </c>
      <c r="H63" s="1" t="str">
        <f t="shared" si="2"/>
        <v/>
      </c>
      <c r="I63" s="1" t="str">
        <f t="shared" si="3"/>
        <v/>
      </c>
      <c r="J63" s="1" t="str">
        <f t="shared" si="4"/>
        <v/>
      </c>
      <c r="K63" s="1" t="str">
        <f t="shared" si="5"/>
        <v/>
      </c>
      <c r="L63" s="1" t="str">
        <f t="shared" si="6"/>
        <v/>
      </c>
    </row>
    <row r="64" spans="1:12">
      <c r="A64" t="s">
        <v>32</v>
      </c>
      <c r="B64">
        <v>18</v>
      </c>
      <c r="C64" t="str">
        <f t="shared" si="0"/>
        <v>test.Base64_18_</v>
      </c>
      <c r="D64">
        <v>12</v>
      </c>
      <c r="E64">
        <v>0.1021551724137931</v>
      </c>
      <c r="F64">
        <v>0.12766596595744681</v>
      </c>
      <c r="G64" s="1">
        <f t="shared" si="1"/>
        <v>0.1021551724137931</v>
      </c>
      <c r="H64" s="1" t="str">
        <f t="shared" si="2"/>
        <v/>
      </c>
      <c r="I64" s="1" t="str">
        <f t="shared" si="3"/>
        <v/>
      </c>
      <c r="J64" s="1" t="str">
        <f t="shared" si="4"/>
        <v/>
      </c>
      <c r="K64" s="1" t="str">
        <f t="shared" si="5"/>
        <v/>
      </c>
      <c r="L64" s="1" t="str">
        <f t="shared" si="6"/>
        <v/>
      </c>
    </row>
    <row r="65" spans="1:12">
      <c r="A65" t="s">
        <v>32</v>
      </c>
      <c r="B65">
        <v>18</v>
      </c>
      <c r="C65" t="str">
        <f t="shared" si="0"/>
        <v>test.Base64_18_</v>
      </c>
      <c r="D65">
        <v>13</v>
      </c>
      <c r="E65">
        <v>0.1021551724137931</v>
      </c>
      <c r="F65">
        <v>0.12766809574468085</v>
      </c>
      <c r="G65" s="1">
        <f t="shared" si="1"/>
        <v>0.1021551724137931</v>
      </c>
      <c r="H65" s="1" t="str">
        <f t="shared" si="2"/>
        <v/>
      </c>
      <c r="I65" s="1" t="str">
        <f t="shared" si="3"/>
        <v/>
      </c>
      <c r="J65" s="1" t="str">
        <f t="shared" si="4"/>
        <v/>
      </c>
      <c r="K65" s="1" t="str">
        <f t="shared" si="5"/>
        <v/>
      </c>
      <c r="L65" s="1" t="str">
        <f t="shared" si="6"/>
        <v/>
      </c>
    </row>
    <row r="66" spans="1:12">
      <c r="A66" t="s">
        <v>32</v>
      </c>
      <c r="B66">
        <v>18</v>
      </c>
      <c r="C66" t="str">
        <f t="shared" si="0"/>
        <v>test.Base64_18_</v>
      </c>
      <c r="D66">
        <v>14</v>
      </c>
      <c r="E66">
        <v>0.1021551724137931</v>
      </c>
      <c r="F66">
        <v>0.12767022765957448</v>
      </c>
      <c r="G66" s="1">
        <f t="shared" si="1"/>
        <v>0.1021551724137931</v>
      </c>
      <c r="H66" s="1" t="str">
        <f t="shared" si="2"/>
        <v/>
      </c>
      <c r="I66" s="1" t="str">
        <f t="shared" si="3"/>
        <v/>
      </c>
      <c r="J66" s="1" t="str">
        <f t="shared" si="4"/>
        <v/>
      </c>
      <c r="K66" s="1" t="str">
        <f t="shared" si="5"/>
        <v/>
      </c>
      <c r="L66" s="1" t="str">
        <f t="shared" si="6"/>
        <v/>
      </c>
    </row>
    <row r="67" spans="1:12">
      <c r="A67" t="s">
        <v>32</v>
      </c>
      <c r="B67">
        <v>18</v>
      </c>
      <c r="C67" t="str">
        <f t="shared" ref="C67:C130" si="20">CONCATENATE(A67, "_",B67,"_")</f>
        <v>test.Base64_18_</v>
      </c>
      <c r="D67">
        <v>15</v>
      </c>
      <c r="E67">
        <v>0.1021551724137931</v>
      </c>
      <c r="F67">
        <v>0.14893617021276595</v>
      </c>
      <c r="G67" s="1">
        <f t="shared" ref="G67:G130" si="21">IF($F67 &lt;= 0.2,$E67,"")</f>
        <v>0.1021551724137931</v>
      </c>
      <c r="H67" s="1" t="str">
        <f t="shared" ref="H67:H130" si="22">IF(AND($F67 &gt; 0.2,$F67 &lt;= 0.4),$E67,"")</f>
        <v/>
      </c>
      <c r="I67" s="1" t="str">
        <f t="shared" ref="I67:I130" si="23">IF(AND($F67 &gt; 0.4,$F67 &lt;= 0.6),$E67,"")</f>
        <v/>
      </c>
      <c r="J67" s="1" t="str">
        <f t="shared" ref="J67:J130" si="24">IF(AND($F67 &gt; 0.6,$F67 &lt;= 0.8),$E67,"")</f>
        <v/>
      </c>
      <c r="K67" s="1" t="str">
        <f t="shared" ref="K67:K130" si="25">IF(AND($F67 &gt; 0.8, $F67 &lt;=1.1),$E67,"")</f>
        <v/>
      </c>
      <c r="L67" s="1" t="str">
        <f t="shared" ref="L67:L130" si="26">IF(AND($F67 &gt; 1.1),$E67,"")</f>
        <v/>
      </c>
    </row>
    <row r="68" spans="1:12">
      <c r="A68" t="s">
        <v>32</v>
      </c>
      <c r="B68">
        <v>18</v>
      </c>
      <c r="C68" t="str">
        <f t="shared" si="20"/>
        <v>test.Base64_18_</v>
      </c>
      <c r="D68">
        <v>16</v>
      </c>
      <c r="E68">
        <v>0.12586206896551724</v>
      </c>
      <c r="F68">
        <v>0.14893829787234042</v>
      </c>
      <c r="G68" s="1">
        <f t="shared" si="21"/>
        <v>0.12586206896551724</v>
      </c>
      <c r="H68" s="1" t="str">
        <f t="shared" si="22"/>
        <v/>
      </c>
      <c r="I68" s="1" t="str">
        <f t="shared" si="23"/>
        <v/>
      </c>
      <c r="J68" s="1" t="str">
        <f t="shared" si="24"/>
        <v/>
      </c>
      <c r="K68" s="1" t="str">
        <f t="shared" si="25"/>
        <v/>
      </c>
      <c r="L68" s="1" t="str">
        <f t="shared" si="26"/>
        <v/>
      </c>
    </row>
    <row r="69" spans="1:12">
      <c r="A69" t="s">
        <v>32</v>
      </c>
      <c r="B69">
        <v>18</v>
      </c>
      <c r="C69" t="str">
        <f t="shared" si="20"/>
        <v>test.Base64_18_</v>
      </c>
      <c r="D69">
        <v>17</v>
      </c>
      <c r="E69">
        <v>0.12586206896551724</v>
      </c>
      <c r="F69">
        <v>0.14894043191489362</v>
      </c>
      <c r="G69" s="1">
        <f t="shared" si="21"/>
        <v>0.12586206896551724</v>
      </c>
      <c r="H69" s="1" t="str">
        <f t="shared" si="22"/>
        <v/>
      </c>
      <c r="I69" s="1" t="str">
        <f t="shared" si="23"/>
        <v/>
      </c>
      <c r="J69" s="1" t="str">
        <f t="shared" si="24"/>
        <v/>
      </c>
      <c r="K69" s="1" t="str">
        <f t="shared" si="25"/>
        <v/>
      </c>
      <c r="L69" s="1" t="str">
        <f t="shared" si="26"/>
        <v/>
      </c>
    </row>
    <row r="70" spans="1:12">
      <c r="A70" t="s">
        <v>32</v>
      </c>
      <c r="B70">
        <v>18</v>
      </c>
      <c r="C70" t="str">
        <f t="shared" si="20"/>
        <v>test.Base64_18_</v>
      </c>
      <c r="D70">
        <v>18</v>
      </c>
      <c r="E70">
        <v>0.12661637931034483</v>
      </c>
      <c r="F70">
        <v>0.14894256170212766</v>
      </c>
      <c r="G70" s="1">
        <f t="shared" si="21"/>
        <v>0.12661637931034483</v>
      </c>
      <c r="H70" s="1" t="str">
        <f t="shared" si="22"/>
        <v/>
      </c>
      <c r="I70" s="1" t="str">
        <f t="shared" si="23"/>
        <v/>
      </c>
      <c r="J70" s="1" t="str">
        <f t="shared" si="24"/>
        <v/>
      </c>
      <c r="K70" s="1" t="str">
        <f t="shared" si="25"/>
        <v/>
      </c>
      <c r="L70" s="1" t="str">
        <f t="shared" si="26"/>
        <v/>
      </c>
    </row>
    <row r="71" spans="1:12">
      <c r="A71" t="s">
        <v>32</v>
      </c>
      <c r="B71">
        <v>18</v>
      </c>
      <c r="C71" t="str">
        <f t="shared" si="20"/>
        <v>test.Base64_18_</v>
      </c>
      <c r="D71">
        <v>19</v>
      </c>
      <c r="E71">
        <v>0.12661637931034483</v>
      </c>
      <c r="F71">
        <v>0.14894469148936168</v>
      </c>
      <c r="G71" s="1">
        <f t="shared" si="21"/>
        <v>0.12661637931034483</v>
      </c>
      <c r="H71" s="1" t="str">
        <f t="shared" si="22"/>
        <v/>
      </c>
      <c r="I71" s="1" t="str">
        <f t="shared" si="23"/>
        <v/>
      </c>
      <c r="J71" s="1" t="str">
        <f t="shared" si="24"/>
        <v/>
      </c>
      <c r="K71" s="1" t="str">
        <f t="shared" si="25"/>
        <v/>
      </c>
      <c r="L71" s="1" t="str">
        <f t="shared" si="26"/>
        <v/>
      </c>
    </row>
    <row r="72" spans="1:12">
      <c r="A72" t="s">
        <v>32</v>
      </c>
      <c r="B72">
        <v>18</v>
      </c>
      <c r="C72" t="str">
        <f t="shared" si="20"/>
        <v>test.Base64_18_</v>
      </c>
      <c r="D72">
        <v>20</v>
      </c>
      <c r="E72">
        <v>0.74967672413793107</v>
      </c>
      <c r="F72">
        <v>0.82978723404255317</v>
      </c>
      <c r="G72" s="1" t="str">
        <f t="shared" si="21"/>
        <v/>
      </c>
      <c r="H72" s="1" t="str">
        <f t="shared" si="22"/>
        <v/>
      </c>
      <c r="I72" s="1" t="str">
        <f t="shared" si="23"/>
        <v/>
      </c>
      <c r="J72" s="1" t="str">
        <f t="shared" si="24"/>
        <v/>
      </c>
      <c r="K72" s="1">
        <f t="shared" si="25"/>
        <v>0.74967672413793107</v>
      </c>
      <c r="L72" s="1" t="str">
        <f t="shared" si="26"/>
        <v/>
      </c>
    </row>
    <row r="73" spans="1:12">
      <c r="A73" t="s">
        <v>32</v>
      </c>
      <c r="B73">
        <v>18</v>
      </c>
      <c r="C73" t="str">
        <f t="shared" si="20"/>
        <v>test.Base64_18_</v>
      </c>
      <c r="D73">
        <v>21</v>
      </c>
      <c r="E73">
        <v>0.9256465517241379</v>
      </c>
      <c r="F73">
        <v>0.85106382978723405</v>
      </c>
      <c r="G73" s="1" t="str">
        <f t="shared" si="21"/>
        <v/>
      </c>
      <c r="H73" s="1" t="str">
        <f t="shared" si="22"/>
        <v/>
      </c>
      <c r="I73" s="1" t="str">
        <f t="shared" si="23"/>
        <v/>
      </c>
      <c r="J73" s="1" t="str">
        <f t="shared" si="24"/>
        <v/>
      </c>
      <c r="K73" s="1">
        <f t="shared" si="25"/>
        <v>0.9256465517241379</v>
      </c>
      <c r="L73" s="1" t="str">
        <f t="shared" si="26"/>
        <v/>
      </c>
    </row>
    <row r="74" spans="1:12">
      <c r="A74" t="s">
        <v>32</v>
      </c>
      <c r="B74">
        <v>18</v>
      </c>
      <c r="C74" t="str">
        <f t="shared" si="20"/>
        <v>test.Base64_18_</v>
      </c>
      <c r="D74">
        <v>22</v>
      </c>
      <c r="E74">
        <v>0.92737068965517244</v>
      </c>
      <c r="F74">
        <v>0.87234042553191493</v>
      </c>
      <c r="G74" s="1" t="str">
        <f t="shared" si="21"/>
        <v/>
      </c>
      <c r="H74" s="1" t="str">
        <f t="shared" si="22"/>
        <v/>
      </c>
      <c r="I74" s="1" t="str">
        <f t="shared" si="23"/>
        <v/>
      </c>
      <c r="J74" s="1" t="str">
        <f t="shared" si="24"/>
        <v/>
      </c>
      <c r="K74" s="1">
        <f t="shared" si="25"/>
        <v>0.92737068965517244</v>
      </c>
      <c r="L74" s="1" t="str">
        <f t="shared" si="26"/>
        <v/>
      </c>
    </row>
    <row r="75" spans="1:12">
      <c r="A75" t="s">
        <v>32</v>
      </c>
      <c r="B75">
        <v>18</v>
      </c>
      <c r="C75" t="str">
        <f t="shared" si="20"/>
        <v>test.Base64_18_</v>
      </c>
      <c r="D75">
        <v>23</v>
      </c>
      <c r="E75">
        <v>0.99741379310344824</v>
      </c>
      <c r="F75">
        <v>0.8936170212765957</v>
      </c>
      <c r="G75" s="1" t="str">
        <f t="shared" si="21"/>
        <v/>
      </c>
      <c r="H75" s="1" t="str">
        <f t="shared" si="22"/>
        <v/>
      </c>
      <c r="I75" s="1" t="str">
        <f t="shared" si="23"/>
        <v/>
      </c>
      <c r="J75" s="1" t="str">
        <f t="shared" si="24"/>
        <v/>
      </c>
      <c r="K75" s="1">
        <f t="shared" si="25"/>
        <v>0.99741379310344824</v>
      </c>
      <c r="L75" s="1" t="str">
        <f t="shared" si="26"/>
        <v/>
      </c>
    </row>
    <row r="76" spans="1:12">
      <c r="A76" t="s">
        <v>32</v>
      </c>
      <c r="B76">
        <v>18</v>
      </c>
      <c r="C76" t="str">
        <f t="shared" si="20"/>
        <v>test.Base64_18_</v>
      </c>
      <c r="D76">
        <v>24</v>
      </c>
      <c r="E76">
        <v>0.99913793103448278</v>
      </c>
      <c r="F76">
        <v>0.91489361702127658</v>
      </c>
      <c r="G76" s="1" t="str">
        <f t="shared" si="21"/>
        <v/>
      </c>
      <c r="H76" s="1" t="str">
        <f t="shared" si="22"/>
        <v/>
      </c>
      <c r="I76" s="1" t="str">
        <f t="shared" si="23"/>
        <v/>
      </c>
      <c r="J76" s="1" t="str">
        <f t="shared" si="24"/>
        <v/>
      </c>
      <c r="K76" s="1">
        <f t="shared" si="25"/>
        <v>0.99913793103448278</v>
      </c>
      <c r="L76" s="1" t="str">
        <f t="shared" si="26"/>
        <v/>
      </c>
    </row>
    <row r="77" spans="1:12">
      <c r="A77" t="s">
        <v>32</v>
      </c>
      <c r="B77">
        <v>18</v>
      </c>
      <c r="C77" t="str">
        <f t="shared" si="20"/>
        <v>test.Base64_18_</v>
      </c>
      <c r="D77">
        <v>25</v>
      </c>
      <c r="E77">
        <v>1</v>
      </c>
      <c r="F77">
        <v>0.91489574468085111</v>
      </c>
      <c r="G77" s="1" t="str">
        <f t="shared" si="21"/>
        <v/>
      </c>
      <c r="H77" s="1" t="str">
        <f t="shared" si="22"/>
        <v/>
      </c>
      <c r="I77" s="1" t="str">
        <f t="shared" si="23"/>
        <v/>
      </c>
      <c r="J77" s="1" t="str">
        <f t="shared" si="24"/>
        <v/>
      </c>
      <c r="K77" s="1">
        <f t="shared" si="25"/>
        <v>1</v>
      </c>
      <c r="L77" s="1" t="str">
        <f t="shared" si="26"/>
        <v/>
      </c>
    </row>
    <row r="78" spans="1:12">
      <c r="A78" t="s">
        <v>32</v>
      </c>
      <c r="B78">
        <v>18</v>
      </c>
      <c r="C78" t="str">
        <f t="shared" si="20"/>
        <v>test.Base64_18_</v>
      </c>
      <c r="D78">
        <v>26</v>
      </c>
      <c r="E78">
        <v>1</v>
      </c>
      <c r="F78">
        <v>1.0425531914893618</v>
      </c>
      <c r="G78" s="1" t="str">
        <f t="shared" si="21"/>
        <v/>
      </c>
      <c r="H78" s="1" t="str">
        <f t="shared" si="22"/>
        <v/>
      </c>
      <c r="I78" s="1" t="str">
        <f t="shared" si="23"/>
        <v/>
      </c>
      <c r="J78" s="1" t="str">
        <f t="shared" si="24"/>
        <v/>
      </c>
      <c r="K78" s="1">
        <f t="shared" si="25"/>
        <v>1</v>
      </c>
      <c r="L78" s="1" t="str">
        <f t="shared" si="26"/>
        <v/>
      </c>
    </row>
    <row r="79" spans="1:12">
      <c r="A79" t="s">
        <v>32</v>
      </c>
      <c r="B79">
        <v>19</v>
      </c>
      <c r="C79" t="str">
        <f t="shared" si="20"/>
        <v>test.Base64_19_</v>
      </c>
      <c r="D79">
        <v>27</v>
      </c>
      <c r="E79">
        <v>2.6135249918327343E-3</v>
      </c>
      <c r="F79">
        <v>4.1666666666666664E-2</v>
      </c>
      <c r="G79" s="1">
        <f t="shared" si="21"/>
        <v>2.6135249918327343E-3</v>
      </c>
      <c r="H79" s="1" t="str">
        <f t="shared" si="22"/>
        <v/>
      </c>
      <c r="I79" s="1" t="str">
        <f t="shared" si="23"/>
        <v/>
      </c>
      <c r="J79" s="1" t="str">
        <f t="shared" si="24"/>
        <v/>
      </c>
      <c r="K79" s="1" t="str">
        <f t="shared" si="25"/>
        <v/>
      </c>
      <c r="L79" s="1" t="str">
        <f t="shared" si="26"/>
        <v/>
      </c>
    </row>
    <row r="80" spans="1:12">
      <c r="A80" t="s">
        <v>32</v>
      </c>
      <c r="B80">
        <v>19</v>
      </c>
      <c r="C80" t="str">
        <f t="shared" si="20"/>
        <v>test.Base64_19_</v>
      </c>
      <c r="D80">
        <v>28</v>
      </c>
      <c r="E80">
        <v>4.138081237068496E-3</v>
      </c>
      <c r="F80">
        <v>4.1668750000000004E-2</v>
      </c>
      <c r="G80" s="1">
        <f t="shared" si="21"/>
        <v>4.138081237068496E-3</v>
      </c>
      <c r="H80" s="1" t="str">
        <f t="shared" si="22"/>
        <v/>
      </c>
      <c r="I80" s="1" t="str">
        <f t="shared" si="23"/>
        <v/>
      </c>
      <c r="J80" s="1" t="str">
        <f t="shared" si="24"/>
        <v/>
      </c>
      <c r="K80" s="1" t="str">
        <f t="shared" si="25"/>
        <v/>
      </c>
      <c r="L80" s="1" t="str">
        <f t="shared" si="26"/>
        <v/>
      </c>
    </row>
    <row r="81" spans="1:12">
      <c r="A81" t="s">
        <v>32</v>
      </c>
      <c r="B81">
        <v>19</v>
      </c>
      <c r="C81" t="str">
        <f t="shared" si="20"/>
        <v>test.Base64_19_</v>
      </c>
      <c r="D81">
        <v>29</v>
      </c>
      <c r="E81">
        <v>0.34738103016443428</v>
      </c>
      <c r="F81">
        <v>0.22916666666666666</v>
      </c>
      <c r="G81" s="1" t="str">
        <f t="shared" si="21"/>
        <v/>
      </c>
      <c r="H81" s="1">
        <f t="shared" si="22"/>
        <v>0.34738103016443428</v>
      </c>
      <c r="I81" s="1" t="str">
        <f t="shared" si="23"/>
        <v/>
      </c>
      <c r="J81" s="1" t="str">
        <f t="shared" si="24"/>
        <v/>
      </c>
      <c r="K81" s="1" t="str">
        <f t="shared" si="25"/>
        <v/>
      </c>
      <c r="L81" s="1" t="str">
        <f t="shared" si="26"/>
        <v/>
      </c>
    </row>
    <row r="82" spans="1:12">
      <c r="A82" t="s">
        <v>32</v>
      </c>
      <c r="B82">
        <v>19</v>
      </c>
      <c r="C82" t="str">
        <f t="shared" si="20"/>
        <v>test.Base64_19_</v>
      </c>
      <c r="D82">
        <v>30</v>
      </c>
      <c r="E82">
        <v>0.38026788631166286</v>
      </c>
      <c r="F82">
        <v>0.29166666666666669</v>
      </c>
      <c r="G82" s="1" t="str">
        <f t="shared" si="21"/>
        <v/>
      </c>
      <c r="H82" s="1">
        <f t="shared" si="22"/>
        <v>0.38026788631166286</v>
      </c>
      <c r="I82" s="1" t="str">
        <f t="shared" si="23"/>
        <v/>
      </c>
      <c r="J82" s="1" t="str">
        <f t="shared" si="24"/>
        <v/>
      </c>
      <c r="K82" s="1" t="str">
        <f t="shared" si="25"/>
        <v/>
      </c>
      <c r="L82" s="1" t="str">
        <f t="shared" si="26"/>
        <v/>
      </c>
    </row>
    <row r="83" spans="1:12">
      <c r="A83" t="s">
        <v>32</v>
      </c>
      <c r="B83">
        <v>19</v>
      </c>
      <c r="C83" t="str">
        <f t="shared" si="20"/>
        <v>test.Base64_19_</v>
      </c>
      <c r="D83">
        <v>31</v>
      </c>
      <c r="E83">
        <v>0.52030926712403358</v>
      </c>
      <c r="F83">
        <v>0.29166874999999998</v>
      </c>
      <c r="G83" s="1" t="str">
        <f t="shared" si="21"/>
        <v/>
      </c>
      <c r="H83" s="1">
        <f t="shared" si="22"/>
        <v>0.52030926712403358</v>
      </c>
      <c r="I83" s="1" t="str">
        <f t="shared" si="23"/>
        <v/>
      </c>
      <c r="J83" s="1" t="str">
        <f t="shared" si="24"/>
        <v/>
      </c>
      <c r="K83" s="1" t="str">
        <f t="shared" si="25"/>
        <v/>
      </c>
      <c r="L83" s="1" t="str">
        <f t="shared" si="26"/>
        <v/>
      </c>
    </row>
    <row r="84" spans="1:12">
      <c r="A84" t="s">
        <v>32</v>
      </c>
      <c r="B84">
        <v>19</v>
      </c>
      <c r="C84" t="str">
        <f t="shared" si="20"/>
        <v>test.Base64_19_</v>
      </c>
      <c r="D84">
        <v>32</v>
      </c>
      <c r="E84">
        <v>0.53642600457366874</v>
      </c>
      <c r="F84">
        <v>0.29167083333333332</v>
      </c>
      <c r="G84" s="1" t="str">
        <f t="shared" si="21"/>
        <v/>
      </c>
      <c r="H84" s="1">
        <f t="shared" si="22"/>
        <v>0.53642600457366874</v>
      </c>
      <c r="I84" s="1" t="str">
        <f t="shared" si="23"/>
        <v/>
      </c>
      <c r="J84" s="1" t="str">
        <f t="shared" si="24"/>
        <v/>
      </c>
      <c r="K84" s="1" t="str">
        <f t="shared" si="25"/>
        <v/>
      </c>
      <c r="L84" s="1" t="str">
        <f t="shared" si="26"/>
        <v/>
      </c>
    </row>
    <row r="85" spans="1:12">
      <c r="A85" t="s">
        <v>32</v>
      </c>
      <c r="B85">
        <v>19</v>
      </c>
      <c r="C85" t="str">
        <f t="shared" si="20"/>
        <v>test.Base64_19_</v>
      </c>
      <c r="D85">
        <v>33</v>
      </c>
      <c r="E85">
        <v>0.53642600457366874</v>
      </c>
      <c r="F85">
        <v>0.3125</v>
      </c>
      <c r="G85" s="1" t="str">
        <f t="shared" si="21"/>
        <v/>
      </c>
      <c r="H85" s="1">
        <f t="shared" si="22"/>
        <v>0.53642600457366874</v>
      </c>
      <c r="I85" s="1" t="str">
        <f t="shared" si="23"/>
        <v/>
      </c>
      <c r="J85" s="1" t="str">
        <f t="shared" si="24"/>
        <v/>
      </c>
      <c r="K85" s="1" t="str">
        <f t="shared" si="25"/>
        <v/>
      </c>
      <c r="L85" s="1" t="str">
        <f t="shared" si="26"/>
        <v/>
      </c>
    </row>
    <row r="86" spans="1:12">
      <c r="A86" t="s">
        <v>32</v>
      </c>
      <c r="B86">
        <v>19</v>
      </c>
      <c r="C86" t="str">
        <f t="shared" si="20"/>
        <v>test.Base64_19_</v>
      </c>
      <c r="D86">
        <v>34</v>
      </c>
      <c r="E86">
        <v>0.62539475117064136</v>
      </c>
      <c r="F86">
        <v>0.31250208333333335</v>
      </c>
      <c r="G86" s="1" t="str">
        <f t="shared" si="21"/>
        <v/>
      </c>
      <c r="H86" s="1">
        <f t="shared" si="22"/>
        <v>0.62539475117064136</v>
      </c>
      <c r="I86" s="1" t="str">
        <f t="shared" si="23"/>
        <v/>
      </c>
      <c r="J86" s="1" t="str">
        <f t="shared" si="24"/>
        <v/>
      </c>
      <c r="K86" s="1" t="str">
        <f t="shared" si="25"/>
        <v/>
      </c>
      <c r="L86" s="1" t="str">
        <f t="shared" si="26"/>
        <v/>
      </c>
    </row>
    <row r="87" spans="1:12">
      <c r="A87" t="s">
        <v>32</v>
      </c>
      <c r="B87">
        <v>19</v>
      </c>
      <c r="C87" t="str">
        <f t="shared" si="20"/>
        <v>test.Base64_19_</v>
      </c>
      <c r="D87">
        <v>35</v>
      </c>
      <c r="E87">
        <v>0.62539475117064136</v>
      </c>
      <c r="F87">
        <v>0.31250416666666664</v>
      </c>
      <c r="G87" s="1" t="str">
        <f t="shared" si="21"/>
        <v/>
      </c>
      <c r="H87" s="1">
        <f t="shared" si="22"/>
        <v>0.62539475117064136</v>
      </c>
      <c r="I87" s="1" t="str">
        <f t="shared" si="23"/>
        <v/>
      </c>
      <c r="J87" s="1" t="str">
        <f t="shared" si="24"/>
        <v/>
      </c>
      <c r="K87" s="1" t="str">
        <f t="shared" si="25"/>
        <v/>
      </c>
      <c r="L87" s="1" t="str">
        <f t="shared" si="26"/>
        <v/>
      </c>
    </row>
    <row r="88" spans="1:12">
      <c r="A88" t="s">
        <v>32</v>
      </c>
      <c r="B88">
        <v>19</v>
      </c>
      <c r="C88" t="str">
        <f t="shared" si="20"/>
        <v>test.Base64_19_</v>
      </c>
      <c r="D88">
        <v>36</v>
      </c>
      <c r="E88">
        <v>0.68213002286834368</v>
      </c>
      <c r="F88">
        <v>0.33333333333333331</v>
      </c>
      <c r="G88" s="1" t="str">
        <f t="shared" si="21"/>
        <v/>
      </c>
      <c r="H88" s="1">
        <f t="shared" si="22"/>
        <v>0.68213002286834368</v>
      </c>
      <c r="I88" s="1" t="str">
        <f t="shared" si="23"/>
        <v/>
      </c>
      <c r="J88" s="1" t="str">
        <f t="shared" si="24"/>
        <v/>
      </c>
      <c r="K88" s="1" t="str">
        <f t="shared" si="25"/>
        <v/>
      </c>
      <c r="L88" s="1" t="str">
        <f t="shared" si="26"/>
        <v/>
      </c>
    </row>
    <row r="89" spans="1:12">
      <c r="A89" t="s">
        <v>32</v>
      </c>
      <c r="B89">
        <v>19</v>
      </c>
      <c r="C89" t="str">
        <f t="shared" si="20"/>
        <v>test.Base64_19_</v>
      </c>
      <c r="D89">
        <v>37</v>
      </c>
      <c r="E89">
        <v>0.68289230099096154</v>
      </c>
      <c r="F89">
        <v>0.33333541666666666</v>
      </c>
      <c r="G89" s="1" t="str">
        <f t="shared" si="21"/>
        <v/>
      </c>
      <c r="H89" s="1">
        <f t="shared" si="22"/>
        <v>0.68289230099096154</v>
      </c>
      <c r="I89" s="1" t="str">
        <f t="shared" si="23"/>
        <v/>
      </c>
      <c r="J89" s="1" t="str">
        <f t="shared" si="24"/>
        <v/>
      </c>
      <c r="K89" s="1" t="str">
        <f t="shared" si="25"/>
        <v/>
      </c>
      <c r="L89" s="1" t="str">
        <f t="shared" si="26"/>
        <v/>
      </c>
    </row>
    <row r="90" spans="1:12">
      <c r="A90" t="s">
        <v>32</v>
      </c>
      <c r="B90">
        <v>19</v>
      </c>
      <c r="C90" t="str">
        <f t="shared" si="20"/>
        <v>test.Base64_19_</v>
      </c>
      <c r="D90">
        <v>38</v>
      </c>
      <c r="E90">
        <v>0.68365457911357941</v>
      </c>
      <c r="F90">
        <v>0.33333745833333334</v>
      </c>
      <c r="G90" s="1" t="str">
        <f t="shared" si="21"/>
        <v/>
      </c>
      <c r="H90" s="1">
        <f t="shared" si="22"/>
        <v>0.68365457911357941</v>
      </c>
      <c r="I90" s="1" t="str">
        <f t="shared" si="23"/>
        <v/>
      </c>
      <c r="J90" s="1" t="str">
        <f t="shared" si="24"/>
        <v/>
      </c>
      <c r="K90" s="1" t="str">
        <f t="shared" si="25"/>
        <v/>
      </c>
      <c r="L90" s="1" t="str">
        <f t="shared" si="26"/>
        <v/>
      </c>
    </row>
    <row r="91" spans="1:12">
      <c r="A91" t="s">
        <v>32</v>
      </c>
      <c r="B91">
        <v>19</v>
      </c>
      <c r="C91" t="str">
        <f t="shared" si="20"/>
        <v>test.Base64_19_</v>
      </c>
      <c r="D91">
        <v>39</v>
      </c>
      <c r="E91">
        <v>0.68365457911357941</v>
      </c>
      <c r="F91">
        <v>0.33333954166666668</v>
      </c>
      <c r="G91" s="1" t="str">
        <f t="shared" si="21"/>
        <v/>
      </c>
      <c r="H91" s="1">
        <f t="shared" si="22"/>
        <v>0.68365457911357941</v>
      </c>
      <c r="I91" s="1" t="str">
        <f t="shared" si="23"/>
        <v/>
      </c>
      <c r="J91" s="1" t="str">
        <f t="shared" si="24"/>
        <v/>
      </c>
      <c r="K91" s="1" t="str">
        <f t="shared" si="25"/>
        <v/>
      </c>
      <c r="L91" s="1" t="str">
        <f t="shared" si="26"/>
        <v/>
      </c>
    </row>
    <row r="92" spans="1:12">
      <c r="A92" t="s">
        <v>32</v>
      </c>
      <c r="B92">
        <v>19</v>
      </c>
      <c r="C92" t="str">
        <f t="shared" si="20"/>
        <v>test.Base64_19_</v>
      </c>
      <c r="D92">
        <v>40</v>
      </c>
      <c r="E92">
        <v>0.68441685723619727</v>
      </c>
      <c r="F92">
        <v>0.33334160416666664</v>
      </c>
      <c r="G92" s="1" t="str">
        <f t="shared" si="21"/>
        <v/>
      </c>
      <c r="H92" s="1">
        <f t="shared" si="22"/>
        <v>0.68441685723619727</v>
      </c>
      <c r="I92" s="1" t="str">
        <f t="shared" si="23"/>
        <v/>
      </c>
      <c r="J92" s="1" t="str">
        <f t="shared" si="24"/>
        <v/>
      </c>
      <c r="K92" s="1" t="str">
        <f t="shared" si="25"/>
        <v/>
      </c>
      <c r="L92" s="1" t="str">
        <f t="shared" si="26"/>
        <v/>
      </c>
    </row>
    <row r="93" spans="1:12">
      <c r="A93" t="s">
        <v>32</v>
      </c>
      <c r="B93">
        <v>19</v>
      </c>
      <c r="C93" t="str">
        <f t="shared" si="20"/>
        <v>test.Base64_19_</v>
      </c>
      <c r="D93">
        <v>41</v>
      </c>
      <c r="E93">
        <v>0.68441685723619727</v>
      </c>
      <c r="F93">
        <v>0.33334366666666665</v>
      </c>
      <c r="G93" s="1" t="str">
        <f t="shared" si="21"/>
        <v/>
      </c>
      <c r="H93" s="1">
        <f t="shared" si="22"/>
        <v>0.68441685723619727</v>
      </c>
      <c r="I93" s="1" t="str">
        <f t="shared" si="23"/>
        <v/>
      </c>
      <c r="J93" s="1" t="str">
        <f t="shared" si="24"/>
        <v/>
      </c>
      <c r="K93" s="1" t="str">
        <f t="shared" si="25"/>
        <v/>
      </c>
      <c r="L93" s="1" t="str">
        <f t="shared" si="26"/>
        <v/>
      </c>
    </row>
    <row r="94" spans="1:12">
      <c r="A94" t="s">
        <v>32</v>
      </c>
      <c r="B94">
        <v>19</v>
      </c>
      <c r="C94" t="str">
        <f t="shared" si="20"/>
        <v>test.Base64_19_</v>
      </c>
      <c r="D94">
        <v>42</v>
      </c>
      <c r="E94">
        <v>0.79973864750081669</v>
      </c>
      <c r="F94">
        <v>0.33334572916666666</v>
      </c>
      <c r="G94" s="1" t="str">
        <f t="shared" si="21"/>
        <v/>
      </c>
      <c r="H94" s="1">
        <f t="shared" si="22"/>
        <v>0.79973864750081669</v>
      </c>
      <c r="I94" s="1" t="str">
        <f t="shared" si="23"/>
        <v/>
      </c>
      <c r="J94" s="1" t="str">
        <f t="shared" si="24"/>
        <v/>
      </c>
      <c r="K94" s="1" t="str">
        <f t="shared" si="25"/>
        <v/>
      </c>
      <c r="L94" s="1" t="str">
        <f t="shared" si="26"/>
        <v/>
      </c>
    </row>
    <row r="95" spans="1:12">
      <c r="A95" t="s">
        <v>32</v>
      </c>
      <c r="B95">
        <v>19</v>
      </c>
      <c r="C95" t="str">
        <f t="shared" si="20"/>
        <v>test.Base64_19_</v>
      </c>
      <c r="D95">
        <v>43</v>
      </c>
      <c r="E95">
        <v>0.80115430687139277</v>
      </c>
      <c r="F95">
        <v>0.35416666666666669</v>
      </c>
      <c r="G95" s="1" t="str">
        <f t="shared" si="21"/>
        <v/>
      </c>
      <c r="H95" s="1">
        <f t="shared" si="22"/>
        <v>0.80115430687139277</v>
      </c>
      <c r="I95" s="1" t="str">
        <f t="shared" si="23"/>
        <v/>
      </c>
      <c r="J95" s="1" t="str">
        <f t="shared" si="24"/>
        <v/>
      </c>
      <c r="K95" s="1" t="str">
        <f t="shared" si="25"/>
        <v/>
      </c>
      <c r="L95" s="1" t="str">
        <f t="shared" si="26"/>
        <v/>
      </c>
    </row>
    <row r="96" spans="1:12">
      <c r="A96" t="s">
        <v>32</v>
      </c>
      <c r="B96">
        <v>19</v>
      </c>
      <c r="C96" t="str">
        <f t="shared" si="20"/>
        <v>test.Base64_19_</v>
      </c>
      <c r="D96">
        <v>44</v>
      </c>
      <c r="E96">
        <v>0.80256996624196886</v>
      </c>
      <c r="F96">
        <v>0.35416874999999998</v>
      </c>
      <c r="G96" s="1" t="str">
        <f t="shared" si="21"/>
        <v/>
      </c>
      <c r="H96" s="1">
        <f t="shared" si="22"/>
        <v>0.80256996624196886</v>
      </c>
      <c r="I96" s="1" t="str">
        <f t="shared" si="23"/>
        <v/>
      </c>
      <c r="J96" s="1" t="str">
        <f t="shared" si="24"/>
        <v/>
      </c>
      <c r="K96" s="1" t="str">
        <f t="shared" si="25"/>
        <v/>
      </c>
      <c r="L96" s="1" t="str">
        <f t="shared" si="26"/>
        <v/>
      </c>
    </row>
    <row r="97" spans="1:12">
      <c r="A97" t="s">
        <v>32</v>
      </c>
      <c r="B97">
        <v>19</v>
      </c>
      <c r="C97" t="str">
        <f t="shared" si="20"/>
        <v>test.Base64_19_</v>
      </c>
      <c r="D97">
        <v>45</v>
      </c>
      <c r="E97">
        <v>0.80256996624196886</v>
      </c>
      <c r="F97">
        <v>0.35417079166666671</v>
      </c>
      <c r="G97" s="1" t="str">
        <f t="shared" si="21"/>
        <v/>
      </c>
      <c r="H97" s="1">
        <f t="shared" si="22"/>
        <v>0.80256996624196886</v>
      </c>
      <c r="I97" s="1" t="str">
        <f t="shared" si="23"/>
        <v/>
      </c>
      <c r="J97" s="1" t="str">
        <f t="shared" si="24"/>
        <v/>
      </c>
      <c r="K97" s="1" t="str">
        <f t="shared" si="25"/>
        <v/>
      </c>
      <c r="L97" s="1" t="str">
        <f t="shared" si="26"/>
        <v/>
      </c>
    </row>
    <row r="98" spans="1:12">
      <c r="A98" t="s">
        <v>32</v>
      </c>
      <c r="B98">
        <v>19</v>
      </c>
      <c r="C98" t="str">
        <f t="shared" si="20"/>
        <v>test.Base64_19_</v>
      </c>
      <c r="D98">
        <v>46</v>
      </c>
      <c r="E98">
        <v>0.82663617554176194</v>
      </c>
      <c r="F98">
        <v>0.354172875</v>
      </c>
      <c r="G98" s="1" t="str">
        <f t="shared" si="21"/>
        <v/>
      </c>
      <c r="H98" s="1">
        <f t="shared" si="22"/>
        <v>0.82663617554176194</v>
      </c>
      <c r="I98" s="1" t="str">
        <f t="shared" si="23"/>
        <v/>
      </c>
      <c r="J98" s="1" t="str">
        <f t="shared" si="24"/>
        <v/>
      </c>
      <c r="K98" s="1" t="str">
        <f t="shared" si="25"/>
        <v/>
      </c>
      <c r="L98" s="1" t="str">
        <f t="shared" si="26"/>
        <v/>
      </c>
    </row>
    <row r="99" spans="1:12">
      <c r="A99" t="s">
        <v>32</v>
      </c>
      <c r="B99">
        <v>19</v>
      </c>
      <c r="C99" t="str">
        <f t="shared" si="20"/>
        <v>test.Base64_19_</v>
      </c>
      <c r="D99">
        <v>1</v>
      </c>
      <c r="E99">
        <v>0.82663617554176194</v>
      </c>
      <c r="F99">
        <v>0.375</v>
      </c>
      <c r="G99" s="1" t="str">
        <f t="shared" si="21"/>
        <v/>
      </c>
      <c r="H99" s="1">
        <f t="shared" si="22"/>
        <v>0.82663617554176194</v>
      </c>
      <c r="I99" s="1" t="str">
        <f t="shared" si="23"/>
        <v/>
      </c>
      <c r="J99" s="1" t="str">
        <f t="shared" si="24"/>
        <v/>
      </c>
      <c r="K99" s="1" t="str">
        <f t="shared" si="25"/>
        <v/>
      </c>
      <c r="L99" s="1" t="str">
        <f t="shared" si="26"/>
        <v/>
      </c>
    </row>
    <row r="100" spans="1:12">
      <c r="A100" t="s">
        <v>32</v>
      </c>
      <c r="B100">
        <v>19</v>
      </c>
      <c r="C100" t="str">
        <f t="shared" si="20"/>
        <v>test.Base64_19_</v>
      </c>
      <c r="D100">
        <v>2</v>
      </c>
      <c r="E100">
        <v>0.82663617554176194</v>
      </c>
      <c r="F100">
        <v>0.39583333333333331</v>
      </c>
      <c r="G100" s="1" t="str">
        <f t="shared" si="21"/>
        <v/>
      </c>
      <c r="H100" s="1">
        <f t="shared" si="22"/>
        <v>0.82663617554176194</v>
      </c>
      <c r="I100" s="1" t="str">
        <f t="shared" si="23"/>
        <v/>
      </c>
      <c r="J100" s="1" t="str">
        <f t="shared" si="24"/>
        <v/>
      </c>
      <c r="K100" s="1" t="str">
        <f t="shared" si="25"/>
        <v/>
      </c>
      <c r="L100" s="1" t="str">
        <f t="shared" si="26"/>
        <v/>
      </c>
    </row>
    <row r="101" spans="1:12">
      <c r="A101" t="s">
        <v>32</v>
      </c>
      <c r="B101">
        <v>19</v>
      </c>
      <c r="C101" t="str">
        <f t="shared" si="20"/>
        <v>test.Base64_19_</v>
      </c>
      <c r="D101">
        <v>3</v>
      </c>
      <c r="E101">
        <v>0.82663617554176194</v>
      </c>
      <c r="F101">
        <v>0.39583541666666666</v>
      </c>
      <c r="G101" s="1" t="str">
        <f t="shared" si="21"/>
        <v/>
      </c>
      <c r="H101" s="1">
        <f t="shared" si="22"/>
        <v>0.82663617554176194</v>
      </c>
      <c r="I101" s="1" t="str">
        <f t="shared" si="23"/>
        <v/>
      </c>
      <c r="J101" s="1" t="str">
        <f t="shared" si="24"/>
        <v/>
      </c>
      <c r="K101" s="1" t="str">
        <f t="shared" si="25"/>
        <v/>
      </c>
      <c r="L101" s="1" t="str">
        <f t="shared" si="26"/>
        <v/>
      </c>
    </row>
    <row r="102" spans="1:12">
      <c r="A102" t="s">
        <v>32</v>
      </c>
      <c r="B102">
        <v>19</v>
      </c>
      <c r="C102" t="str">
        <f t="shared" si="20"/>
        <v>test.Base64_19_</v>
      </c>
      <c r="D102">
        <v>4</v>
      </c>
      <c r="E102">
        <v>1</v>
      </c>
      <c r="F102">
        <v>0.41666666666666669</v>
      </c>
      <c r="G102" s="1" t="str">
        <f t="shared" si="21"/>
        <v/>
      </c>
      <c r="H102" s="1" t="str">
        <f t="shared" si="22"/>
        <v/>
      </c>
      <c r="I102" s="1">
        <f t="shared" si="23"/>
        <v>1</v>
      </c>
      <c r="J102" s="1" t="str">
        <f t="shared" si="24"/>
        <v/>
      </c>
      <c r="K102" s="1" t="str">
        <f t="shared" si="25"/>
        <v/>
      </c>
      <c r="L102" s="1" t="str">
        <f t="shared" si="26"/>
        <v/>
      </c>
    </row>
    <row r="103" spans="1:12">
      <c r="A103" t="s">
        <v>32</v>
      </c>
      <c r="B103">
        <v>19</v>
      </c>
      <c r="C103" t="str">
        <f t="shared" si="20"/>
        <v>test.Base64_19_</v>
      </c>
      <c r="D103">
        <v>5</v>
      </c>
      <c r="E103">
        <v>1</v>
      </c>
      <c r="F103">
        <v>0.41666874999999998</v>
      </c>
      <c r="G103" s="1" t="str">
        <f t="shared" si="21"/>
        <v/>
      </c>
      <c r="H103" s="1" t="str">
        <f t="shared" si="22"/>
        <v/>
      </c>
      <c r="I103" s="1">
        <f t="shared" si="23"/>
        <v>1</v>
      </c>
      <c r="J103" s="1" t="str">
        <f t="shared" si="24"/>
        <v/>
      </c>
      <c r="K103" s="1" t="str">
        <f t="shared" si="25"/>
        <v/>
      </c>
      <c r="L103" s="1" t="str">
        <f t="shared" si="26"/>
        <v/>
      </c>
    </row>
    <row r="104" spans="1:12">
      <c r="A104" t="s">
        <v>32</v>
      </c>
      <c r="B104">
        <v>20</v>
      </c>
      <c r="C104" t="str">
        <f t="shared" si="20"/>
        <v>test.Base64_20_</v>
      </c>
      <c r="D104">
        <v>6</v>
      </c>
      <c r="E104">
        <v>0.46602800294767871</v>
      </c>
      <c r="F104">
        <v>0.6</v>
      </c>
      <c r="G104" s="1" t="str">
        <f t="shared" si="21"/>
        <v/>
      </c>
      <c r="H104" s="1" t="str">
        <f t="shared" si="22"/>
        <v/>
      </c>
      <c r="I104" s="1">
        <f t="shared" si="23"/>
        <v>0.46602800294767871</v>
      </c>
      <c r="J104" s="1" t="str">
        <f t="shared" si="24"/>
        <v/>
      </c>
      <c r="K104" s="1" t="str">
        <f t="shared" si="25"/>
        <v/>
      </c>
      <c r="L104" s="1" t="str">
        <f t="shared" si="26"/>
        <v/>
      </c>
    </row>
    <row r="105" spans="1:12">
      <c r="A105" t="s">
        <v>32</v>
      </c>
      <c r="B105">
        <v>20</v>
      </c>
      <c r="C105" t="str">
        <f t="shared" si="20"/>
        <v>test.Base64_20_</v>
      </c>
      <c r="D105">
        <v>7</v>
      </c>
      <c r="E105">
        <v>0.48282977155490053</v>
      </c>
      <c r="F105">
        <v>0.65</v>
      </c>
      <c r="G105" s="1" t="str">
        <f t="shared" si="21"/>
        <v/>
      </c>
      <c r="H105" s="1" t="str">
        <f t="shared" si="22"/>
        <v/>
      </c>
      <c r="I105" s="1" t="str">
        <f t="shared" si="23"/>
        <v/>
      </c>
      <c r="J105" s="1">
        <f t="shared" si="24"/>
        <v>0.48282977155490053</v>
      </c>
      <c r="K105" s="1" t="str">
        <f t="shared" si="25"/>
        <v/>
      </c>
      <c r="L105" s="1" t="str">
        <f t="shared" si="26"/>
        <v/>
      </c>
    </row>
    <row r="106" spans="1:12">
      <c r="A106" t="s">
        <v>32</v>
      </c>
      <c r="B106">
        <v>20</v>
      </c>
      <c r="C106" t="str">
        <f t="shared" si="20"/>
        <v>test.Base64_20_</v>
      </c>
      <c r="D106">
        <v>8</v>
      </c>
      <c r="E106">
        <v>0.57568165070007371</v>
      </c>
      <c r="F106">
        <v>0.65000499999999994</v>
      </c>
      <c r="G106" s="1" t="str">
        <f t="shared" si="21"/>
        <v/>
      </c>
      <c r="H106" s="1" t="str">
        <f t="shared" si="22"/>
        <v/>
      </c>
      <c r="I106" s="1" t="str">
        <f t="shared" si="23"/>
        <v/>
      </c>
      <c r="J106" s="1">
        <f t="shared" si="24"/>
        <v>0.57568165070007371</v>
      </c>
      <c r="K106" s="1" t="str">
        <f t="shared" si="25"/>
        <v/>
      </c>
      <c r="L106" s="1" t="str">
        <f t="shared" si="26"/>
        <v/>
      </c>
    </row>
    <row r="107" spans="1:12">
      <c r="A107" t="s">
        <v>32</v>
      </c>
      <c r="B107">
        <v>20</v>
      </c>
      <c r="C107" t="str">
        <f t="shared" si="20"/>
        <v>test.Base64_20_</v>
      </c>
      <c r="D107">
        <v>9</v>
      </c>
      <c r="E107">
        <v>0.60073691967575538</v>
      </c>
      <c r="F107">
        <v>0.65000999999999998</v>
      </c>
      <c r="G107" s="1" t="str">
        <f t="shared" si="21"/>
        <v/>
      </c>
      <c r="H107" s="1" t="str">
        <f t="shared" si="22"/>
        <v/>
      </c>
      <c r="I107" s="1" t="str">
        <f t="shared" si="23"/>
        <v/>
      </c>
      <c r="J107" s="1">
        <f t="shared" si="24"/>
        <v>0.60073691967575538</v>
      </c>
      <c r="K107" s="1" t="str">
        <f t="shared" si="25"/>
        <v/>
      </c>
      <c r="L107" s="1" t="str">
        <f t="shared" si="26"/>
        <v/>
      </c>
    </row>
    <row r="108" spans="1:12">
      <c r="A108" t="s">
        <v>32</v>
      </c>
      <c r="B108">
        <v>20</v>
      </c>
      <c r="C108" t="str">
        <f t="shared" si="20"/>
        <v>test.Base64_20_</v>
      </c>
      <c r="D108">
        <v>10</v>
      </c>
      <c r="E108">
        <v>0.78275607958732496</v>
      </c>
      <c r="F108">
        <v>0.7</v>
      </c>
      <c r="G108" s="1" t="str">
        <f t="shared" si="21"/>
        <v/>
      </c>
      <c r="H108" s="1" t="str">
        <f t="shared" si="22"/>
        <v/>
      </c>
      <c r="I108" s="1" t="str">
        <f t="shared" si="23"/>
        <v/>
      </c>
      <c r="J108" s="1">
        <f t="shared" si="24"/>
        <v>0.78275607958732496</v>
      </c>
      <c r="K108" s="1" t="str">
        <f t="shared" si="25"/>
        <v/>
      </c>
      <c r="L108" s="1" t="str">
        <f t="shared" si="26"/>
        <v/>
      </c>
    </row>
    <row r="109" spans="1:12">
      <c r="A109" t="s">
        <v>32</v>
      </c>
      <c r="B109">
        <v>20</v>
      </c>
      <c r="C109" t="str">
        <f t="shared" si="20"/>
        <v>test.Base64_20_</v>
      </c>
      <c r="D109">
        <v>11</v>
      </c>
      <c r="E109">
        <v>0.78319823139277822</v>
      </c>
      <c r="F109">
        <v>0.70000499999999999</v>
      </c>
      <c r="G109" s="1" t="str">
        <f t="shared" si="21"/>
        <v/>
      </c>
      <c r="H109" s="1" t="str">
        <f t="shared" si="22"/>
        <v/>
      </c>
      <c r="I109" s="1" t="str">
        <f t="shared" si="23"/>
        <v/>
      </c>
      <c r="J109" s="1">
        <f t="shared" si="24"/>
        <v>0.78319823139277822</v>
      </c>
      <c r="K109" s="1" t="str">
        <f t="shared" si="25"/>
        <v/>
      </c>
      <c r="L109" s="1" t="str">
        <f t="shared" si="26"/>
        <v/>
      </c>
    </row>
    <row r="110" spans="1:12">
      <c r="A110" t="s">
        <v>32</v>
      </c>
      <c r="B110">
        <v>20</v>
      </c>
      <c r="C110" t="str">
        <f t="shared" si="20"/>
        <v>test.Base64_20_</v>
      </c>
      <c r="D110">
        <v>12</v>
      </c>
      <c r="E110">
        <v>0.78393515106853351</v>
      </c>
      <c r="F110">
        <v>0.70001000000000002</v>
      </c>
      <c r="G110" s="1" t="str">
        <f t="shared" si="21"/>
        <v/>
      </c>
      <c r="H110" s="1" t="str">
        <f t="shared" si="22"/>
        <v/>
      </c>
      <c r="I110" s="1" t="str">
        <f t="shared" si="23"/>
        <v/>
      </c>
      <c r="J110" s="1">
        <f t="shared" si="24"/>
        <v>0.78393515106853351</v>
      </c>
      <c r="K110" s="1" t="str">
        <f t="shared" si="25"/>
        <v/>
      </c>
      <c r="L110" s="1" t="str">
        <f t="shared" si="26"/>
        <v/>
      </c>
    </row>
    <row r="111" spans="1:12">
      <c r="A111" t="s">
        <v>32</v>
      </c>
      <c r="B111">
        <v>20</v>
      </c>
      <c r="C111" t="str">
        <f t="shared" si="20"/>
        <v>test.Base64_20_</v>
      </c>
      <c r="D111">
        <v>13</v>
      </c>
      <c r="E111">
        <v>0.78437730287398677</v>
      </c>
      <c r="F111">
        <v>0.70001499999999994</v>
      </c>
      <c r="G111" s="1" t="str">
        <f t="shared" si="21"/>
        <v/>
      </c>
      <c r="H111" s="1" t="str">
        <f t="shared" si="22"/>
        <v/>
      </c>
      <c r="I111" s="1" t="str">
        <f t="shared" si="23"/>
        <v/>
      </c>
      <c r="J111" s="1">
        <f t="shared" si="24"/>
        <v>0.78437730287398677</v>
      </c>
      <c r="K111" s="1" t="str">
        <f t="shared" si="25"/>
        <v/>
      </c>
      <c r="L111" s="1" t="str">
        <f t="shared" si="26"/>
        <v/>
      </c>
    </row>
    <row r="112" spans="1:12">
      <c r="A112" t="s">
        <v>32</v>
      </c>
      <c r="B112">
        <v>20</v>
      </c>
      <c r="C112" t="str">
        <f t="shared" si="20"/>
        <v>test.Base64_20_</v>
      </c>
      <c r="D112">
        <v>14</v>
      </c>
      <c r="E112">
        <v>0.810759027266028</v>
      </c>
      <c r="F112">
        <v>0.70002005</v>
      </c>
      <c r="G112" s="1" t="str">
        <f t="shared" si="21"/>
        <v/>
      </c>
      <c r="H112" s="1" t="str">
        <f t="shared" si="22"/>
        <v/>
      </c>
      <c r="I112" s="1" t="str">
        <f t="shared" si="23"/>
        <v/>
      </c>
      <c r="J112" s="1">
        <f t="shared" si="24"/>
        <v>0.810759027266028</v>
      </c>
      <c r="K112" s="1" t="str">
        <f t="shared" si="25"/>
        <v/>
      </c>
      <c r="L112" s="1" t="str">
        <f t="shared" si="26"/>
        <v/>
      </c>
    </row>
    <row r="113" spans="1:12">
      <c r="A113" t="s">
        <v>32</v>
      </c>
      <c r="B113">
        <v>20</v>
      </c>
      <c r="C113" t="str">
        <f t="shared" si="20"/>
        <v>test.Base64_20_</v>
      </c>
      <c r="D113">
        <v>15</v>
      </c>
      <c r="E113">
        <v>0.810759027266028</v>
      </c>
      <c r="F113">
        <v>0.70002505000000004</v>
      </c>
      <c r="G113" s="1" t="str">
        <f t="shared" si="21"/>
        <v/>
      </c>
      <c r="H113" s="1" t="str">
        <f t="shared" si="22"/>
        <v/>
      </c>
      <c r="I113" s="1" t="str">
        <f t="shared" si="23"/>
        <v/>
      </c>
      <c r="J113" s="1">
        <f t="shared" si="24"/>
        <v>0.810759027266028</v>
      </c>
      <c r="K113" s="1" t="str">
        <f t="shared" si="25"/>
        <v/>
      </c>
      <c r="L113" s="1" t="str">
        <f t="shared" si="26"/>
        <v/>
      </c>
    </row>
    <row r="114" spans="1:12">
      <c r="A114" t="s">
        <v>32</v>
      </c>
      <c r="B114">
        <v>20</v>
      </c>
      <c r="C114" t="str">
        <f t="shared" si="20"/>
        <v>test.Base64_20_</v>
      </c>
      <c r="D114">
        <v>16</v>
      </c>
      <c r="E114">
        <v>0.81164333087693441</v>
      </c>
      <c r="F114">
        <v>0.70003004999999996</v>
      </c>
      <c r="G114" s="1" t="str">
        <f t="shared" si="21"/>
        <v/>
      </c>
      <c r="H114" s="1" t="str">
        <f t="shared" si="22"/>
        <v/>
      </c>
      <c r="I114" s="1" t="str">
        <f t="shared" si="23"/>
        <v/>
      </c>
      <c r="J114" s="1">
        <f t="shared" si="24"/>
        <v>0.81164333087693441</v>
      </c>
      <c r="K114" s="1" t="str">
        <f t="shared" si="25"/>
        <v/>
      </c>
      <c r="L114" s="1" t="str">
        <f t="shared" si="26"/>
        <v/>
      </c>
    </row>
    <row r="115" spans="1:12">
      <c r="A115" t="s">
        <v>32</v>
      </c>
      <c r="B115">
        <v>20</v>
      </c>
      <c r="C115" t="str">
        <f t="shared" si="20"/>
        <v>test.Base64_20_</v>
      </c>
      <c r="D115">
        <v>17</v>
      </c>
      <c r="E115">
        <v>0.81164333087693441</v>
      </c>
      <c r="F115">
        <v>0.75</v>
      </c>
      <c r="G115" s="1" t="str">
        <f t="shared" si="21"/>
        <v/>
      </c>
      <c r="H115" s="1" t="str">
        <f t="shared" si="22"/>
        <v/>
      </c>
      <c r="I115" s="1" t="str">
        <f t="shared" si="23"/>
        <v/>
      </c>
      <c r="J115" s="1">
        <f t="shared" si="24"/>
        <v>0.81164333087693441</v>
      </c>
      <c r="K115" s="1" t="str">
        <f t="shared" si="25"/>
        <v/>
      </c>
      <c r="L115" s="1" t="str">
        <f t="shared" si="26"/>
        <v/>
      </c>
    </row>
    <row r="116" spans="1:12">
      <c r="A116" t="s">
        <v>32</v>
      </c>
      <c r="B116">
        <v>20</v>
      </c>
      <c r="C116" t="str">
        <f t="shared" si="20"/>
        <v>test.Base64_20_</v>
      </c>
      <c r="D116">
        <v>18</v>
      </c>
      <c r="E116">
        <v>0.99911569638909359</v>
      </c>
      <c r="F116">
        <v>0.75000500000000003</v>
      </c>
      <c r="G116" s="1" t="str">
        <f t="shared" si="21"/>
        <v/>
      </c>
      <c r="H116" s="1" t="str">
        <f t="shared" si="22"/>
        <v/>
      </c>
      <c r="I116" s="1" t="str">
        <f t="shared" si="23"/>
        <v/>
      </c>
      <c r="J116" s="1">
        <f t="shared" si="24"/>
        <v>0.99911569638909359</v>
      </c>
      <c r="K116" s="1" t="str">
        <f t="shared" si="25"/>
        <v/>
      </c>
      <c r="L116" s="1" t="str">
        <f t="shared" si="26"/>
        <v/>
      </c>
    </row>
    <row r="117" spans="1:12">
      <c r="A117" t="s">
        <v>32</v>
      </c>
      <c r="B117">
        <v>20</v>
      </c>
      <c r="C117" t="str">
        <f t="shared" si="20"/>
        <v>test.Base64_20_</v>
      </c>
      <c r="D117">
        <v>19</v>
      </c>
      <c r="E117">
        <v>0.99911569638909359</v>
      </c>
      <c r="F117">
        <v>0.75000999999999995</v>
      </c>
      <c r="G117" s="1" t="str">
        <f t="shared" si="21"/>
        <v/>
      </c>
      <c r="H117" s="1" t="str">
        <f t="shared" si="22"/>
        <v/>
      </c>
      <c r="I117" s="1" t="str">
        <f t="shared" si="23"/>
        <v/>
      </c>
      <c r="J117" s="1">
        <f t="shared" si="24"/>
        <v>0.99911569638909359</v>
      </c>
      <c r="K117" s="1" t="str">
        <f t="shared" si="25"/>
        <v/>
      </c>
      <c r="L117" s="1" t="str">
        <f t="shared" si="26"/>
        <v/>
      </c>
    </row>
    <row r="118" spans="1:12">
      <c r="A118" t="s">
        <v>32</v>
      </c>
      <c r="B118">
        <v>20</v>
      </c>
      <c r="C118" t="str">
        <f t="shared" si="20"/>
        <v>test.Base64_20_</v>
      </c>
      <c r="D118">
        <v>20</v>
      </c>
      <c r="E118">
        <v>1</v>
      </c>
      <c r="F118">
        <v>0.75001499999999999</v>
      </c>
      <c r="G118" s="1" t="str">
        <f t="shared" si="21"/>
        <v/>
      </c>
      <c r="H118" s="1" t="str">
        <f t="shared" si="22"/>
        <v/>
      </c>
      <c r="I118" s="1" t="str">
        <f t="shared" si="23"/>
        <v/>
      </c>
      <c r="J118" s="1">
        <f t="shared" si="24"/>
        <v>1</v>
      </c>
      <c r="K118" s="1" t="str">
        <f t="shared" si="25"/>
        <v/>
      </c>
      <c r="L118" s="1" t="str">
        <f t="shared" si="26"/>
        <v/>
      </c>
    </row>
    <row r="119" spans="1:12">
      <c r="A119" t="s">
        <v>32</v>
      </c>
      <c r="B119">
        <v>20</v>
      </c>
      <c r="C119" t="str">
        <f t="shared" si="20"/>
        <v>test.Base64_20_</v>
      </c>
      <c r="D119">
        <v>21</v>
      </c>
      <c r="E119">
        <v>1</v>
      </c>
      <c r="F119">
        <v>0.75002005000000005</v>
      </c>
      <c r="G119" s="1" t="str">
        <f t="shared" si="21"/>
        <v/>
      </c>
      <c r="H119" s="1" t="str">
        <f t="shared" si="22"/>
        <v/>
      </c>
      <c r="I119" s="1" t="str">
        <f t="shared" si="23"/>
        <v/>
      </c>
      <c r="J119" s="1">
        <f t="shared" si="24"/>
        <v>1</v>
      </c>
      <c r="K119" s="1" t="str">
        <f t="shared" si="25"/>
        <v/>
      </c>
      <c r="L119" s="1" t="str">
        <f t="shared" si="26"/>
        <v/>
      </c>
    </row>
    <row r="120" spans="1:12">
      <c r="A120" t="s">
        <v>32</v>
      </c>
      <c r="B120">
        <v>20</v>
      </c>
      <c r="C120" t="str">
        <f t="shared" si="20"/>
        <v>test.Base64_20_</v>
      </c>
      <c r="D120">
        <v>22</v>
      </c>
      <c r="E120">
        <v>1</v>
      </c>
      <c r="F120">
        <v>0.75002504999999997</v>
      </c>
      <c r="G120" s="1" t="str">
        <f t="shared" si="21"/>
        <v/>
      </c>
      <c r="H120" s="1" t="str">
        <f t="shared" si="22"/>
        <v/>
      </c>
      <c r="I120" s="1" t="str">
        <f t="shared" si="23"/>
        <v/>
      </c>
      <c r="J120" s="1">
        <f t="shared" si="24"/>
        <v>1</v>
      </c>
      <c r="K120" s="1" t="str">
        <f t="shared" si="25"/>
        <v/>
      </c>
      <c r="L120" s="1" t="str">
        <f t="shared" si="26"/>
        <v/>
      </c>
    </row>
    <row r="121" spans="1:12">
      <c r="A121" t="s">
        <v>32</v>
      </c>
      <c r="B121">
        <v>20</v>
      </c>
      <c r="C121" t="str">
        <f t="shared" si="20"/>
        <v>test.Base64_20_</v>
      </c>
      <c r="D121">
        <v>23</v>
      </c>
      <c r="E121">
        <v>1</v>
      </c>
      <c r="F121">
        <v>0.8</v>
      </c>
      <c r="G121" s="1" t="str">
        <f t="shared" si="21"/>
        <v/>
      </c>
      <c r="H121" s="1" t="str">
        <f t="shared" si="22"/>
        <v/>
      </c>
      <c r="I121" s="1" t="str">
        <f t="shared" si="23"/>
        <v/>
      </c>
      <c r="J121" s="1">
        <f t="shared" si="24"/>
        <v>1</v>
      </c>
      <c r="K121" s="1" t="str">
        <f t="shared" si="25"/>
        <v/>
      </c>
      <c r="L121" s="1" t="str">
        <f t="shared" si="26"/>
        <v/>
      </c>
    </row>
    <row r="122" spans="1:12">
      <c r="A122" t="s">
        <v>32</v>
      </c>
      <c r="B122">
        <v>20</v>
      </c>
      <c r="C122" t="str">
        <f t="shared" si="20"/>
        <v>test.Base64_20_</v>
      </c>
      <c r="D122">
        <v>24</v>
      </c>
      <c r="E122">
        <v>1</v>
      </c>
      <c r="F122">
        <v>0.85</v>
      </c>
      <c r="G122" s="1" t="str">
        <f t="shared" si="21"/>
        <v/>
      </c>
      <c r="H122" s="1" t="str">
        <f t="shared" si="22"/>
        <v/>
      </c>
      <c r="I122" s="1" t="str">
        <f t="shared" si="23"/>
        <v/>
      </c>
      <c r="J122" s="1" t="str">
        <f t="shared" si="24"/>
        <v/>
      </c>
      <c r="K122" s="1">
        <f t="shared" si="25"/>
        <v>1</v>
      </c>
      <c r="L122" s="1" t="str">
        <f t="shared" si="26"/>
        <v/>
      </c>
    </row>
    <row r="123" spans="1:12">
      <c r="A123" t="s">
        <v>32</v>
      </c>
      <c r="B123">
        <v>20</v>
      </c>
      <c r="C123" t="str">
        <f t="shared" si="20"/>
        <v>test.Base64_20_</v>
      </c>
      <c r="D123">
        <v>25</v>
      </c>
      <c r="E123">
        <v>1</v>
      </c>
      <c r="F123">
        <v>0.95</v>
      </c>
      <c r="G123" s="1" t="str">
        <f t="shared" si="21"/>
        <v/>
      </c>
      <c r="H123" s="1" t="str">
        <f t="shared" si="22"/>
        <v/>
      </c>
      <c r="I123" s="1" t="str">
        <f t="shared" si="23"/>
        <v/>
      </c>
      <c r="J123" s="1" t="str">
        <f t="shared" si="24"/>
        <v/>
      </c>
      <c r="K123" s="1">
        <f t="shared" si="25"/>
        <v>1</v>
      </c>
      <c r="L123" s="1" t="str">
        <f t="shared" si="26"/>
        <v/>
      </c>
    </row>
    <row r="124" spans="1:12">
      <c r="A124" t="s">
        <v>32</v>
      </c>
      <c r="B124">
        <v>20</v>
      </c>
      <c r="C124" t="str">
        <f t="shared" si="20"/>
        <v>test.Base64_20_</v>
      </c>
      <c r="D124">
        <v>26</v>
      </c>
      <c r="E124">
        <v>1</v>
      </c>
      <c r="F124">
        <v>1.1000000000000001</v>
      </c>
      <c r="G124" s="1" t="str">
        <f t="shared" si="21"/>
        <v/>
      </c>
      <c r="H124" s="1" t="str">
        <f t="shared" si="22"/>
        <v/>
      </c>
      <c r="I124" s="1" t="str">
        <f t="shared" si="23"/>
        <v/>
      </c>
      <c r="J124" s="1" t="str">
        <f t="shared" si="24"/>
        <v/>
      </c>
      <c r="K124" s="1">
        <f t="shared" si="25"/>
        <v>1</v>
      </c>
      <c r="L124" s="1" t="str">
        <f t="shared" si="26"/>
        <v/>
      </c>
    </row>
    <row r="125" spans="1:12">
      <c r="A125" t="s">
        <v>56</v>
      </c>
      <c r="B125">
        <v>10</v>
      </c>
      <c r="C125" t="str">
        <f t="shared" si="20"/>
        <v>test.Class11_10_</v>
      </c>
      <c r="D125">
        <v>27</v>
      </c>
      <c r="E125">
        <v>2.6776594192324529E-2</v>
      </c>
      <c r="F125">
        <v>9.2592592592592587E-2</v>
      </c>
      <c r="G125" s="1">
        <f t="shared" si="21"/>
        <v>2.6776594192324529E-2</v>
      </c>
      <c r="H125" s="1" t="str">
        <f t="shared" si="22"/>
        <v/>
      </c>
      <c r="I125" s="1" t="str">
        <f t="shared" si="23"/>
        <v/>
      </c>
      <c r="J125" s="1" t="str">
        <f t="shared" si="24"/>
        <v/>
      </c>
      <c r="K125" s="1" t="str">
        <f t="shared" si="25"/>
        <v/>
      </c>
      <c r="L125" s="1" t="str">
        <f t="shared" si="26"/>
        <v/>
      </c>
    </row>
    <row r="126" spans="1:12">
      <c r="A126" t="s">
        <v>56</v>
      </c>
      <c r="B126">
        <v>10</v>
      </c>
      <c r="C126" t="str">
        <f t="shared" si="20"/>
        <v>test.Class11_10_</v>
      </c>
      <c r="D126">
        <v>28</v>
      </c>
      <c r="E126">
        <v>4.6330074419962057E-2</v>
      </c>
      <c r="F126">
        <v>9.2594444444444438E-2</v>
      </c>
      <c r="G126" s="1">
        <f t="shared" si="21"/>
        <v>4.6330074419962057E-2</v>
      </c>
      <c r="H126" s="1" t="str">
        <f t="shared" si="22"/>
        <v/>
      </c>
      <c r="I126" s="1" t="str">
        <f t="shared" si="23"/>
        <v/>
      </c>
      <c r="J126" s="1" t="str">
        <f t="shared" si="24"/>
        <v/>
      </c>
      <c r="K126" s="1" t="str">
        <f t="shared" si="25"/>
        <v/>
      </c>
      <c r="L126" s="1" t="str">
        <f t="shared" si="26"/>
        <v/>
      </c>
    </row>
    <row r="127" spans="1:12">
      <c r="A127" t="s">
        <v>56</v>
      </c>
      <c r="B127">
        <v>10</v>
      </c>
      <c r="C127" t="str">
        <f t="shared" si="20"/>
        <v>test.Class11_10_</v>
      </c>
      <c r="D127">
        <v>1</v>
      </c>
      <c r="E127">
        <v>6.5883554647599596E-2</v>
      </c>
      <c r="F127">
        <v>9.2596301851851859E-2</v>
      </c>
      <c r="G127" s="1">
        <f t="shared" si="21"/>
        <v>6.5883554647599596E-2</v>
      </c>
      <c r="H127" s="1" t="str">
        <f t="shared" si="22"/>
        <v/>
      </c>
      <c r="I127" s="1" t="str">
        <f t="shared" si="23"/>
        <v/>
      </c>
      <c r="J127" s="1" t="str">
        <f t="shared" si="24"/>
        <v/>
      </c>
      <c r="K127" s="1" t="str">
        <f t="shared" si="25"/>
        <v/>
      </c>
      <c r="L127" s="1" t="str">
        <f t="shared" si="26"/>
        <v/>
      </c>
    </row>
    <row r="128" spans="1:12">
      <c r="A128" t="s">
        <v>56</v>
      </c>
      <c r="B128">
        <v>10</v>
      </c>
      <c r="C128" t="str">
        <f t="shared" si="20"/>
        <v>test.Class11_10_</v>
      </c>
      <c r="D128">
        <v>2</v>
      </c>
      <c r="E128">
        <v>7.8651685393258425E-2</v>
      </c>
      <c r="F128">
        <v>9.2598155555555561E-2</v>
      </c>
      <c r="G128" s="1">
        <f t="shared" si="21"/>
        <v>7.8651685393258425E-2</v>
      </c>
      <c r="H128" s="1" t="str">
        <f t="shared" si="22"/>
        <v/>
      </c>
      <c r="I128" s="1" t="str">
        <f t="shared" si="23"/>
        <v/>
      </c>
      <c r="J128" s="1" t="str">
        <f t="shared" si="24"/>
        <v/>
      </c>
      <c r="K128" s="1" t="str">
        <f t="shared" si="25"/>
        <v/>
      </c>
      <c r="L128" s="1" t="str">
        <f t="shared" si="26"/>
        <v/>
      </c>
    </row>
    <row r="129" spans="1:12">
      <c r="A129" t="s">
        <v>56</v>
      </c>
      <c r="B129">
        <v>10</v>
      </c>
      <c r="C129" t="str">
        <f t="shared" si="20"/>
        <v>test.Class11_10_</v>
      </c>
      <c r="D129">
        <v>3</v>
      </c>
      <c r="E129">
        <v>0.1504450605574201</v>
      </c>
      <c r="F129">
        <v>0.1111111111111111</v>
      </c>
      <c r="G129" s="1">
        <f t="shared" si="21"/>
        <v>0.1504450605574201</v>
      </c>
      <c r="H129" s="1" t="str">
        <f t="shared" si="22"/>
        <v/>
      </c>
      <c r="I129" s="1" t="str">
        <f t="shared" si="23"/>
        <v/>
      </c>
      <c r="J129" s="1" t="str">
        <f t="shared" si="24"/>
        <v/>
      </c>
      <c r="K129" s="1" t="str">
        <f t="shared" si="25"/>
        <v/>
      </c>
      <c r="L129" s="1" t="str">
        <f t="shared" si="26"/>
        <v/>
      </c>
    </row>
    <row r="130" spans="1:12">
      <c r="A130" t="s">
        <v>56</v>
      </c>
      <c r="B130">
        <v>10</v>
      </c>
      <c r="C130" t="str">
        <f t="shared" si="20"/>
        <v>test.Class11_10_</v>
      </c>
      <c r="D130">
        <v>4</v>
      </c>
      <c r="E130">
        <v>0.15599007733839196</v>
      </c>
      <c r="F130">
        <v>0.12962962962962962</v>
      </c>
      <c r="G130" s="1">
        <f t="shared" si="21"/>
        <v>0.15599007733839196</v>
      </c>
      <c r="H130" s="1" t="str">
        <f t="shared" si="22"/>
        <v/>
      </c>
      <c r="I130" s="1" t="str">
        <f t="shared" si="23"/>
        <v/>
      </c>
      <c r="J130" s="1" t="str">
        <f t="shared" si="24"/>
        <v/>
      </c>
      <c r="K130" s="1" t="str">
        <f t="shared" si="25"/>
        <v/>
      </c>
      <c r="L130" s="1" t="str">
        <f t="shared" si="26"/>
        <v/>
      </c>
    </row>
    <row r="131" spans="1:12">
      <c r="A131" t="s">
        <v>56</v>
      </c>
      <c r="B131">
        <v>10</v>
      </c>
      <c r="C131" t="str">
        <f t="shared" ref="C131:C194" si="27">CONCATENATE(A131, "_",B131,"_")</f>
        <v>test.Class11_10_</v>
      </c>
      <c r="D131">
        <v>5</v>
      </c>
      <c r="E131">
        <v>0.16153509411936379</v>
      </c>
      <c r="F131">
        <v>0.12963148148148149</v>
      </c>
      <c r="G131" s="1">
        <f t="shared" ref="G131:G194" si="28">IF($F131 &lt;= 0.2,$E131,"")</f>
        <v>0.16153509411936379</v>
      </c>
      <c r="H131" s="1" t="str">
        <f t="shared" ref="H131:H194" si="29">IF(AND($F131 &gt; 0.2,$F131 &lt;= 0.4),$E131,"")</f>
        <v/>
      </c>
      <c r="I131" s="1" t="str">
        <f t="shared" ref="I131:I194" si="30">IF(AND($F131 &gt; 0.4,$F131 &lt;= 0.6),$E131,"")</f>
        <v/>
      </c>
      <c r="J131" s="1" t="str">
        <f t="shared" ref="J131:J194" si="31">IF(AND($F131 &gt; 0.6,$F131 &lt;= 0.8),$E131,"")</f>
        <v/>
      </c>
      <c r="K131" s="1" t="str">
        <f t="shared" ref="K131:K194" si="32">IF(AND($F131 &gt; 0.8, $F131 &lt;=1.1),$E131,"")</f>
        <v/>
      </c>
      <c r="L131" s="1" t="str">
        <f t="shared" ref="L131:L194" si="33">IF(AND($F131 &gt; 1.1),$E131,"")</f>
        <v/>
      </c>
    </row>
    <row r="132" spans="1:12">
      <c r="A132" t="s">
        <v>56</v>
      </c>
      <c r="B132">
        <v>10</v>
      </c>
      <c r="C132" t="str">
        <f t="shared" si="27"/>
        <v>test.Class11_10_</v>
      </c>
      <c r="D132">
        <v>6</v>
      </c>
      <c r="E132">
        <v>0.16708011090033562</v>
      </c>
      <c r="F132">
        <v>0.12963333888888889</v>
      </c>
      <c r="G132" s="1">
        <f t="shared" si="28"/>
        <v>0.16708011090033562</v>
      </c>
      <c r="H132" s="1" t="str">
        <f t="shared" si="29"/>
        <v/>
      </c>
      <c r="I132" s="1" t="str">
        <f t="shared" si="30"/>
        <v/>
      </c>
      <c r="J132" s="1" t="str">
        <f t="shared" si="31"/>
        <v/>
      </c>
      <c r="K132" s="1" t="str">
        <f t="shared" si="32"/>
        <v/>
      </c>
      <c r="L132" s="1" t="str">
        <f t="shared" si="33"/>
        <v/>
      </c>
    </row>
    <row r="133" spans="1:12">
      <c r="A133" t="s">
        <v>56</v>
      </c>
      <c r="B133">
        <v>10</v>
      </c>
      <c r="C133" t="str">
        <f t="shared" si="27"/>
        <v>test.Class11_10_</v>
      </c>
      <c r="D133">
        <v>7</v>
      </c>
      <c r="E133">
        <v>0.16708011090033562</v>
      </c>
      <c r="F133">
        <v>0.1296351925925926</v>
      </c>
      <c r="G133" s="1">
        <f t="shared" si="28"/>
        <v>0.16708011090033562</v>
      </c>
      <c r="H133" s="1" t="str">
        <f t="shared" si="29"/>
        <v/>
      </c>
      <c r="I133" s="1" t="str">
        <f t="shared" si="30"/>
        <v/>
      </c>
      <c r="J133" s="1" t="str">
        <f t="shared" si="31"/>
        <v/>
      </c>
      <c r="K133" s="1" t="str">
        <f t="shared" si="32"/>
        <v/>
      </c>
      <c r="L133" s="1" t="str">
        <f t="shared" si="33"/>
        <v/>
      </c>
    </row>
    <row r="134" spans="1:12">
      <c r="A134" t="s">
        <v>56</v>
      </c>
      <c r="B134">
        <v>10</v>
      </c>
      <c r="C134" t="str">
        <f t="shared" si="27"/>
        <v>test.Class11_10_</v>
      </c>
      <c r="D134">
        <v>8</v>
      </c>
      <c r="E134">
        <v>0.19786954618415292</v>
      </c>
      <c r="F134">
        <v>0.14814814814814814</v>
      </c>
      <c r="G134" s="1">
        <f t="shared" si="28"/>
        <v>0.19786954618415292</v>
      </c>
      <c r="H134" s="1" t="str">
        <f t="shared" si="29"/>
        <v/>
      </c>
      <c r="I134" s="1" t="str">
        <f t="shared" si="30"/>
        <v/>
      </c>
      <c r="J134" s="1" t="str">
        <f t="shared" si="31"/>
        <v/>
      </c>
      <c r="K134" s="1" t="str">
        <f t="shared" si="32"/>
        <v/>
      </c>
      <c r="L134" s="1" t="str">
        <f t="shared" si="33"/>
        <v/>
      </c>
    </row>
    <row r="135" spans="1:12">
      <c r="A135" t="s">
        <v>56</v>
      </c>
      <c r="B135">
        <v>10</v>
      </c>
      <c r="C135" t="str">
        <f t="shared" si="27"/>
        <v>test.Class11_10_</v>
      </c>
      <c r="D135">
        <v>9</v>
      </c>
      <c r="E135">
        <v>0.2219465927331096</v>
      </c>
      <c r="F135">
        <v>0.14815</v>
      </c>
      <c r="G135" s="1">
        <f t="shared" si="28"/>
        <v>0.2219465927331096</v>
      </c>
      <c r="H135" s="1" t="str">
        <f t="shared" si="29"/>
        <v/>
      </c>
      <c r="I135" s="1" t="str">
        <f t="shared" si="30"/>
        <v/>
      </c>
      <c r="J135" s="1" t="str">
        <f t="shared" si="31"/>
        <v/>
      </c>
      <c r="K135" s="1" t="str">
        <f t="shared" si="32"/>
        <v/>
      </c>
      <c r="L135" s="1" t="str">
        <f t="shared" si="33"/>
        <v/>
      </c>
    </row>
    <row r="136" spans="1:12">
      <c r="A136" t="s">
        <v>56</v>
      </c>
      <c r="B136">
        <v>10</v>
      </c>
      <c r="C136" t="str">
        <f t="shared" si="27"/>
        <v>test.Class11_10_</v>
      </c>
      <c r="D136">
        <v>10</v>
      </c>
      <c r="E136">
        <v>0.2219465927331096</v>
      </c>
      <c r="F136">
        <v>0.14815185185185184</v>
      </c>
      <c r="G136" s="1">
        <f t="shared" si="28"/>
        <v>0.2219465927331096</v>
      </c>
      <c r="H136" s="1" t="str">
        <f t="shared" si="29"/>
        <v/>
      </c>
      <c r="I136" s="1" t="str">
        <f t="shared" si="30"/>
        <v/>
      </c>
      <c r="J136" s="1" t="str">
        <f t="shared" si="31"/>
        <v/>
      </c>
      <c r="K136" s="1" t="str">
        <f t="shared" si="32"/>
        <v/>
      </c>
      <c r="L136" s="1" t="str">
        <f t="shared" si="33"/>
        <v/>
      </c>
    </row>
    <row r="137" spans="1:12">
      <c r="A137" t="s">
        <v>56</v>
      </c>
      <c r="B137">
        <v>10</v>
      </c>
      <c r="C137" t="str">
        <f t="shared" si="27"/>
        <v>test.Class11_10_</v>
      </c>
      <c r="D137">
        <v>11</v>
      </c>
      <c r="E137">
        <v>0.22734568801984531</v>
      </c>
      <c r="F137">
        <v>0.1481537037037037</v>
      </c>
      <c r="G137" s="1">
        <f t="shared" si="28"/>
        <v>0.22734568801984531</v>
      </c>
      <c r="H137" s="1" t="str">
        <f t="shared" si="29"/>
        <v/>
      </c>
      <c r="I137" s="1" t="str">
        <f t="shared" si="30"/>
        <v/>
      </c>
      <c r="J137" s="1" t="str">
        <f t="shared" si="31"/>
        <v/>
      </c>
      <c r="K137" s="1" t="str">
        <f t="shared" si="32"/>
        <v/>
      </c>
      <c r="L137" s="1" t="str">
        <f t="shared" si="33"/>
        <v/>
      </c>
    </row>
    <row r="138" spans="1:12">
      <c r="A138" t="s">
        <v>56</v>
      </c>
      <c r="B138">
        <v>10</v>
      </c>
      <c r="C138" t="str">
        <f t="shared" si="27"/>
        <v>test.Class11_10_</v>
      </c>
      <c r="D138">
        <v>12</v>
      </c>
      <c r="E138">
        <v>0.24120822997227492</v>
      </c>
      <c r="F138">
        <v>0.14815557407407406</v>
      </c>
      <c r="G138" s="1">
        <f t="shared" si="28"/>
        <v>0.24120822997227492</v>
      </c>
      <c r="H138" s="1" t="str">
        <f t="shared" si="29"/>
        <v/>
      </c>
      <c r="I138" s="1" t="str">
        <f t="shared" si="30"/>
        <v/>
      </c>
      <c r="J138" s="1" t="str">
        <f t="shared" si="31"/>
        <v/>
      </c>
      <c r="K138" s="1" t="str">
        <f t="shared" si="32"/>
        <v/>
      </c>
      <c r="L138" s="1" t="str">
        <f t="shared" si="33"/>
        <v/>
      </c>
    </row>
    <row r="139" spans="1:12">
      <c r="A139" t="s">
        <v>56</v>
      </c>
      <c r="B139">
        <v>10</v>
      </c>
      <c r="C139" t="str">
        <f t="shared" si="27"/>
        <v>test.Class11_10_</v>
      </c>
      <c r="D139">
        <v>13</v>
      </c>
      <c r="E139">
        <v>0.2712680577849117</v>
      </c>
      <c r="F139">
        <v>0.16666666666666666</v>
      </c>
      <c r="G139" s="1">
        <f t="shared" si="28"/>
        <v>0.2712680577849117</v>
      </c>
      <c r="H139" s="1" t="str">
        <f t="shared" si="29"/>
        <v/>
      </c>
      <c r="I139" s="1" t="str">
        <f t="shared" si="30"/>
        <v/>
      </c>
      <c r="J139" s="1" t="str">
        <f t="shared" si="31"/>
        <v/>
      </c>
      <c r="K139" s="1" t="str">
        <f t="shared" si="32"/>
        <v/>
      </c>
      <c r="L139" s="1" t="str">
        <f t="shared" si="33"/>
        <v/>
      </c>
    </row>
    <row r="140" spans="1:12">
      <c r="A140" t="s">
        <v>56</v>
      </c>
      <c r="B140">
        <v>10</v>
      </c>
      <c r="C140" t="str">
        <f t="shared" si="27"/>
        <v>test.Class11_10_</v>
      </c>
      <c r="D140">
        <v>14</v>
      </c>
      <c r="E140">
        <v>0.29519918283963226</v>
      </c>
      <c r="F140">
        <v>0.16666851851851852</v>
      </c>
      <c r="G140" s="1">
        <f t="shared" si="28"/>
        <v>0.29519918283963226</v>
      </c>
      <c r="H140" s="1" t="str">
        <f t="shared" si="29"/>
        <v/>
      </c>
      <c r="I140" s="1" t="str">
        <f t="shared" si="30"/>
        <v/>
      </c>
      <c r="J140" s="1" t="str">
        <f t="shared" si="31"/>
        <v/>
      </c>
      <c r="K140" s="1" t="str">
        <f t="shared" si="32"/>
        <v/>
      </c>
      <c r="L140" s="1" t="str">
        <f t="shared" si="33"/>
        <v/>
      </c>
    </row>
    <row r="141" spans="1:12">
      <c r="A141" t="s">
        <v>56</v>
      </c>
      <c r="B141">
        <v>10</v>
      </c>
      <c r="C141" t="str">
        <f t="shared" si="27"/>
        <v>test.Class11_10_</v>
      </c>
      <c r="D141">
        <v>15</v>
      </c>
      <c r="E141">
        <v>0.29519918283963226</v>
      </c>
      <c r="F141">
        <v>0.16667037037037036</v>
      </c>
      <c r="G141" s="1">
        <f t="shared" si="28"/>
        <v>0.29519918283963226</v>
      </c>
      <c r="H141" s="1" t="str">
        <f t="shared" si="29"/>
        <v/>
      </c>
      <c r="I141" s="1" t="str">
        <f t="shared" si="30"/>
        <v/>
      </c>
      <c r="J141" s="1" t="str">
        <f t="shared" si="31"/>
        <v/>
      </c>
      <c r="K141" s="1" t="str">
        <f t="shared" si="32"/>
        <v/>
      </c>
      <c r="L141" s="1" t="str">
        <f t="shared" si="33"/>
        <v/>
      </c>
    </row>
    <row r="142" spans="1:12">
      <c r="A142" t="s">
        <v>56</v>
      </c>
      <c r="B142">
        <v>10</v>
      </c>
      <c r="C142" t="str">
        <f t="shared" si="27"/>
        <v>test.Class11_10_</v>
      </c>
      <c r="D142">
        <v>16</v>
      </c>
      <c r="E142">
        <v>0.29519918283963226</v>
      </c>
      <c r="F142">
        <v>0.16667222222222222</v>
      </c>
      <c r="G142" s="1">
        <f t="shared" si="28"/>
        <v>0.29519918283963226</v>
      </c>
      <c r="H142" s="1" t="str">
        <f t="shared" si="29"/>
        <v/>
      </c>
      <c r="I142" s="1" t="str">
        <f t="shared" si="30"/>
        <v/>
      </c>
      <c r="J142" s="1" t="str">
        <f t="shared" si="31"/>
        <v/>
      </c>
      <c r="K142" s="1" t="str">
        <f t="shared" si="32"/>
        <v/>
      </c>
      <c r="L142" s="1" t="str">
        <f t="shared" si="33"/>
        <v/>
      </c>
    </row>
    <row r="143" spans="1:12">
      <c r="A143" t="s">
        <v>56</v>
      </c>
      <c r="B143">
        <v>10</v>
      </c>
      <c r="C143" t="str">
        <f t="shared" si="27"/>
        <v>test.Class11_10_</v>
      </c>
      <c r="D143">
        <v>17</v>
      </c>
      <c r="E143">
        <v>0.29519918283963226</v>
      </c>
      <c r="F143">
        <v>0.16667409259259258</v>
      </c>
      <c r="G143" s="1">
        <f t="shared" si="28"/>
        <v>0.29519918283963226</v>
      </c>
      <c r="H143" s="1" t="str">
        <f t="shared" si="29"/>
        <v/>
      </c>
      <c r="I143" s="1" t="str">
        <f t="shared" si="30"/>
        <v/>
      </c>
      <c r="J143" s="1" t="str">
        <f t="shared" si="31"/>
        <v/>
      </c>
      <c r="K143" s="1" t="str">
        <f t="shared" si="32"/>
        <v/>
      </c>
      <c r="L143" s="1" t="str">
        <f t="shared" si="33"/>
        <v/>
      </c>
    </row>
    <row r="144" spans="1:12">
      <c r="A144" t="s">
        <v>56</v>
      </c>
      <c r="B144">
        <v>10</v>
      </c>
      <c r="C144" t="str">
        <f t="shared" si="27"/>
        <v>test.Class11_10_</v>
      </c>
      <c r="D144">
        <v>18</v>
      </c>
      <c r="E144">
        <v>0.30315190427549976</v>
      </c>
      <c r="F144">
        <v>0.16667594444444445</v>
      </c>
      <c r="G144" s="1">
        <f t="shared" si="28"/>
        <v>0.30315190427549976</v>
      </c>
      <c r="H144" s="1" t="str">
        <f t="shared" si="29"/>
        <v/>
      </c>
      <c r="I144" s="1" t="str">
        <f t="shared" si="30"/>
        <v/>
      </c>
      <c r="J144" s="1" t="str">
        <f t="shared" si="31"/>
        <v/>
      </c>
      <c r="K144" s="1" t="str">
        <f t="shared" si="32"/>
        <v/>
      </c>
      <c r="L144" s="1" t="str">
        <f t="shared" si="33"/>
        <v/>
      </c>
    </row>
    <row r="145" spans="1:12">
      <c r="A145" t="s">
        <v>56</v>
      </c>
      <c r="B145">
        <v>10</v>
      </c>
      <c r="C145" t="str">
        <f t="shared" si="27"/>
        <v>test.Class11_10_</v>
      </c>
      <c r="D145">
        <v>19</v>
      </c>
      <c r="E145">
        <v>0.30315190427549976</v>
      </c>
      <c r="F145">
        <v>0.16667779629629628</v>
      </c>
      <c r="G145" s="1">
        <f t="shared" si="28"/>
        <v>0.30315190427549976</v>
      </c>
      <c r="H145" s="1" t="str">
        <f t="shared" si="29"/>
        <v/>
      </c>
      <c r="I145" s="1" t="str">
        <f t="shared" si="30"/>
        <v/>
      </c>
      <c r="J145" s="1" t="str">
        <f t="shared" si="31"/>
        <v/>
      </c>
      <c r="K145" s="1" t="str">
        <f t="shared" si="32"/>
        <v/>
      </c>
      <c r="L145" s="1" t="str">
        <f t="shared" si="33"/>
        <v/>
      </c>
    </row>
    <row r="146" spans="1:12">
      <c r="A146" t="s">
        <v>56</v>
      </c>
      <c r="B146">
        <v>10</v>
      </c>
      <c r="C146" t="str">
        <f t="shared" si="27"/>
        <v>test.Class11_10_</v>
      </c>
      <c r="D146">
        <v>20</v>
      </c>
      <c r="E146">
        <v>0.3313877134101853</v>
      </c>
      <c r="F146">
        <v>0.16667964814814815</v>
      </c>
      <c r="G146" s="1">
        <f t="shared" si="28"/>
        <v>0.3313877134101853</v>
      </c>
      <c r="H146" s="1" t="str">
        <f t="shared" si="29"/>
        <v/>
      </c>
      <c r="I146" s="1" t="str">
        <f t="shared" si="30"/>
        <v/>
      </c>
      <c r="J146" s="1" t="str">
        <f t="shared" si="31"/>
        <v/>
      </c>
      <c r="K146" s="1" t="str">
        <f t="shared" si="32"/>
        <v/>
      </c>
      <c r="L146" s="1" t="str">
        <f t="shared" si="33"/>
        <v/>
      </c>
    </row>
    <row r="147" spans="1:12">
      <c r="A147" t="s">
        <v>56</v>
      </c>
      <c r="B147">
        <v>10</v>
      </c>
      <c r="C147" t="str">
        <f t="shared" si="27"/>
        <v>test.Class11_10_</v>
      </c>
      <c r="D147">
        <v>21</v>
      </c>
      <c r="E147">
        <v>0.35714285714285715</v>
      </c>
      <c r="F147">
        <v>0.16668149999999998</v>
      </c>
      <c r="G147" s="1">
        <f t="shared" si="28"/>
        <v>0.35714285714285715</v>
      </c>
      <c r="H147" s="1" t="str">
        <f t="shared" si="29"/>
        <v/>
      </c>
      <c r="I147" s="1" t="str">
        <f t="shared" si="30"/>
        <v/>
      </c>
      <c r="J147" s="1" t="str">
        <f t="shared" si="31"/>
        <v/>
      </c>
      <c r="K147" s="1" t="str">
        <f t="shared" si="32"/>
        <v/>
      </c>
      <c r="L147" s="1" t="str">
        <f t="shared" si="33"/>
        <v/>
      </c>
    </row>
    <row r="148" spans="1:12">
      <c r="A148" t="s">
        <v>56</v>
      </c>
      <c r="B148">
        <v>10</v>
      </c>
      <c r="C148" t="str">
        <f t="shared" si="27"/>
        <v>test.Class11_10_</v>
      </c>
      <c r="D148">
        <v>22</v>
      </c>
      <c r="E148">
        <v>0.35962352254487084</v>
      </c>
      <c r="F148">
        <v>0.16668335185185187</v>
      </c>
      <c r="G148" s="1">
        <f t="shared" si="28"/>
        <v>0.35962352254487084</v>
      </c>
      <c r="H148" s="1" t="str">
        <f t="shared" si="29"/>
        <v/>
      </c>
      <c r="I148" s="1" t="str">
        <f t="shared" si="30"/>
        <v/>
      </c>
      <c r="J148" s="1" t="str">
        <f t="shared" si="31"/>
        <v/>
      </c>
      <c r="K148" s="1" t="str">
        <f t="shared" si="32"/>
        <v/>
      </c>
      <c r="L148" s="1" t="str">
        <f t="shared" si="33"/>
        <v/>
      </c>
    </row>
    <row r="149" spans="1:12">
      <c r="A149" t="s">
        <v>56</v>
      </c>
      <c r="B149">
        <v>10</v>
      </c>
      <c r="C149" t="str">
        <f t="shared" si="27"/>
        <v>test.Class11_10_</v>
      </c>
      <c r="D149">
        <v>23</v>
      </c>
      <c r="E149">
        <v>0.35962352254487084</v>
      </c>
      <c r="F149">
        <v>0.16668520370370371</v>
      </c>
      <c r="G149" s="1">
        <f t="shared" si="28"/>
        <v>0.35962352254487084</v>
      </c>
      <c r="H149" s="1" t="str">
        <f t="shared" si="29"/>
        <v/>
      </c>
      <c r="I149" s="1" t="str">
        <f t="shared" si="30"/>
        <v/>
      </c>
      <c r="J149" s="1" t="str">
        <f t="shared" si="31"/>
        <v/>
      </c>
      <c r="K149" s="1" t="str">
        <f t="shared" si="32"/>
        <v/>
      </c>
      <c r="L149" s="1" t="str">
        <f t="shared" si="33"/>
        <v/>
      </c>
    </row>
    <row r="150" spans="1:12">
      <c r="A150" t="s">
        <v>56</v>
      </c>
      <c r="B150">
        <v>10</v>
      </c>
      <c r="C150" t="str">
        <f t="shared" si="27"/>
        <v>test.Class11_10_</v>
      </c>
      <c r="D150">
        <v>24</v>
      </c>
      <c r="E150">
        <v>0.35962352254487084</v>
      </c>
      <c r="F150">
        <v>0.16668706481481482</v>
      </c>
      <c r="G150" s="1">
        <f t="shared" si="28"/>
        <v>0.35962352254487084</v>
      </c>
      <c r="H150" s="1" t="str">
        <f t="shared" si="29"/>
        <v/>
      </c>
      <c r="I150" s="1" t="str">
        <f t="shared" si="30"/>
        <v/>
      </c>
      <c r="J150" s="1" t="str">
        <f t="shared" si="31"/>
        <v/>
      </c>
      <c r="K150" s="1" t="str">
        <f t="shared" si="32"/>
        <v/>
      </c>
      <c r="L150" s="1" t="str">
        <f t="shared" si="33"/>
        <v/>
      </c>
    </row>
    <row r="151" spans="1:12">
      <c r="A151" t="s">
        <v>56</v>
      </c>
      <c r="B151">
        <v>10</v>
      </c>
      <c r="C151" t="str">
        <f t="shared" si="27"/>
        <v>test.Class11_10_</v>
      </c>
      <c r="D151">
        <v>25</v>
      </c>
      <c r="E151">
        <v>0.36210418794688459</v>
      </c>
      <c r="F151">
        <v>0.18518518518518517</v>
      </c>
      <c r="G151" s="1">
        <f t="shared" si="28"/>
        <v>0.36210418794688459</v>
      </c>
      <c r="H151" s="1" t="str">
        <f t="shared" si="29"/>
        <v/>
      </c>
      <c r="I151" s="1" t="str">
        <f t="shared" si="30"/>
        <v/>
      </c>
      <c r="J151" s="1" t="str">
        <f t="shared" si="31"/>
        <v/>
      </c>
      <c r="K151" s="1" t="str">
        <f t="shared" si="32"/>
        <v/>
      </c>
      <c r="L151" s="1" t="str">
        <f t="shared" si="33"/>
        <v/>
      </c>
    </row>
    <row r="152" spans="1:12">
      <c r="A152" t="s">
        <v>56</v>
      </c>
      <c r="B152">
        <v>10</v>
      </c>
      <c r="C152" t="str">
        <f t="shared" si="27"/>
        <v>test.Class11_10_</v>
      </c>
      <c r="D152">
        <v>26</v>
      </c>
      <c r="E152">
        <v>0.38785933167955639</v>
      </c>
      <c r="F152">
        <v>0.18518703703703704</v>
      </c>
      <c r="G152" s="1">
        <f t="shared" si="28"/>
        <v>0.38785933167955639</v>
      </c>
      <c r="H152" s="1" t="str">
        <f t="shared" si="29"/>
        <v/>
      </c>
      <c r="I152" s="1" t="str">
        <f t="shared" si="30"/>
        <v/>
      </c>
      <c r="J152" s="1" t="str">
        <f t="shared" si="31"/>
        <v/>
      </c>
      <c r="K152" s="1" t="str">
        <f t="shared" si="32"/>
        <v/>
      </c>
      <c r="L152" s="1" t="str">
        <f t="shared" si="33"/>
        <v/>
      </c>
    </row>
    <row r="153" spans="1:12">
      <c r="A153" t="s">
        <v>56</v>
      </c>
      <c r="B153">
        <v>10</v>
      </c>
      <c r="C153" t="str">
        <f t="shared" si="27"/>
        <v>test.Class11_10_</v>
      </c>
      <c r="D153">
        <v>27</v>
      </c>
      <c r="E153">
        <v>0.54056617539763607</v>
      </c>
      <c r="F153">
        <v>0.33333333333333331</v>
      </c>
      <c r="G153" s="1" t="str">
        <f t="shared" si="28"/>
        <v/>
      </c>
      <c r="H153" s="1">
        <f t="shared" si="29"/>
        <v>0.54056617539763607</v>
      </c>
      <c r="I153" s="1" t="str">
        <f t="shared" si="30"/>
        <v/>
      </c>
      <c r="J153" s="1" t="str">
        <f t="shared" si="31"/>
        <v/>
      </c>
      <c r="K153" s="1" t="str">
        <f t="shared" si="32"/>
        <v/>
      </c>
      <c r="L153" s="1" t="str">
        <f t="shared" si="33"/>
        <v/>
      </c>
    </row>
    <row r="154" spans="1:12">
      <c r="A154" t="s">
        <v>56</v>
      </c>
      <c r="B154">
        <v>10</v>
      </c>
      <c r="C154" t="str">
        <f t="shared" si="27"/>
        <v>test.Class11_10_</v>
      </c>
      <c r="D154">
        <v>28</v>
      </c>
      <c r="E154">
        <v>0.69334597986283375</v>
      </c>
      <c r="F154">
        <v>0.37037037037037035</v>
      </c>
      <c r="G154" s="1" t="str">
        <f t="shared" si="28"/>
        <v/>
      </c>
      <c r="H154" s="1">
        <f t="shared" si="29"/>
        <v>0.69334597986283375</v>
      </c>
      <c r="I154" s="1" t="str">
        <f t="shared" si="30"/>
        <v/>
      </c>
      <c r="J154" s="1" t="str">
        <f t="shared" si="31"/>
        <v/>
      </c>
      <c r="K154" s="1" t="str">
        <f t="shared" si="32"/>
        <v/>
      </c>
      <c r="L154" s="1" t="str">
        <f t="shared" si="33"/>
        <v/>
      </c>
    </row>
    <row r="155" spans="1:12">
      <c r="A155" t="s">
        <v>56</v>
      </c>
      <c r="B155">
        <v>10</v>
      </c>
      <c r="C155" t="str">
        <f t="shared" si="27"/>
        <v>test.Class11_10_</v>
      </c>
      <c r="D155">
        <v>29</v>
      </c>
      <c r="E155">
        <v>0.99883262804611117</v>
      </c>
      <c r="F155">
        <v>0.42592592592592593</v>
      </c>
      <c r="G155" s="1" t="str">
        <f t="shared" si="28"/>
        <v/>
      </c>
      <c r="H155" s="1" t="str">
        <f t="shared" si="29"/>
        <v/>
      </c>
      <c r="I155" s="1">
        <f t="shared" si="30"/>
        <v>0.99883262804611117</v>
      </c>
      <c r="J155" s="1" t="str">
        <f t="shared" si="31"/>
        <v/>
      </c>
      <c r="K155" s="1" t="str">
        <f t="shared" si="32"/>
        <v/>
      </c>
      <c r="L155" s="1" t="str">
        <f t="shared" si="33"/>
        <v/>
      </c>
    </row>
    <row r="156" spans="1:12">
      <c r="A156" t="s">
        <v>56</v>
      </c>
      <c r="B156">
        <v>10</v>
      </c>
      <c r="C156" t="str">
        <f t="shared" si="27"/>
        <v>test.Class11_10_</v>
      </c>
      <c r="D156">
        <v>30</v>
      </c>
      <c r="E156">
        <v>1</v>
      </c>
      <c r="F156">
        <v>0.96296296296296291</v>
      </c>
      <c r="G156" s="1" t="str">
        <f t="shared" si="28"/>
        <v/>
      </c>
      <c r="H156" s="1" t="str">
        <f t="shared" si="29"/>
        <v/>
      </c>
      <c r="I156" s="1" t="str">
        <f t="shared" si="30"/>
        <v/>
      </c>
      <c r="J156" s="1" t="str">
        <f t="shared" si="31"/>
        <v/>
      </c>
      <c r="K156" s="1">
        <f t="shared" si="32"/>
        <v>1</v>
      </c>
      <c r="L156" s="1" t="str">
        <f t="shared" si="33"/>
        <v/>
      </c>
    </row>
    <row r="157" spans="1:12">
      <c r="A157" t="s">
        <v>56</v>
      </c>
      <c r="B157">
        <v>11</v>
      </c>
      <c r="C157" t="str">
        <f t="shared" si="27"/>
        <v>test.Class11_11_</v>
      </c>
      <c r="D157">
        <v>31</v>
      </c>
      <c r="E157">
        <v>1.3948256467941508E-2</v>
      </c>
      <c r="F157">
        <v>0.13333333333333333</v>
      </c>
      <c r="G157" s="1">
        <f t="shared" si="28"/>
        <v>1.3948256467941508E-2</v>
      </c>
      <c r="H157" s="1" t="str">
        <f t="shared" si="29"/>
        <v/>
      </c>
      <c r="I157" s="1" t="str">
        <f t="shared" si="30"/>
        <v/>
      </c>
      <c r="J157" s="1" t="str">
        <f t="shared" si="31"/>
        <v/>
      </c>
      <c r="K157" s="1" t="str">
        <f t="shared" si="32"/>
        <v/>
      </c>
      <c r="L157" s="1" t="str">
        <f t="shared" si="33"/>
        <v/>
      </c>
    </row>
    <row r="158" spans="1:12">
      <c r="A158" t="s">
        <v>56</v>
      </c>
      <c r="B158">
        <v>11</v>
      </c>
      <c r="C158" t="str">
        <f t="shared" si="27"/>
        <v>test.Class11_11_</v>
      </c>
      <c r="D158">
        <v>32</v>
      </c>
      <c r="E158">
        <v>0.29628796400449942</v>
      </c>
      <c r="F158">
        <v>0.46666666666666667</v>
      </c>
      <c r="G158" s="1" t="str">
        <f t="shared" si="28"/>
        <v/>
      </c>
      <c r="H158" s="1" t="str">
        <f t="shared" si="29"/>
        <v/>
      </c>
      <c r="I158" s="1">
        <f t="shared" si="30"/>
        <v>0.29628796400449942</v>
      </c>
      <c r="J158" s="1" t="str">
        <f t="shared" si="31"/>
        <v/>
      </c>
      <c r="K158" s="1" t="str">
        <f t="shared" si="32"/>
        <v/>
      </c>
      <c r="L158" s="1" t="str">
        <f t="shared" si="33"/>
        <v/>
      </c>
    </row>
    <row r="159" spans="1:12">
      <c r="A159" t="s">
        <v>56</v>
      </c>
      <c r="B159">
        <v>11</v>
      </c>
      <c r="C159" t="str">
        <f t="shared" si="27"/>
        <v>test.Class11_11_</v>
      </c>
      <c r="D159">
        <v>33</v>
      </c>
      <c r="E159">
        <v>0.47041619797525308</v>
      </c>
      <c r="F159">
        <v>0.53333333333333333</v>
      </c>
      <c r="G159" s="1" t="str">
        <f t="shared" si="28"/>
        <v/>
      </c>
      <c r="H159" s="1" t="str">
        <f t="shared" si="29"/>
        <v/>
      </c>
      <c r="I159" s="1">
        <f t="shared" si="30"/>
        <v>0.47041619797525308</v>
      </c>
      <c r="J159" s="1" t="str">
        <f t="shared" si="31"/>
        <v/>
      </c>
      <c r="K159" s="1" t="str">
        <f t="shared" si="32"/>
        <v/>
      </c>
      <c r="L159" s="1" t="str">
        <f t="shared" si="33"/>
        <v/>
      </c>
    </row>
    <row r="160" spans="1:12">
      <c r="A160" t="s">
        <v>56</v>
      </c>
      <c r="B160">
        <v>11</v>
      </c>
      <c r="C160" t="str">
        <f t="shared" si="27"/>
        <v>test.Class11_11_</v>
      </c>
      <c r="D160">
        <v>1</v>
      </c>
      <c r="E160">
        <v>0.47401574803149604</v>
      </c>
      <c r="F160">
        <v>0.53334000000000004</v>
      </c>
      <c r="G160" s="1" t="str">
        <f t="shared" si="28"/>
        <v/>
      </c>
      <c r="H160" s="1" t="str">
        <f t="shared" si="29"/>
        <v/>
      </c>
      <c r="I160" s="1">
        <f t="shared" si="30"/>
        <v>0.47401574803149604</v>
      </c>
      <c r="J160" s="1" t="str">
        <f t="shared" si="31"/>
        <v/>
      </c>
      <c r="K160" s="1" t="str">
        <f t="shared" si="32"/>
        <v/>
      </c>
      <c r="L160" s="1" t="str">
        <f t="shared" si="33"/>
        <v/>
      </c>
    </row>
    <row r="161" spans="1:12">
      <c r="A161" t="s">
        <v>56</v>
      </c>
      <c r="B161">
        <v>11</v>
      </c>
      <c r="C161" t="str">
        <f t="shared" si="27"/>
        <v>test.Class11_11_</v>
      </c>
      <c r="D161">
        <v>2</v>
      </c>
      <c r="E161">
        <v>0.47401574803149604</v>
      </c>
      <c r="F161">
        <v>0.6</v>
      </c>
      <c r="G161" s="1" t="str">
        <f t="shared" si="28"/>
        <v/>
      </c>
      <c r="H161" s="1" t="str">
        <f t="shared" si="29"/>
        <v/>
      </c>
      <c r="I161" s="1">
        <f t="shared" si="30"/>
        <v>0.47401574803149604</v>
      </c>
      <c r="J161" s="1" t="str">
        <f t="shared" si="31"/>
        <v/>
      </c>
      <c r="K161" s="1" t="str">
        <f t="shared" si="32"/>
        <v/>
      </c>
      <c r="L161" s="1" t="str">
        <f t="shared" si="33"/>
        <v/>
      </c>
    </row>
    <row r="162" spans="1:12">
      <c r="A162" t="s">
        <v>56</v>
      </c>
      <c r="B162">
        <v>11</v>
      </c>
      <c r="C162" t="str">
        <f t="shared" si="27"/>
        <v>test.Class11_11_</v>
      </c>
      <c r="D162">
        <v>3</v>
      </c>
      <c r="E162">
        <v>0.64814398200224976</v>
      </c>
      <c r="F162">
        <v>0.60000666666666669</v>
      </c>
      <c r="G162" s="1" t="str">
        <f t="shared" si="28"/>
        <v/>
      </c>
      <c r="H162" s="1" t="str">
        <f t="shared" si="29"/>
        <v/>
      </c>
      <c r="I162" s="1" t="str">
        <f t="shared" si="30"/>
        <v/>
      </c>
      <c r="J162" s="1">
        <f t="shared" si="31"/>
        <v>0.64814398200224976</v>
      </c>
      <c r="K162" s="1" t="str">
        <f t="shared" si="32"/>
        <v/>
      </c>
      <c r="L162" s="1" t="str">
        <f t="shared" si="33"/>
        <v/>
      </c>
    </row>
    <row r="163" spans="1:12">
      <c r="A163" t="s">
        <v>56</v>
      </c>
      <c r="B163">
        <v>11</v>
      </c>
      <c r="C163" t="str">
        <f t="shared" si="27"/>
        <v>test.Class11_11_</v>
      </c>
      <c r="D163">
        <v>1</v>
      </c>
      <c r="E163">
        <v>0.64814398200224976</v>
      </c>
      <c r="F163">
        <v>0.60001333333333329</v>
      </c>
      <c r="G163" s="1" t="str">
        <f t="shared" si="28"/>
        <v/>
      </c>
      <c r="H163" s="1" t="str">
        <f t="shared" si="29"/>
        <v/>
      </c>
      <c r="I163" s="1" t="str">
        <f t="shared" si="30"/>
        <v/>
      </c>
      <c r="J163" s="1">
        <f t="shared" si="31"/>
        <v>0.64814398200224976</v>
      </c>
      <c r="K163" s="1" t="str">
        <f t="shared" si="32"/>
        <v/>
      </c>
      <c r="L163" s="1" t="str">
        <f t="shared" si="33"/>
        <v/>
      </c>
    </row>
    <row r="164" spans="1:12">
      <c r="A164" t="s">
        <v>56</v>
      </c>
      <c r="B164">
        <v>11</v>
      </c>
      <c r="C164" t="str">
        <f t="shared" si="27"/>
        <v>test.Class11_11_</v>
      </c>
      <c r="D164">
        <v>2</v>
      </c>
      <c r="E164">
        <v>0.82227221597300337</v>
      </c>
      <c r="F164">
        <v>0.60002</v>
      </c>
      <c r="G164" s="1" t="str">
        <f t="shared" si="28"/>
        <v/>
      </c>
      <c r="H164" s="1" t="str">
        <f t="shared" si="29"/>
        <v/>
      </c>
      <c r="I164" s="1" t="str">
        <f t="shared" si="30"/>
        <v/>
      </c>
      <c r="J164" s="1">
        <f t="shared" si="31"/>
        <v>0.82227221597300337</v>
      </c>
      <c r="K164" s="1" t="str">
        <f t="shared" si="32"/>
        <v/>
      </c>
      <c r="L164" s="1" t="str">
        <f t="shared" si="33"/>
        <v/>
      </c>
    </row>
    <row r="165" spans="1:12">
      <c r="A165" t="s">
        <v>56</v>
      </c>
      <c r="B165">
        <v>11</v>
      </c>
      <c r="C165" t="str">
        <f t="shared" si="27"/>
        <v>test.Class11_11_</v>
      </c>
      <c r="D165">
        <v>1</v>
      </c>
      <c r="E165">
        <v>0.99640044994375698</v>
      </c>
      <c r="F165">
        <v>0.60002673333333334</v>
      </c>
      <c r="G165" s="1" t="str">
        <f t="shared" si="28"/>
        <v/>
      </c>
      <c r="H165" s="1" t="str">
        <f t="shared" si="29"/>
        <v/>
      </c>
      <c r="I165" s="1" t="str">
        <f t="shared" si="30"/>
        <v/>
      </c>
      <c r="J165" s="1">
        <f t="shared" si="31"/>
        <v>0.99640044994375698</v>
      </c>
      <c r="K165" s="1" t="str">
        <f t="shared" si="32"/>
        <v/>
      </c>
      <c r="L165" s="1" t="str">
        <f t="shared" si="33"/>
        <v/>
      </c>
    </row>
    <row r="166" spans="1:12">
      <c r="A166" t="s">
        <v>56</v>
      </c>
      <c r="B166">
        <v>11</v>
      </c>
      <c r="C166" t="str">
        <f t="shared" si="27"/>
        <v>test.Class11_11_</v>
      </c>
      <c r="D166">
        <v>2</v>
      </c>
      <c r="E166">
        <v>0.99640044994375698</v>
      </c>
      <c r="F166">
        <v>0.60003339999999994</v>
      </c>
      <c r="G166" s="1" t="str">
        <f t="shared" si="28"/>
        <v/>
      </c>
      <c r="H166" s="1" t="str">
        <f t="shared" si="29"/>
        <v/>
      </c>
      <c r="I166" s="1" t="str">
        <f t="shared" si="30"/>
        <v/>
      </c>
      <c r="J166" s="1">
        <f t="shared" si="31"/>
        <v>0.99640044994375698</v>
      </c>
      <c r="K166" s="1" t="str">
        <f t="shared" si="32"/>
        <v/>
      </c>
      <c r="L166" s="1" t="str">
        <f t="shared" si="33"/>
        <v/>
      </c>
    </row>
    <row r="167" spans="1:12">
      <c r="A167" t="s">
        <v>56</v>
      </c>
      <c r="B167">
        <v>11</v>
      </c>
      <c r="C167" t="str">
        <f t="shared" si="27"/>
        <v>test.Class11_11_</v>
      </c>
      <c r="D167">
        <v>1</v>
      </c>
      <c r="E167">
        <v>0.99640044994375698</v>
      </c>
      <c r="F167">
        <v>0.60004006666666665</v>
      </c>
      <c r="G167" s="1" t="str">
        <f t="shared" si="28"/>
        <v/>
      </c>
      <c r="H167" s="1" t="str">
        <f t="shared" si="29"/>
        <v/>
      </c>
      <c r="I167" s="1" t="str">
        <f t="shared" si="30"/>
        <v/>
      </c>
      <c r="J167" s="1">
        <f t="shared" si="31"/>
        <v>0.99640044994375698</v>
      </c>
      <c r="K167" s="1" t="str">
        <f t="shared" si="32"/>
        <v/>
      </c>
      <c r="L167" s="1" t="str">
        <f t="shared" si="33"/>
        <v/>
      </c>
    </row>
    <row r="168" spans="1:12">
      <c r="A168" t="s">
        <v>56</v>
      </c>
      <c r="B168">
        <v>11</v>
      </c>
      <c r="C168" t="str">
        <f t="shared" si="27"/>
        <v>test.Class11_11_</v>
      </c>
      <c r="D168">
        <v>2</v>
      </c>
      <c r="E168">
        <v>1</v>
      </c>
      <c r="F168">
        <v>1</v>
      </c>
      <c r="G168" s="1" t="str">
        <f t="shared" si="28"/>
        <v/>
      </c>
      <c r="H168" s="1" t="str">
        <f t="shared" si="29"/>
        <v/>
      </c>
      <c r="I168" s="1" t="str">
        <f t="shared" si="30"/>
        <v/>
      </c>
      <c r="J168" s="1" t="str">
        <f t="shared" si="31"/>
        <v/>
      </c>
      <c r="K168" s="1">
        <f t="shared" si="32"/>
        <v>1</v>
      </c>
      <c r="L168" s="1" t="str">
        <f t="shared" si="33"/>
        <v/>
      </c>
    </row>
    <row r="169" spans="1:12">
      <c r="A169" t="s">
        <v>56</v>
      </c>
      <c r="B169">
        <v>12</v>
      </c>
      <c r="C169" t="str">
        <f t="shared" si="27"/>
        <v>test.Class11_12_</v>
      </c>
      <c r="D169">
        <v>3</v>
      </c>
      <c r="E169">
        <v>3.1705227077977724E-2</v>
      </c>
      <c r="F169">
        <v>0.2</v>
      </c>
      <c r="G169" s="1">
        <f t="shared" si="28"/>
        <v>3.1705227077977724E-2</v>
      </c>
      <c r="H169" s="1" t="str">
        <f t="shared" si="29"/>
        <v/>
      </c>
      <c r="I169" s="1" t="str">
        <f t="shared" si="30"/>
        <v/>
      </c>
      <c r="J169" s="1" t="str">
        <f t="shared" si="31"/>
        <v/>
      </c>
      <c r="K169" s="1" t="str">
        <f t="shared" si="32"/>
        <v/>
      </c>
      <c r="L169" s="1" t="str">
        <f t="shared" si="33"/>
        <v/>
      </c>
    </row>
    <row r="170" spans="1:12">
      <c r="A170" t="s">
        <v>56</v>
      </c>
      <c r="B170">
        <v>12</v>
      </c>
      <c r="C170" t="str">
        <f t="shared" si="27"/>
        <v>test.Class11_12_</v>
      </c>
      <c r="D170">
        <v>4</v>
      </c>
      <c r="E170">
        <v>0.36889460154241643</v>
      </c>
      <c r="F170">
        <v>0.5</v>
      </c>
      <c r="G170" s="1" t="str">
        <f t="shared" si="28"/>
        <v/>
      </c>
      <c r="H170" s="1" t="str">
        <f t="shared" si="29"/>
        <v/>
      </c>
      <c r="I170" s="1">
        <f t="shared" si="30"/>
        <v>0.36889460154241643</v>
      </c>
      <c r="J170" s="1" t="str">
        <f t="shared" si="31"/>
        <v/>
      </c>
      <c r="K170" s="1" t="str">
        <f t="shared" si="32"/>
        <v/>
      </c>
      <c r="L170" s="1" t="str">
        <f t="shared" si="33"/>
        <v/>
      </c>
    </row>
    <row r="171" spans="1:12">
      <c r="A171" t="s">
        <v>56</v>
      </c>
      <c r="B171">
        <v>12</v>
      </c>
      <c r="C171" t="str">
        <f t="shared" si="27"/>
        <v>test.Class11_12_</v>
      </c>
      <c r="D171">
        <v>5</v>
      </c>
      <c r="E171">
        <v>0.38174807197943444</v>
      </c>
      <c r="F171">
        <v>0.50000999999999995</v>
      </c>
      <c r="G171" s="1" t="str">
        <f t="shared" si="28"/>
        <v/>
      </c>
      <c r="H171" s="1" t="str">
        <f t="shared" si="29"/>
        <v/>
      </c>
      <c r="I171" s="1">
        <f t="shared" si="30"/>
        <v>0.38174807197943444</v>
      </c>
      <c r="J171" s="1" t="str">
        <f t="shared" si="31"/>
        <v/>
      </c>
      <c r="K171" s="1" t="str">
        <f t="shared" si="32"/>
        <v/>
      </c>
      <c r="L171" s="1" t="str">
        <f t="shared" si="33"/>
        <v/>
      </c>
    </row>
    <row r="172" spans="1:12">
      <c r="A172" t="s">
        <v>56</v>
      </c>
      <c r="B172">
        <v>12</v>
      </c>
      <c r="C172" t="str">
        <f t="shared" si="27"/>
        <v>test.Class11_12_</v>
      </c>
      <c r="D172">
        <v>6</v>
      </c>
      <c r="E172">
        <v>0.44001713796058267</v>
      </c>
      <c r="F172">
        <v>0.50002003000000006</v>
      </c>
      <c r="G172" s="1" t="str">
        <f t="shared" si="28"/>
        <v/>
      </c>
      <c r="H172" s="1" t="str">
        <f t="shared" si="29"/>
        <v/>
      </c>
      <c r="I172" s="1">
        <f t="shared" si="30"/>
        <v>0.44001713796058267</v>
      </c>
      <c r="J172" s="1" t="str">
        <f t="shared" si="31"/>
        <v/>
      </c>
      <c r="K172" s="1" t="str">
        <f t="shared" si="32"/>
        <v/>
      </c>
      <c r="L172" s="1" t="str">
        <f t="shared" si="33"/>
        <v/>
      </c>
    </row>
    <row r="173" spans="1:12">
      <c r="A173" t="s">
        <v>56</v>
      </c>
      <c r="B173">
        <v>12</v>
      </c>
      <c r="C173" t="str">
        <f t="shared" si="27"/>
        <v>test.Class11_12_</v>
      </c>
      <c r="D173">
        <v>7</v>
      </c>
      <c r="E173">
        <v>0.44001713796058267</v>
      </c>
      <c r="F173">
        <v>0.6</v>
      </c>
      <c r="G173" s="1" t="str">
        <f t="shared" si="28"/>
        <v/>
      </c>
      <c r="H173" s="1" t="str">
        <f t="shared" si="29"/>
        <v/>
      </c>
      <c r="I173" s="1">
        <f t="shared" si="30"/>
        <v>0.44001713796058267</v>
      </c>
      <c r="J173" s="1" t="str">
        <f t="shared" si="31"/>
        <v/>
      </c>
      <c r="K173" s="1" t="str">
        <f t="shared" si="32"/>
        <v/>
      </c>
      <c r="L173" s="1" t="str">
        <f t="shared" si="33"/>
        <v/>
      </c>
    </row>
    <row r="174" spans="1:12">
      <c r="A174" t="s">
        <v>56</v>
      </c>
      <c r="B174">
        <v>12</v>
      </c>
      <c r="C174" t="str">
        <f t="shared" si="27"/>
        <v>test.Class11_12_</v>
      </c>
      <c r="D174">
        <v>8</v>
      </c>
      <c r="E174">
        <v>0.4473007712082262</v>
      </c>
      <c r="F174">
        <v>0.60000999999999993</v>
      </c>
      <c r="G174" s="1" t="str">
        <f t="shared" si="28"/>
        <v/>
      </c>
      <c r="H174" s="1" t="str">
        <f t="shared" si="29"/>
        <v/>
      </c>
      <c r="I174" s="1" t="str">
        <f t="shared" si="30"/>
        <v/>
      </c>
      <c r="J174" s="1">
        <f t="shared" si="31"/>
        <v>0.4473007712082262</v>
      </c>
      <c r="K174" s="1" t="str">
        <f t="shared" si="32"/>
        <v/>
      </c>
      <c r="L174" s="1" t="str">
        <f t="shared" si="33"/>
        <v/>
      </c>
    </row>
    <row r="175" spans="1:12">
      <c r="A175" t="s">
        <v>56</v>
      </c>
      <c r="B175">
        <v>12</v>
      </c>
      <c r="C175" t="str">
        <f t="shared" si="27"/>
        <v>test.Class11_12_</v>
      </c>
      <c r="D175">
        <v>9</v>
      </c>
      <c r="E175">
        <v>0.4473007712082262</v>
      </c>
      <c r="F175">
        <v>0.60002003000000004</v>
      </c>
      <c r="G175" s="1" t="str">
        <f t="shared" si="28"/>
        <v/>
      </c>
      <c r="H175" s="1" t="str">
        <f t="shared" si="29"/>
        <v/>
      </c>
      <c r="I175" s="1" t="str">
        <f t="shared" si="30"/>
        <v/>
      </c>
      <c r="J175" s="1">
        <f t="shared" si="31"/>
        <v>0.4473007712082262</v>
      </c>
      <c r="K175" s="1" t="str">
        <f t="shared" si="32"/>
        <v/>
      </c>
      <c r="L175" s="1" t="str">
        <f t="shared" si="33"/>
        <v/>
      </c>
    </row>
    <row r="176" spans="1:12">
      <c r="A176" t="s">
        <v>56</v>
      </c>
      <c r="B176">
        <v>12</v>
      </c>
      <c r="C176" t="str">
        <f t="shared" si="27"/>
        <v>test.Class11_12_</v>
      </c>
      <c r="D176">
        <v>10</v>
      </c>
      <c r="E176">
        <v>0.4473007712082262</v>
      </c>
      <c r="F176">
        <v>0.60003004000000004</v>
      </c>
      <c r="G176" s="1" t="str">
        <f t="shared" si="28"/>
        <v/>
      </c>
      <c r="H176" s="1" t="str">
        <f t="shared" si="29"/>
        <v/>
      </c>
      <c r="I176" s="1" t="str">
        <f t="shared" si="30"/>
        <v/>
      </c>
      <c r="J176" s="1">
        <f t="shared" si="31"/>
        <v>0.4473007712082262</v>
      </c>
      <c r="K176" s="1" t="str">
        <f t="shared" si="32"/>
        <v/>
      </c>
      <c r="L176" s="1" t="str">
        <f t="shared" si="33"/>
        <v/>
      </c>
    </row>
    <row r="177" spans="1:12">
      <c r="A177" t="s">
        <v>56</v>
      </c>
      <c r="B177">
        <v>12</v>
      </c>
      <c r="C177" t="str">
        <f t="shared" si="27"/>
        <v>test.Class11_12_</v>
      </c>
      <c r="D177">
        <v>11</v>
      </c>
      <c r="E177">
        <v>0.67823479005998288</v>
      </c>
      <c r="F177">
        <v>0.7</v>
      </c>
      <c r="G177" s="1" t="str">
        <f t="shared" si="28"/>
        <v/>
      </c>
      <c r="H177" s="1" t="str">
        <f t="shared" si="29"/>
        <v/>
      </c>
      <c r="I177" s="1" t="str">
        <f t="shared" si="30"/>
        <v/>
      </c>
      <c r="J177" s="1">
        <f t="shared" si="31"/>
        <v>0.67823479005998288</v>
      </c>
      <c r="K177" s="1" t="str">
        <f t="shared" si="32"/>
        <v/>
      </c>
      <c r="L177" s="1" t="str">
        <f t="shared" si="33"/>
        <v/>
      </c>
    </row>
    <row r="178" spans="1:12">
      <c r="A178" t="s">
        <v>56</v>
      </c>
      <c r="B178">
        <v>12</v>
      </c>
      <c r="C178" t="str">
        <f t="shared" si="27"/>
        <v>test.Class11_12_</v>
      </c>
      <c r="D178">
        <v>12</v>
      </c>
      <c r="E178">
        <v>0.67823479005998288</v>
      </c>
      <c r="F178">
        <v>0.70001000000000002</v>
      </c>
      <c r="G178" s="1" t="str">
        <f t="shared" si="28"/>
        <v/>
      </c>
      <c r="H178" s="1" t="str">
        <f t="shared" si="29"/>
        <v/>
      </c>
      <c r="I178" s="1" t="str">
        <f t="shared" si="30"/>
        <v/>
      </c>
      <c r="J178" s="1">
        <f t="shared" si="31"/>
        <v>0.67823479005998288</v>
      </c>
      <c r="K178" s="1" t="str">
        <f t="shared" si="32"/>
        <v/>
      </c>
      <c r="L178" s="1" t="str">
        <f t="shared" si="33"/>
        <v/>
      </c>
    </row>
    <row r="179" spans="1:12">
      <c r="A179" t="s">
        <v>56</v>
      </c>
      <c r="B179">
        <v>12</v>
      </c>
      <c r="C179" t="str">
        <f t="shared" si="27"/>
        <v>test.Class11_12_</v>
      </c>
      <c r="D179">
        <v>13</v>
      </c>
      <c r="E179">
        <v>1</v>
      </c>
      <c r="F179">
        <v>0.9</v>
      </c>
      <c r="G179" s="1" t="str">
        <f t="shared" si="28"/>
        <v/>
      </c>
      <c r="H179" s="1" t="str">
        <f t="shared" si="29"/>
        <v/>
      </c>
      <c r="I179" s="1" t="str">
        <f t="shared" si="30"/>
        <v/>
      </c>
      <c r="J179" s="1" t="str">
        <f t="shared" si="31"/>
        <v/>
      </c>
      <c r="K179" s="1">
        <f t="shared" si="32"/>
        <v>1</v>
      </c>
      <c r="L179" s="1" t="str">
        <f t="shared" si="33"/>
        <v/>
      </c>
    </row>
    <row r="180" spans="1:12">
      <c r="A180" t="s">
        <v>56</v>
      </c>
      <c r="B180">
        <v>12</v>
      </c>
      <c r="C180" t="str">
        <f t="shared" si="27"/>
        <v>test.Class11_12_</v>
      </c>
      <c r="D180">
        <v>14</v>
      </c>
      <c r="E180">
        <v>1</v>
      </c>
      <c r="F180">
        <v>1.1000000000000001</v>
      </c>
      <c r="G180" s="1" t="str">
        <f t="shared" si="28"/>
        <v/>
      </c>
      <c r="H180" s="1" t="str">
        <f t="shared" si="29"/>
        <v/>
      </c>
      <c r="I180" s="1" t="str">
        <f t="shared" si="30"/>
        <v/>
      </c>
      <c r="J180" s="1" t="str">
        <f t="shared" si="31"/>
        <v/>
      </c>
      <c r="K180" s="1">
        <f t="shared" si="32"/>
        <v>1</v>
      </c>
      <c r="L180" s="1" t="str">
        <f t="shared" si="33"/>
        <v/>
      </c>
    </row>
    <row r="181" spans="1:12">
      <c r="A181" t="s">
        <v>65</v>
      </c>
      <c r="B181">
        <v>1</v>
      </c>
      <c r="C181" t="str">
        <f t="shared" si="27"/>
        <v>test.client_1_</v>
      </c>
      <c r="D181">
        <v>15</v>
      </c>
      <c r="E181">
        <v>7.1806030463164444E-2</v>
      </c>
      <c r="F181">
        <v>0.26666666666666666</v>
      </c>
      <c r="G181" s="1" t="str">
        <f t="shared" si="28"/>
        <v/>
      </c>
      <c r="H181" s="1">
        <f t="shared" si="29"/>
        <v>7.1806030463164444E-2</v>
      </c>
      <c r="I181" s="1" t="str">
        <f t="shared" si="30"/>
        <v/>
      </c>
      <c r="J181" s="1" t="str">
        <f t="shared" si="31"/>
        <v/>
      </c>
      <c r="K181" s="1" t="str">
        <f t="shared" si="32"/>
        <v/>
      </c>
      <c r="L181" s="1" t="str">
        <f t="shared" si="33"/>
        <v/>
      </c>
    </row>
    <row r="182" spans="1:12">
      <c r="A182" t="s">
        <v>65</v>
      </c>
      <c r="B182">
        <v>1</v>
      </c>
      <c r="C182" t="str">
        <f t="shared" si="27"/>
        <v>test.client_1_</v>
      </c>
      <c r="D182">
        <v>16</v>
      </c>
      <c r="E182">
        <v>0.25147653092943734</v>
      </c>
      <c r="F182">
        <v>0.4</v>
      </c>
      <c r="G182" s="1" t="str">
        <f t="shared" si="28"/>
        <v/>
      </c>
      <c r="H182" s="1">
        <f t="shared" si="29"/>
        <v>0.25147653092943734</v>
      </c>
      <c r="I182" s="1" t="str">
        <f t="shared" si="30"/>
        <v/>
      </c>
      <c r="J182" s="1" t="str">
        <f t="shared" si="31"/>
        <v/>
      </c>
      <c r="K182" s="1" t="str">
        <f t="shared" si="32"/>
        <v/>
      </c>
      <c r="L182" s="1" t="str">
        <f t="shared" si="33"/>
        <v/>
      </c>
    </row>
    <row r="183" spans="1:12">
      <c r="A183" t="s">
        <v>65</v>
      </c>
      <c r="B183">
        <v>1</v>
      </c>
      <c r="C183" t="str">
        <f t="shared" si="27"/>
        <v>test.client_1_</v>
      </c>
      <c r="D183">
        <v>17</v>
      </c>
      <c r="E183">
        <v>0.25240907677960833</v>
      </c>
      <c r="F183">
        <v>0.53333333333333333</v>
      </c>
      <c r="G183" s="1" t="str">
        <f t="shared" si="28"/>
        <v/>
      </c>
      <c r="H183" s="1" t="str">
        <f t="shared" si="29"/>
        <v/>
      </c>
      <c r="I183" s="1">
        <f t="shared" si="30"/>
        <v>0.25240907677960833</v>
      </c>
      <c r="J183" s="1" t="str">
        <f t="shared" si="31"/>
        <v/>
      </c>
      <c r="K183" s="1" t="str">
        <f t="shared" si="32"/>
        <v/>
      </c>
      <c r="L183" s="1" t="str">
        <f t="shared" si="33"/>
        <v/>
      </c>
    </row>
    <row r="184" spans="1:12">
      <c r="A184" t="s">
        <v>65</v>
      </c>
      <c r="B184">
        <v>1</v>
      </c>
      <c r="C184" t="str">
        <f t="shared" si="27"/>
        <v>test.client_1_</v>
      </c>
      <c r="D184">
        <v>18</v>
      </c>
      <c r="E184">
        <v>0.94560149207336031</v>
      </c>
      <c r="F184">
        <v>0.73333333333333328</v>
      </c>
      <c r="G184" s="1" t="str">
        <f t="shared" si="28"/>
        <v/>
      </c>
      <c r="H184" s="1" t="str">
        <f t="shared" si="29"/>
        <v/>
      </c>
      <c r="I184" s="1" t="str">
        <f t="shared" si="30"/>
        <v/>
      </c>
      <c r="J184" s="1">
        <f t="shared" si="31"/>
        <v>0.94560149207336031</v>
      </c>
      <c r="K184" s="1" t="str">
        <f t="shared" si="32"/>
        <v/>
      </c>
      <c r="L184" s="1" t="str">
        <f t="shared" si="33"/>
        <v/>
      </c>
    </row>
    <row r="185" spans="1:12">
      <c r="A185" t="s">
        <v>65</v>
      </c>
      <c r="B185">
        <v>1</v>
      </c>
      <c r="C185" t="str">
        <f t="shared" si="27"/>
        <v>test.client_1_</v>
      </c>
      <c r="D185">
        <v>19</v>
      </c>
      <c r="E185">
        <v>1</v>
      </c>
      <c r="F185">
        <v>0.8</v>
      </c>
      <c r="G185" s="1" t="str">
        <f t="shared" si="28"/>
        <v/>
      </c>
      <c r="H185" s="1" t="str">
        <f t="shared" si="29"/>
        <v/>
      </c>
      <c r="I185" s="1" t="str">
        <f t="shared" si="30"/>
        <v/>
      </c>
      <c r="J185" s="1">
        <f t="shared" si="31"/>
        <v>1</v>
      </c>
      <c r="K185" s="1" t="str">
        <f t="shared" si="32"/>
        <v/>
      </c>
      <c r="L185" s="1" t="str">
        <f t="shared" si="33"/>
        <v/>
      </c>
    </row>
    <row r="186" spans="1:12">
      <c r="A186" t="s">
        <v>65</v>
      </c>
      <c r="B186">
        <v>1</v>
      </c>
      <c r="C186" t="str">
        <f t="shared" si="27"/>
        <v>test.client_1_</v>
      </c>
      <c r="D186">
        <v>20</v>
      </c>
      <c r="E186">
        <v>1</v>
      </c>
      <c r="F186">
        <v>0.80000666666666664</v>
      </c>
      <c r="G186" s="1" t="str">
        <f t="shared" si="28"/>
        <v/>
      </c>
      <c r="H186" s="1" t="str">
        <f t="shared" si="29"/>
        <v/>
      </c>
      <c r="I186" s="1" t="str">
        <f t="shared" si="30"/>
        <v/>
      </c>
      <c r="J186" s="1" t="str">
        <f t="shared" si="31"/>
        <v/>
      </c>
      <c r="K186" s="1">
        <f t="shared" si="32"/>
        <v>1</v>
      </c>
      <c r="L186" s="1" t="str">
        <f t="shared" si="33"/>
        <v/>
      </c>
    </row>
    <row r="187" spans="1:12">
      <c r="A187" t="s">
        <v>65</v>
      </c>
      <c r="B187">
        <v>1</v>
      </c>
      <c r="C187" t="str">
        <f t="shared" si="27"/>
        <v>test.client_1_</v>
      </c>
      <c r="D187">
        <v>21</v>
      </c>
      <c r="E187">
        <v>1</v>
      </c>
      <c r="F187">
        <v>0.80001333333333335</v>
      </c>
      <c r="G187" s="1" t="str">
        <f t="shared" si="28"/>
        <v/>
      </c>
      <c r="H187" s="1" t="str">
        <f t="shared" si="29"/>
        <v/>
      </c>
      <c r="I187" s="1" t="str">
        <f t="shared" si="30"/>
        <v/>
      </c>
      <c r="J187" s="1" t="str">
        <f t="shared" si="31"/>
        <v/>
      </c>
      <c r="K187" s="1">
        <f t="shared" si="32"/>
        <v>1</v>
      </c>
      <c r="L187" s="1" t="str">
        <f t="shared" si="33"/>
        <v/>
      </c>
    </row>
    <row r="188" spans="1:12">
      <c r="A188" t="s">
        <v>65</v>
      </c>
      <c r="B188">
        <v>3</v>
      </c>
      <c r="C188" t="str">
        <f t="shared" si="27"/>
        <v>test.client_3_</v>
      </c>
      <c r="D188">
        <v>22</v>
      </c>
      <c r="E188">
        <v>0.89374382318588841</v>
      </c>
      <c r="F188">
        <v>0.80122950819672134</v>
      </c>
      <c r="G188" s="1" t="str">
        <f t="shared" si="28"/>
        <v/>
      </c>
      <c r="H188" s="1" t="str">
        <f t="shared" si="29"/>
        <v/>
      </c>
      <c r="I188" s="1" t="str">
        <f t="shared" si="30"/>
        <v/>
      </c>
      <c r="J188" s="1" t="str">
        <f t="shared" si="31"/>
        <v/>
      </c>
      <c r="K188" s="1">
        <f t="shared" si="32"/>
        <v>0.89374382318588841</v>
      </c>
      <c r="L188" s="1" t="str">
        <f t="shared" si="33"/>
        <v/>
      </c>
    </row>
    <row r="189" spans="1:12">
      <c r="A189" t="s">
        <v>65</v>
      </c>
      <c r="B189">
        <v>3</v>
      </c>
      <c r="C189" t="str">
        <f t="shared" si="27"/>
        <v>test.client_3_</v>
      </c>
      <c r="D189">
        <v>23</v>
      </c>
      <c r="E189">
        <v>0.99699020694199036</v>
      </c>
      <c r="F189">
        <v>0.85655737704918034</v>
      </c>
      <c r="G189" s="1" t="str">
        <f t="shared" si="28"/>
        <v/>
      </c>
      <c r="H189" s="1" t="str">
        <f t="shared" si="29"/>
        <v/>
      </c>
      <c r="I189" s="1" t="str">
        <f t="shared" si="30"/>
        <v/>
      </c>
      <c r="J189" s="1" t="str">
        <f t="shared" si="31"/>
        <v/>
      </c>
      <c r="K189" s="1">
        <f t="shared" si="32"/>
        <v>0.99699020694199036</v>
      </c>
      <c r="L189" s="1" t="str">
        <f t="shared" si="33"/>
        <v/>
      </c>
    </row>
    <row r="190" spans="1:12">
      <c r="A190" t="s">
        <v>65</v>
      </c>
      <c r="B190">
        <v>3</v>
      </c>
      <c r="C190" t="str">
        <f t="shared" si="27"/>
        <v>test.client_3_</v>
      </c>
      <c r="D190">
        <v>24</v>
      </c>
      <c r="E190">
        <v>1</v>
      </c>
      <c r="F190">
        <v>0.86065573770491799</v>
      </c>
      <c r="G190" s="1" t="str">
        <f t="shared" si="28"/>
        <v/>
      </c>
      <c r="H190" s="1" t="str">
        <f t="shared" si="29"/>
        <v/>
      </c>
      <c r="I190" s="1" t="str">
        <f t="shared" si="30"/>
        <v/>
      </c>
      <c r="J190" s="1" t="str">
        <f t="shared" si="31"/>
        <v/>
      </c>
      <c r="K190" s="1">
        <f t="shared" si="32"/>
        <v>1</v>
      </c>
      <c r="L190" s="1" t="str">
        <f t="shared" si="33"/>
        <v/>
      </c>
    </row>
    <row r="191" spans="1:12">
      <c r="A191" t="s">
        <v>65</v>
      </c>
      <c r="B191">
        <v>4</v>
      </c>
      <c r="C191" t="str">
        <f t="shared" si="27"/>
        <v>test.client_4_</v>
      </c>
      <c r="D191">
        <v>25</v>
      </c>
      <c r="E191">
        <v>0.69755178907721282</v>
      </c>
      <c r="F191">
        <v>0.73913043478260865</v>
      </c>
      <c r="G191" s="1" t="str">
        <f t="shared" si="28"/>
        <v/>
      </c>
      <c r="H191" s="1" t="str">
        <f t="shared" si="29"/>
        <v/>
      </c>
      <c r="I191" s="1" t="str">
        <f t="shared" si="30"/>
        <v/>
      </c>
      <c r="J191" s="1">
        <f t="shared" si="31"/>
        <v>0.69755178907721282</v>
      </c>
      <c r="K191" s="1" t="str">
        <f t="shared" si="32"/>
        <v/>
      </c>
      <c r="L191" s="1" t="str">
        <f t="shared" si="33"/>
        <v/>
      </c>
    </row>
    <row r="192" spans="1:12">
      <c r="A192" t="s">
        <v>65</v>
      </c>
      <c r="B192">
        <v>4</v>
      </c>
      <c r="C192" t="str">
        <f t="shared" si="27"/>
        <v>test.client_4_</v>
      </c>
      <c r="D192">
        <v>26</v>
      </c>
      <c r="E192">
        <v>0.76949152542372878</v>
      </c>
      <c r="F192">
        <v>0.78260869565217395</v>
      </c>
      <c r="G192" s="1" t="str">
        <f t="shared" si="28"/>
        <v/>
      </c>
      <c r="H192" s="1" t="str">
        <f t="shared" si="29"/>
        <v/>
      </c>
      <c r="I192" s="1" t="str">
        <f t="shared" si="30"/>
        <v/>
      </c>
      <c r="J192" s="1">
        <f t="shared" si="31"/>
        <v>0.76949152542372878</v>
      </c>
      <c r="K192" s="1" t="str">
        <f t="shared" si="32"/>
        <v/>
      </c>
      <c r="L192" s="1" t="str">
        <f t="shared" si="33"/>
        <v/>
      </c>
    </row>
    <row r="193" spans="1:12">
      <c r="A193" t="s">
        <v>65</v>
      </c>
      <c r="B193">
        <v>4</v>
      </c>
      <c r="C193" t="str">
        <f t="shared" si="27"/>
        <v>test.client_4_</v>
      </c>
      <c r="D193">
        <v>27</v>
      </c>
      <c r="E193">
        <v>0.83954802259887007</v>
      </c>
      <c r="F193">
        <v>0.82608695652173914</v>
      </c>
      <c r="G193" s="1" t="str">
        <f t="shared" si="28"/>
        <v/>
      </c>
      <c r="H193" s="1" t="str">
        <f t="shared" si="29"/>
        <v/>
      </c>
      <c r="I193" s="1" t="str">
        <f t="shared" si="30"/>
        <v/>
      </c>
      <c r="J193" s="1" t="str">
        <f t="shared" si="31"/>
        <v/>
      </c>
      <c r="K193" s="1">
        <f t="shared" si="32"/>
        <v>0.83954802259887007</v>
      </c>
      <c r="L193" s="1" t="str">
        <f t="shared" si="33"/>
        <v/>
      </c>
    </row>
    <row r="194" spans="1:12">
      <c r="A194" t="s">
        <v>65</v>
      </c>
      <c r="B194">
        <v>4</v>
      </c>
      <c r="C194" t="str">
        <f t="shared" si="27"/>
        <v>test.client_4_</v>
      </c>
      <c r="D194">
        <v>28</v>
      </c>
      <c r="E194">
        <v>0.90960451977401124</v>
      </c>
      <c r="F194">
        <v>0.82609130434782607</v>
      </c>
      <c r="G194" s="1" t="str">
        <f t="shared" si="28"/>
        <v/>
      </c>
      <c r="H194" s="1" t="str">
        <f t="shared" si="29"/>
        <v/>
      </c>
      <c r="I194" s="1" t="str">
        <f t="shared" si="30"/>
        <v/>
      </c>
      <c r="J194" s="1" t="str">
        <f t="shared" si="31"/>
        <v/>
      </c>
      <c r="K194" s="1">
        <f t="shared" si="32"/>
        <v>0.90960451977401124</v>
      </c>
      <c r="L194" s="1" t="str">
        <f t="shared" si="33"/>
        <v/>
      </c>
    </row>
    <row r="195" spans="1:12">
      <c r="A195" t="s">
        <v>65</v>
      </c>
      <c r="B195">
        <v>4</v>
      </c>
      <c r="C195" t="str">
        <f t="shared" ref="C195:C258" si="34">CONCATENATE(A195, "_",B195,"_")</f>
        <v>test.client_4_</v>
      </c>
      <c r="D195">
        <v>29</v>
      </c>
      <c r="E195">
        <v>0.91355932203389834</v>
      </c>
      <c r="F195">
        <v>0.82609556521739136</v>
      </c>
      <c r="G195" s="1" t="str">
        <f t="shared" ref="G195:G258" si="35">IF($F195 &lt;= 0.2,$E195,"")</f>
        <v/>
      </c>
      <c r="H195" s="1" t="str">
        <f t="shared" ref="H195:H258" si="36">IF(AND($F195 &gt; 0.2,$F195 &lt;= 0.4),$E195,"")</f>
        <v/>
      </c>
      <c r="I195" s="1" t="str">
        <f t="shared" ref="I195:I258" si="37">IF(AND($F195 &gt; 0.4,$F195 &lt;= 0.6),$E195,"")</f>
        <v/>
      </c>
      <c r="J195" s="1" t="str">
        <f t="shared" ref="J195:J258" si="38">IF(AND($F195 &gt; 0.6,$F195 &lt;= 0.8),$E195,"")</f>
        <v/>
      </c>
      <c r="K195" s="1">
        <f t="shared" ref="K195:K258" si="39">IF(AND($F195 &gt; 0.8, $F195 &lt;=1.1),$E195,"")</f>
        <v>0.91355932203389834</v>
      </c>
      <c r="L195" s="1" t="str">
        <f t="shared" ref="L195:L258" si="40">IF(AND($F195 &gt; 1.1),$E195,"")</f>
        <v/>
      </c>
    </row>
    <row r="196" spans="1:12">
      <c r="A196" t="s">
        <v>65</v>
      </c>
      <c r="B196">
        <v>4</v>
      </c>
      <c r="C196" t="str">
        <f t="shared" si="34"/>
        <v>test.client_4_</v>
      </c>
      <c r="D196">
        <v>30</v>
      </c>
      <c r="E196">
        <v>0.92033898305084749</v>
      </c>
      <c r="F196">
        <v>0.8260999130434783</v>
      </c>
      <c r="G196" s="1" t="str">
        <f t="shared" si="35"/>
        <v/>
      </c>
      <c r="H196" s="1" t="str">
        <f t="shared" si="36"/>
        <v/>
      </c>
      <c r="I196" s="1" t="str">
        <f t="shared" si="37"/>
        <v/>
      </c>
      <c r="J196" s="1" t="str">
        <f t="shared" si="38"/>
        <v/>
      </c>
      <c r="K196" s="1">
        <f t="shared" si="39"/>
        <v>0.92033898305084749</v>
      </c>
      <c r="L196" s="1" t="str">
        <f t="shared" si="40"/>
        <v/>
      </c>
    </row>
    <row r="197" spans="1:12">
      <c r="A197" t="s">
        <v>65</v>
      </c>
      <c r="B197">
        <v>4</v>
      </c>
      <c r="C197" t="str">
        <f t="shared" si="34"/>
        <v>test.client_4_</v>
      </c>
      <c r="D197">
        <v>31</v>
      </c>
      <c r="E197">
        <v>0.92033898305084749</v>
      </c>
      <c r="F197">
        <v>0.82610421739130435</v>
      </c>
      <c r="G197" s="1" t="str">
        <f t="shared" si="35"/>
        <v/>
      </c>
      <c r="H197" s="1" t="str">
        <f t="shared" si="36"/>
        <v/>
      </c>
      <c r="I197" s="1" t="str">
        <f t="shared" si="37"/>
        <v/>
      </c>
      <c r="J197" s="1" t="str">
        <f t="shared" si="38"/>
        <v/>
      </c>
      <c r="K197" s="1">
        <f t="shared" si="39"/>
        <v>0.92033898305084749</v>
      </c>
      <c r="L197" s="1" t="str">
        <f t="shared" si="40"/>
        <v/>
      </c>
    </row>
    <row r="198" spans="1:12">
      <c r="A198" t="s">
        <v>65</v>
      </c>
      <c r="B198">
        <v>4</v>
      </c>
      <c r="C198" t="str">
        <f t="shared" si="34"/>
        <v>test.client_4_</v>
      </c>
      <c r="D198">
        <v>32</v>
      </c>
      <c r="E198">
        <v>0.98870056497175141</v>
      </c>
      <c r="F198">
        <v>0.82610852173913041</v>
      </c>
      <c r="G198" s="1" t="str">
        <f t="shared" si="35"/>
        <v/>
      </c>
      <c r="H198" s="1" t="str">
        <f t="shared" si="36"/>
        <v/>
      </c>
      <c r="I198" s="1" t="str">
        <f t="shared" si="37"/>
        <v/>
      </c>
      <c r="J198" s="1" t="str">
        <f t="shared" si="38"/>
        <v/>
      </c>
      <c r="K198" s="1">
        <f t="shared" si="39"/>
        <v>0.98870056497175141</v>
      </c>
      <c r="L198" s="1" t="str">
        <f t="shared" si="40"/>
        <v/>
      </c>
    </row>
    <row r="199" spans="1:12">
      <c r="A199" t="s">
        <v>65</v>
      </c>
      <c r="B199">
        <v>4</v>
      </c>
      <c r="C199" t="str">
        <f t="shared" si="34"/>
        <v>test.client_4_</v>
      </c>
      <c r="D199">
        <v>1</v>
      </c>
      <c r="E199">
        <v>0.99661016949152548</v>
      </c>
      <c r="F199">
        <v>0.86956521739130432</v>
      </c>
      <c r="G199" s="1" t="str">
        <f t="shared" si="35"/>
        <v/>
      </c>
      <c r="H199" s="1" t="str">
        <f t="shared" si="36"/>
        <v/>
      </c>
      <c r="I199" s="1" t="str">
        <f t="shared" si="37"/>
        <v/>
      </c>
      <c r="J199" s="1" t="str">
        <f t="shared" si="38"/>
        <v/>
      </c>
      <c r="K199" s="1">
        <f t="shared" si="39"/>
        <v>0.99661016949152548</v>
      </c>
      <c r="L199" s="1" t="str">
        <f t="shared" si="40"/>
        <v/>
      </c>
    </row>
    <row r="200" spans="1:12">
      <c r="A200" t="s">
        <v>65</v>
      </c>
      <c r="B200">
        <v>4</v>
      </c>
      <c r="C200" t="str">
        <f t="shared" si="34"/>
        <v>test.client_4_</v>
      </c>
      <c r="D200">
        <v>2</v>
      </c>
      <c r="E200">
        <v>1</v>
      </c>
      <c r="F200">
        <v>0.86956956521739126</v>
      </c>
      <c r="G200" s="1" t="str">
        <f t="shared" si="35"/>
        <v/>
      </c>
      <c r="H200" s="1" t="str">
        <f t="shared" si="36"/>
        <v/>
      </c>
      <c r="I200" s="1" t="str">
        <f t="shared" si="37"/>
        <v/>
      </c>
      <c r="J200" s="1" t="str">
        <f t="shared" si="38"/>
        <v/>
      </c>
      <c r="K200" s="1">
        <f t="shared" si="39"/>
        <v>1</v>
      </c>
      <c r="L200" s="1" t="str">
        <f t="shared" si="40"/>
        <v/>
      </c>
    </row>
    <row r="201" spans="1:12">
      <c r="A201" t="s">
        <v>65</v>
      </c>
      <c r="B201">
        <v>4</v>
      </c>
      <c r="C201" t="str">
        <f t="shared" si="34"/>
        <v>test.client_4_</v>
      </c>
      <c r="D201">
        <v>3</v>
      </c>
      <c r="E201">
        <v>1</v>
      </c>
      <c r="F201">
        <v>0.86957382608695655</v>
      </c>
      <c r="G201" s="1" t="str">
        <f t="shared" si="35"/>
        <v/>
      </c>
      <c r="H201" s="1" t="str">
        <f t="shared" si="36"/>
        <v/>
      </c>
      <c r="I201" s="1" t="str">
        <f t="shared" si="37"/>
        <v/>
      </c>
      <c r="J201" s="1" t="str">
        <f t="shared" si="38"/>
        <v/>
      </c>
      <c r="K201" s="1">
        <f t="shared" si="39"/>
        <v>1</v>
      </c>
      <c r="L201" s="1" t="str">
        <f t="shared" si="40"/>
        <v/>
      </c>
    </row>
    <row r="202" spans="1:12">
      <c r="A202" t="s">
        <v>65</v>
      </c>
      <c r="B202">
        <v>4</v>
      </c>
      <c r="C202" t="str">
        <f t="shared" si="34"/>
        <v>test.client_4_</v>
      </c>
      <c r="D202">
        <v>4</v>
      </c>
      <c r="E202">
        <v>1</v>
      </c>
      <c r="F202">
        <v>0.86957817391304348</v>
      </c>
      <c r="G202" s="1" t="str">
        <f t="shared" si="35"/>
        <v/>
      </c>
      <c r="H202" s="1" t="str">
        <f t="shared" si="36"/>
        <v/>
      </c>
      <c r="I202" s="1" t="str">
        <f t="shared" si="37"/>
        <v/>
      </c>
      <c r="J202" s="1" t="str">
        <f t="shared" si="38"/>
        <v/>
      </c>
      <c r="K202" s="1">
        <f t="shared" si="39"/>
        <v>1</v>
      </c>
      <c r="L202" s="1" t="str">
        <f t="shared" si="40"/>
        <v/>
      </c>
    </row>
    <row r="203" spans="1:12">
      <c r="A203" t="s">
        <v>65</v>
      </c>
      <c r="B203">
        <v>4</v>
      </c>
      <c r="C203" t="str">
        <f t="shared" si="34"/>
        <v>test.client_4_</v>
      </c>
      <c r="D203">
        <v>5</v>
      </c>
      <c r="E203">
        <v>1</v>
      </c>
      <c r="F203">
        <v>0.86958247826086954</v>
      </c>
      <c r="G203" s="1" t="str">
        <f t="shared" si="35"/>
        <v/>
      </c>
      <c r="H203" s="1" t="str">
        <f t="shared" si="36"/>
        <v/>
      </c>
      <c r="I203" s="1" t="str">
        <f t="shared" si="37"/>
        <v/>
      </c>
      <c r="J203" s="1" t="str">
        <f t="shared" si="38"/>
        <v/>
      </c>
      <c r="K203" s="1">
        <f t="shared" si="39"/>
        <v>1</v>
      </c>
      <c r="L203" s="1" t="str">
        <f t="shared" si="40"/>
        <v/>
      </c>
    </row>
    <row r="204" spans="1:12">
      <c r="A204" t="s">
        <v>65</v>
      </c>
      <c r="B204">
        <v>4</v>
      </c>
      <c r="C204" t="str">
        <f t="shared" si="34"/>
        <v>test.client_4_</v>
      </c>
      <c r="D204">
        <v>6</v>
      </c>
      <c r="E204">
        <v>1</v>
      </c>
      <c r="F204">
        <v>0.91304347826086951</v>
      </c>
      <c r="G204" s="1" t="str">
        <f t="shared" si="35"/>
        <v/>
      </c>
      <c r="H204" s="1" t="str">
        <f t="shared" si="36"/>
        <v/>
      </c>
      <c r="I204" s="1" t="str">
        <f t="shared" si="37"/>
        <v/>
      </c>
      <c r="J204" s="1" t="str">
        <f t="shared" si="38"/>
        <v/>
      </c>
      <c r="K204" s="1">
        <f t="shared" si="39"/>
        <v>1</v>
      </c>
      <c r="L204" s="1" t="str">
        <f t="shared" si="40"/>
        <v/>
      </c>
    </row>
    <row r="205" spans="1:12">
      <c r="A205" t="s">
        <v>65</v>
      </c>
      <c r="B205">
        <v>4</v>
      </c>
      <c r="C205" t="str">
        <f t="shared" si="34"/>
        <v>test.client_4_</v>
      </c>
      <c r="D205">
        <v>7</v>
      </c>
      <c r="E205">
        <v>1</v>
      </c>
      <c r="F205">
        <v>0.91304782608695656</v>
      </c>
      <c r="G205" s="1" t="str">
        <f t="shared" si="35"/>
        <v/>
      </c>
      <c r="H205" s="1" t="str">
        <f t="shared" si="36"/>
        <v/>
      </c>
      <c r="I205" s="1" t="str">
        <f t="shared" si="37"/>
        <v/>
      </c>
      <c r="J205" s="1" t="str">
        <f t="shared" si="38"/>
        <v/>
      </c>
      <c r="K205" s="1">
        <f t="shared" si="39"/>
        <v>1</v>
      </c>
      <c r="L205" s="1" t="str">
        <f t="shared" si="40"/>
        <v/>
      </c>
    </row>
    <row r="206" spans="1:12">
      <c r="A206" t="s">
        <v>65</v>
      </c>
      <c r="B206">
        <v>4</v>
      </c>
      <c r="C206" t="str">
        <f t="shared" si="34"/>
        <v>test.client_4_</v>
      </c>
      <c r="D206">
        <v>8</v>
      </c>
      <c r="E206">
        <v>1</v>
      </c>
      <c r="F206">
        <v>0.95652173913043481</v>
      </c>
      <c r="G206" s="1" t="str">
        <f t="shared" si="35"/>
        <v/>
      </c>
      <c r="H206" s="1" t="str">
        <f t="shared" si="36"/>
        <v/>
      </c>
      <c r="I206" s="1" t="str">
        <f t="shared" si="37"/>
        <v/>
      </c>
      <c r="J206" s="1" t="str">
        <f t="shared" si="38"/>
        <v/>
      </c>
      <c r="K206" s="1">
        <f t="shared" si="39"/>
        <v>1</v>
      </c>
      <c r="L206" s="1" t="str">
        <f t="shared" si="40"/>
        <v/>
      </c>
    </row>
    <row r="207" spans="1:12">
      <c r="A207" t="s">
        <v>65</v>
      </c>
      <c r="B207">
        <v>6</v>
      </c>
      <c r="C207" t="str">
        <f t="shared" si="34"/>
        <v>test.client_6_</v>
      </c>
      <c r="D207">
        <v>9</v>
      </c>
      <c r="E207">
        <v>0.6175569921742089</v>
      </c>
      <c r="F207">
        <v>0.61538461538461542</v>
      </c>
      <c r="G207" s="1" t="str">
        <f t="shared" si="35"/>
        <v/>
      </c>
      <c r="H207" s="1" t="str">
        <f t="shared" si="36"/>
        <v/>
      </c>
      <c r="I207" s="1" t="str">
        <f t="shared" si="37"/>
        <v/>
      </c>
      <c r="J207" s="1">
        <f t="shared" si="38"/>
        <v>0.6175569921742089</v>
      </c>
      <c r="K207" s="1" t="str">
        <f t="shared" si="39"/>
        <v/>
      </c>
      <c r="L207" s="1" t="str">
        <f t="shared" si="40"/>
        <v/>
      </c>
    </row>
    <row r="208" spans="1:12">
      <c r="A208" t="s">
        <v>65</v>
      </c>
      <c r="B208">
        <v>6</v>
      </c>
      <c r="C208" t="str">
        <f t="shared" si="34"/>
        <v>test.client_6_</v>
      </c>
      <c r="D208">
        <v>10</v>
      </c>
      <c r="E208">
        <v>1</v>
      </c>
      <c r="F208">
        <v>0.6153884615384615</v>
      </c>
      <c r="G208" s="1" t="str">
        <f t="shared" si="35"/>
        <v/>
      </c>
      <c r="H208" s="1" t="str">
        <f t="shared" si="36"/>
        <v/>
      </c>
      <c r="I208" s="1" t="str">
        <f t="shared" si="37"/>
        <v/>
      </c>
      <c r="J208" s="1">
        <f t="shared" si="38"/>
        <v>1</v>
      </c>
      <c r="K208" s="1" t="str">
        <f t="shared" si="39"/>
        <v/>
      </c>
      <c r="L208" s="1" t="str">
        <f t="shared" si="40"/>
        <v/>
      </c>
    </row>
    <row r="209" spans="1:12">
      <c r="A209" t="s">
        <v>65</v>
      </c>
      <c r="B209">
        <v>7</v>
      </c>
      <c r="C209" t="str">
        <f t="shared" si="34"/>
        <v>test.client_7_</v>
      </c>
      <c r="D209">
        <v>11</v>
      </c>
      <c r="E209">
        <v>8.4112149532710276E-2</v>
      </c>
      <c r="F209">
        <v>0.33333333333333331</v>
      </c>
      <c r="G209" s="1" t="str">
        <f t="shared" si="35"/>
        <v/>
      </c>
      <c r="H209" s="1">
        <f t="shared" si="36"/>
        <v>8.4112149532710276E-2</v>
      </c>
      <c r="I209" s="1" t="str">
        <f t="shared" si="37"/>
        <v/>
      </c>
      <c r="J209" s="1" t="str">
        <f t="shared" si="38"/>
        <v/>
      </c>
      <c r="K209" s="1" t="str">
        <f t="shared" si="39"/>
        <v/>
      </c>
      <c r="L209" s="1" t="str">
        <f t="shared" si="40"/>
        <v/>
      </c>
    </row>
    <row r="210" spans="1:12">
      <c r="A210" t="s">
        <v>65</v>
      </c>
      <c r="B210">
        <v>7</v>
      </c>
      <c r="C210" t="str">
        <f t="shared" si="34"/>
        <v>test.client_7_</v>
      </c>
      <c r="D210">
        <v>12</v>
      </c>
      <c r="E210">
        <v>9.5327102803738323E-2</v>
      </c>
      <c r="F210">
        <v>0.5</v>
      </c>
      <c r="G210" s="1" t="str">
        <f t="shared" si="35"/>
        <v/>
      </c>
      <c r="H210" s="1" t="str">
        <f t="shared" si="36"/>
        <v/>
      </c>
      <c r="I210" s="1">
        <f t="shared" si="37"/>
        <v>9.5327102803738323E-2</v>
      </c>
      <c r="J210" s="1" t="str">
        <f t="shared" si="38"/>
        <v/>
      </c>
      <c r="K210" s="1" t="str">
        <f t="shared" si="39"/>
        <v/>
      </c>
      <c r="L210" s="1" t="str">
        <f t="shared" si="40"/>
        <v/>
      </c>
    </row>
    <row r="211" spans="1:12">
      <c r="A211" t="s">
        <v>65</v>
      </c>
      <c r="B211">
        <v>7</v>
      </c>
      <c r="C211" t="str">
        <f t="shared" si="34"/>
        <v>test.client_7_</v>
      </c>
      <c r="D211">
        <v>13</v>
      </c>
      <c r="E211">
        <v>0.10654205607476636</v>
      </c>
      <c r="F211">
        <v>0.50001666666666666</v>
      </c>
      <c r="G211" s="1" t="str">
        <f t="shared" si="35"/>
        <v/>
      </c>
      <c r="H211" s="1" t="str">
        <f t="shared" si="36"/>
        <v/>
      </c>
      <c r="I211" s="1">
        <f t="shared" si="37"/>
        <v>0.10654205607476636</v>
      </c>
      <c r="J211" s="1" t="str">
        <f t="shared" si="38"/>
        <v/>
      </c>
      <c r="K211" s="1" t="str">
        <f t="shared" si="39"/>
        <v/>
      </c>
      <c r="L211" s="1" t="str">
        <f t="shared" si="40"/>
        <v/>
      </c>
    </row>
    <row r="212" spans="1:12">
      <c r="A212" t="s">
        <v>65</v>
      </c>
      <c r="B212">
        <v>7</v>
      </c>
      <c r="C212" t="str">
        <f t="shared" si="34"/>
        <v>test.client_7_</v>
      </c>
      <c r="D212">
        <v>1</v>
      </c>
      <c r="E212">
        <v>0.11775700934579439</v>
      </c>
      <c r="F212">
        <v>0.66666666666666663</v>
      </c>
      <c r="G212" s="1" t="str">
        <f t="shared" si="35"/>
        <v/>
      </c>
      <c r="H212" s="1" t="str">
        <f t="shared" si="36"/>
        <v/>
      </c>
      <c r="I212" s="1" t="str">
        <f t="shared" si="37"/>
        <v/>
      </c>
      <c r="J212" s="1">
        <f t="shared" si="38"/>
        <v>0.11775700934579439</v>
      </c>
      <c r="K212" s="1" t="str">
        <f t="shared" si="39"/>
        <v/>
      </c>
      <c r="L212" s="1" t="str">
        <f t="shared" si="40"/>
        <v/>
      </c>
    </row>
    <row r="213" spans="1:12">
      <c r="A213" t="s">
        <v>65</v>
      </c>
      <c r="B213">
        <v>7</v>
      </c>
      <c r="C213" t="str">
        <f t="shared" si="34"/>
        <v>test.client_7_</v>
      </c>
      <c r="D213">
        <v>2</v>
      </c>
      <c r="E213">
        <v>0.98878504672897194</v>
      </c>
      <c r="F213">
        <v>1</v>
      </c>
      <c r="G213" s="1" t="str">
        <f t="shared" si="35"/>
        <v/>
      </c>
      <c r="H213" s="1" t="str">
        <f t="shared" si="36"/>
        <v/>
      </c>
      <c r="I213" s="1" t="str">
        <f t="shared" si="37"/>
        <v/>
      </c>
      <c r="J213" s="1" t="str">
        <f t="shared" si="38"/>
        <v/>
      </c>
      <c r="K213" s="1">
        <f t="shared" si="39"/>
        <v>0.98878504672897194</v>
      </c>
      <c r="L213" s="1" t="str">
        <f t="shared" si="40"/>
        <v/>
      </c>
    </row>
    <row r="214" spans="1:12">
      <c r="A214" t="s">
        <v>65</v>
      </c>
      <c r="B214">
        <v>7</v>
      </c>
      <c r="C214" t="str">
        <f t="shared" si="34"/>
        <v>test.client_7_</v>
      </c>
      <c r="D214">
        <v>3</v>
      </c>
      <c r="E214">
        <v>1</v>
      </c>
      <c r="F214">
        <v>1.1666666666666667</v>
      </c>
      <c r="G214" s="1" t="str">
        <f t="shared" si="35"/>
        <v/>
      </c>
      <c r="H214" s="1" t="str">
        <f t="shared" si="36"/>
        <v/>
      </c>
      <c r="I214" s="1" t="str">
        <f t="shared" si="37"/>
        <v/>
      </c>
      <c r="J214" s="1" t="str">
        <f t="shared" si="38"/>
        <v/>
      </c>
      <c r="K214" s="1" t="str">
        <f t="shared" si="39"/>
        <v/>
      </c>
      <c r="L214" s="1">
        <f t="shared" si="40"/>
        <v>1</v>
      </c>
    </row>
    <row r="215" spans="1:12">
      <c r="A215" t="s">
        <v>71</v>
      </c>
      <c r="B215">
        <v>3</v>
      </c>
      <c r="C215" t="str">
        <f t="shared" si="34"/>
        <v>test.GeoEngine_3_</v>
      </c>
      <c r="D215">
        <v>4</v>
      </c>
      <c r="E215">
        <v>4.4161358811040337E-2</v>
      </c>
      <c r="F215">
        <v>0.16666666666666666</v>
      </c>
      <c r="G215" s="1">
        <f t="shared" si="35"/>
        <v>4.4161358811040337E-2</v>
      </c>
      <c r="H215" s="1" t="str">
        <f t="shared" si="36"/>
        <v/>
      </c>
      <c r="I215" s="1" t="str">
        <f t="shared" si="37"/>
        <v/>
      </c>
      <c r="J215" s="1" t="str">
        <f t="shared" si="38"/>
        <v/>
      </c>
      <c r="K215" s="1" t="str">
        <f t="shared" si="39"/>
        <v/>
      </c>
      <c r="L215" s="1" t="str">
        <f t="shared" si="40"/>
        <v/>
      </c>
    </row>
    <row r="216" spans="1:12">
      <c r="A216" t="s">
        <v>71</v>
      </c>
      <c r="B216">
        <v>3</v>
      </c>
      <c r="C216" t="str">
        <f t="shared" si="34"/>
        <v>test.GeoEngine_3_</v>
      </c>
      <c r="D216">
        <v>5</v>
      </c>
      <c r="E216">
        <v>0.71974522292993626</v>
      </c>
      <c r="F216">
        <v>0.75</v>
      </c>
      <c r="G216" s="1" t="str">
        <f t="shared" si="35"/>
        <v/>
      </c>
      <c r="H216" s="1" t="str">
        <f t="shared" si="36"/>
        <v/>
      </c>
      <c r="I216" s="1" t="str">
        <f t="shared" si="37"/>
        <v/>
      </c>
      <c r="J216" s="1">
        <f t="shared" si="38"/>
        <v>0.71974522292993626</v>
      </c>
      <c r="K216" s="1" t="str">
        <f t="shared" si="39"/>
        <v/>
      </c>
      <c r="L216" s="1" t="str">
        <f t="shared" si="40"/>
        <v/>
      </c>
    </row>
    <row r="217" spans="1:12">
      <c r="A217" t="s">
        <v>71</v>
      </c>
      <c r="B217">
        <v>3</v>
      </c>
      <c r="C217" t="str">
        <f t="shared" si="34"/>
        <v>test.GeoEngine_3_</v>
      </c>
      <c r="D217">
        <v>6</v>
      </c>
      <c r="E217">
        <v>1</v>
      </c>
      <c r="F217">
        <v>0.83333333333333337</v>
      </c>
      <c r="G217" s="1" t="str">
        <f t="shared" si="35"/>
        <v/>
      </c>
      <c r="H217" s="1" t="str">
        <f t="shared" si="36"/>
        <v/>
      </c>
      <c r="I217" s="1" t="str">
        <f t="shared" si="37"/>
        <v/>
      </c>
      <c r="J217" s="1" t="str">
        <f t="shared" si="38"/>
        <v/>
      </c>
      <c r="K217" s="1">
        <f t="shared" si="39"/>
        <v>1</v>
      </c>
      <c r="L217" s="1" t="str">
        <f t="shared" si="40"/>
        <v/>
      </c>
    </row>
    <row r="218" spans="1:12">
      <c r="A218" t="s">
        <v>71</v>
      </c>
      <c r="B218">
        <v>7</v>
      </c>
      <c r="C218" t="str">
        <f t="shared" si="34"/>
        <v>test.GeoEngine_7_</v>
      </c>
      <c r="D218">
        <v>7</v>
      </c>
      <c r="E218">
        <v>8.7009803921568624E-2</v>
      </c>
      <c r="F218">
        <v>0.23076923076923078</v>
      </c>
      <c r="G218" s="1" t="str">
        <f t="shared" si="35"/>
        <v/>
      </c>
      <c r="H218" s="1">
        <f t="shared" si="36"/>
        <v>8.7009803921568624E-2</v>
      </c>
      <c r="I218" s="1" t="str">
        <f t="shared" si="37"/>
        <v/>
      </c>
      <c r="J218" s="1" t="str">
        <f t="shared" si="38"/>
        <v/>
      </c>
      <c r="K218" s="1" t="str">
        <f t="shared" si="39"/>
        <v/>
      </c>
      <c r="L218" s="1" t="str">
        <f t="shared" si="40"/>
        <v/>
      </c>
    </row>
    <row r="219" spans="1:12">
      <c r="A219" t="s">
        <v>71</v>
      </c>
      <c r="B219">
        <v>7</v>
      </c>
      <c r="C219" t="str">
        <f t="shared" si="34"/>
        <v>test.GeoEngine_7_</v>
      </c>
      <c r="D219">
        <v>8</v>
      </c>
      <c r="E219">
        <v>0.11856617647058823</v>
      </c>
      <c r="F219">
        <v>0.2307769230769231</v>
      </c>
      <c r="G219" s="1" t="str">
        <f t="shared" si="35"/>
        <v/>
      </c>
      <c r="H219" s="1">
        <f t="shared" si="36"/>
        <v>0.11856617647058823</v>
      </c>
      <c r="I219" s="1" t="str">
        <f t="shared" si="37"/>
        <v/>
      </c>
      <c r="J219" s="1" t="str">
        <f t="shared" si="38"/>
        <v/>
      </c>
      <c r="K219" s="1" t="str">
        <f t="shared" si="39"/>
        <v/>
      </c>
      <c r="L219" s="1" t="str">
        <f t="shared" si="40"/>
        <v/>
      </c>
    </row>
    <row r="220" spans="1:12">
      <c r="A220" t="s">
        <v>71</v>
      </c>
      <c r="B220">
        <v>7</v>
      </c>
      <c r="C220" t="str">
        <f t="shared" si="34"/>
        <v>test.GeoEngine_7_</v>
      </c>
      <c r="D220">
        <v>9</v>
      </c>
      <c r="E220">
        <v>0.12040441176470588</v>
      </c>
      <c r="F220">
        <v>0.23078459999999998</v>
      </c>
      <c r="G220" s="1" t="str">
        <f t="shared" si="35"/>
        <v/>
      </c>
      <c r="H220" s="1">
        <f t="shared" si="36"/>
        <v>0.12040441176470588</v>
      </c>
      <c r="I220" s="1" t="str">
        <f t="shared" si="37"/>
        <v/>
      </c>
      <c r="J220" s="1" t="str">
        <f t="shared" si="38"/>
        <v/>
      </c>
      <c r="K220" s="1" t="str">
        <f t="shared" si="39"/>
        <v/>
      </c>
      <c r="L220" s="1" t="str">
        <f t="shared" si="40"/>
        <v/>
      </c>
    </row>
    <row r="221" spans="1:12">
      <c r="A221" t="s">
        <v>71</v>
      </c>
      <c r="B221">
        <v>7</v>
      </c>
      <c r="C221" t="str">
        <f t="shared" si="34"/>
        <v>test.GeoEngine_7_</v>
      </c>
      <c r="D221">
        <v>10</v>
      </c>
      <c r="E221">
        <v>0.12285539215686274</v>
      </c>
      <c r="F221">
        <v>0.30769230769230771</v>
      </c>
      <c r="G221" s="1" t="str">
        <f t="shared" si="35"/>
        <v/>
      </c>
      <c r="H221" s="1">
        <f t="shared" si="36"/>
        <v>0.12285539215686274</v>
      </c>
      <c r="I221" s="1" t="str">
        <f t="shared" si="37"/>
        <v/>
      </c>
      <c r="J221" s="1" t="str">
        <f t="shared" si="38"/>
        <v/>
      </c>
      <c r="K221" s="1" t="str">
        <f t="shared" si="39"/>
        <v/>
      </c>
      <c r="L221" s="1" t="str">
        <f t="shared" si="40"/>
        <v/>
      </c>
    </row>
    <row r="222" spans="1:12">
      <c r="A222" t="s">
        <v>71</v>
      </c>
      <c r="B222">
        <v>7</v>
      </c>
      <c r="C222" t="str">
        <f t="shared" si="34"/>
        <v>test.GeoEngine_7_</v>
      </c>
      <c r="D222">
        <v>11</v>
      </c>
      <c r="E222">
        <v>0.27879901960784315</v>
      </c>
      <c r="F222">
        <v>0.38461538461538464</v>
      </c>
      <c r="G222" s="1" t="str">
        <f t="shared" si="35"/>
        <v/>
      </c>
      <c r="H222" s="1">
        <f t="shared" si="36"/>
        <v>0.27879901960784315</v>
      </c>
      <c r="I222" s="1" t="str">
        <f t="shared" si="37"/>
        <v/>
      </c>
      <c r="J222" s="1" t="str">
        <f t="shared" si="38"/>
        <v/>
      </c>
      <c r="K222" s="1" t="str">
        <f t="shared" si="39"/>
        <v/>
      </c>
      <c r="L222" s="1" t="str">
        <f t="shared" si="40"/>
        <v/>
      </c>
    </row>
    <row r="223" spans="1:12">
      <c r="A223" t="s">
        <v>71</v>
      </c>
      <c r="B223">
        <v>7</v>
      </c>
      <c r="C223" t="str">
        <f t="shared" si="34"/>
        <v>test.GeoEngine_7_</v>
      </c>
      <c r="D223">
        <v>12</v>
      </c>
      <c r="E223">
        <v>0.29626225490196079</v>
      </c>
      <c r="F223">
        <v>0.46153846153846156</v>
      </c>
      <c r="G223" s="1" t="str">
        <f t="shared" si="35"/>
        <v/>
      </c>
      <c r="H223" s="1" t="str">
        <f t="shared" si="36"/>
        <v/>
      </c>
      <c r="I223" s="1">
        <f t="shared" si="37"/>
        <v>0.29626225490196079</v>
      </c>
      <c r="J223" s="1" t="str">
        <f t="shared" si="38"/>
        <v/>
      </c>
      <c r="K223" s="1" t="str">
        <f t="shared" si="39"/>
        <v/>
      </c>
      <c r="L223" s="1" t="str">
        <f t="shared" si="40"/>
        <v/>
      </c>
    </row>
    <row r="224" spans="1:12">
      <c r="A224" t="s">
        <v>71</v>
      </c>
      <c r="B224">
        <v>7</v>
      </c>
      <c r="C224" t="str">
        <f t="shared" si="34"/>
        <v>test.GeoEngine_7_</v>
      </c>
      <c r="D224">
        <v>13</v>
      </c>
      <c r="E224">
        <v>0.60477941176470584</v>
      </c>
      <c r="F224">
        <v>0.53846153846153844</v>
      </c>
      <c r="G224" s="1" t="str">
        <f t="shared" si="35"/>
        <v/>
      </c>
      <c r="H224" s="1" t="str">
        <f t="shared" si="36"/>
        <v/>
      </c>
      <c r="I224" s="1">
        <f t="shared" si="37"/>
        <v>0.60477941176470584</v>
      </c>
      <c r="J224" s="1" t="str">
        <f t="shared" si="38"/>
        <v/>
      </c>
      <c r="K224" s="1" t="str">
        <f t="shared" si="39"/>
        <v/>
      </c>
      <c r="L224" s="1" t="str">
        <f t="shared" si="40"/>
        <v/>
      </c>
    </row>
    <row r="225" spans="1:12">
      <c r="A225" t="s">
        <v>71</v>
      </c>
      <c r="B225">
        <v>7</v>
      </c>
      <c r="C225" t="str">
        <f t="shared" si="34"/>
        <v>test.GeoEngine_7_</v>
      </c>
      <c r="D225">
        <v>14</v>
      </c>
      <c r="E225">
        <v>0.62438725490196079</v>
      </c>
      <c r="F225">
        <v>0.5384692307692307</v>
      </c>
      <c r="G225" s="1" t="str">
        <f t="shared" si="35"/>
        <v/>
      </c>
      <c r="H225" s="1" t="str">
        <f t="shared" si="36"/>
        <v/>
      </c>
      <c r="I225" s="1">
        <f t="shared" si="37"/>
        <v>0.62438725490196079</v>
      </c>
      <c r="J225" s="1" t="str">
        <f t="shared" si="38"/>
        <v/>
      </c>
      <c r="K225" s="1" t="str">
        <f t="shared" si="39"/>
        <v/>
      </c>
      <c r="L225" s="1" t="str">
        <f t="shared" si="40"/>
        <v/>
      </c>
    </row>
    <row r="226" spans="1:12">
      <c r="A226" t="s">
        <v>71</v>
      </c>
      <c r="B226">
        <v>7</v>
      </c>
      <c r="C226" t="str">
        <f t="shared" si="34"/>
        <v>test.GeoEngine_7_</v>
      </c>
      <c r="D226">
        <v>15</v>
      </c>
      <c r="E226">
        <v>0.98406862745098034</v>
      </c>
      <c r="F226">
        <v>0.84615384615384615</v>
      </c>
      <c r="G226" s="1" t="str">
        <f t="shared" si="35"/>
        <v/>
      </c>
      <c r="H226" s="1" t="str">
        <f t="shared" si="36"/>
        <v/>
      </c>
      <c r="I226" s="1" t="str">
        <f t="shared" si="37"/>
        <v/>
      </c>
      <c r="J226" s="1" t="str">
        <f t="shared" si="38"/>
        <v/>
      </c>
      <c r="K226" s="1">
        <f t="shared" si="39"/>
        <v>0.98406862745098034</v>
      </c>
      <c r="L226" s="1" t="str">
        <f t="shared" si="40"/>
        <v/>
      </c>
    </row>
    <row r="227" spans="1:12">
      <c r="A227" t="s">
        <v>71</v>
      </c>
      <c r="B227">
        <v>7</v>
      </c>
      <c r="C227" t="str">
        <f t="shared" si="34"/>
        <v>test.GeoEngine_7_</v>
      </c>
      <c r="D227">
        <v>16</v>
      </c>
      <c r="E227">
        <v>1</v>
      </c>
      <c r="F227">
        <v>0.84616153846153841</v>
      </c>
      <c r="G227" s="1" t="str">
        <f t="shared" si="35"/>
        <v/>
      </c>
      <c r="H227" s="1" t="str">
        <f t="shared" si="36"/>
        <v/>
      </c>
      <c r="I227" s="1" t="str">
        <f t="shared" si="37"/>
        <v/>
      </c>
      <c r="J227" s="1" t="str">
        <f t="shared" si="38"/>
        <v/>
      </c>
      <c r="K227" s="1">
        <f t="shared" si="39"/>
        <v>1</v>
      </c>
      <c r="L227" s="1" t="str">
        <f t="shared" si="40"/>
        <v/>
      </c>
    </row>
    <row r="228" spans="1:12">
      <c r="A228" t="s">
        <v>71</v>
      </c>
      <c r="B228">
        <v>8</v>
      </c>
      <c r="C228" t="str">
        <f t="shared" si="34"/>
        <v>test.GeoEngine_8_</v>
      </c>
      <c r="D228">
        <v>17</v>
      </c>
      <c r="E228">
        <v>4.0228245363766048E-2</v>
      </c>
      <c r="F228">
        <v>0.25</v>
      </c>
      <c r="G228" s="1" t="str">
        <f t="shared" si="35"/>
        <v/>
      </c>
      <c r="H228" s="1">
        <f t="shared" si="36"/>
        <v>4.0228245363766048E-2</v>
      </c>
      <c r="I228" s="1" t="str">
        <f t="shared" si="37"/>
        <v/>
      </c>
      <c r="J228" s="1" t="str">
        <f t="shared" si="38"/>
        <v/>
      </c>
      <c r="K228" s="1" t="str">
        <f t="shared" si="39"/>
        <v/>
      </c>
      <c r="L228" s="1" t="str">
        <f t="shared" si="40"/>
        <v/>
      </c>
    </row>
    <row r="229" spans="1:12">
      <c r="A229" t="s">
        <v>71</v>
      </c>
      <c r="B229">
        <v>8</v>
      </c>
      <c r="C229" t="str">
        <f t="shared" si="34"/>
        <v>test.GeoEngine_8_</v>
      </c>
      <c r="D229">
        <v>1</v>
      </c>
      <c r="E229">
        <v>0.16776034236804566</v>
      </c>
      <c r="F229">
        <v>0.41666666666666669</v>
      </c>
      <c r="G229" s="1" t="str">
        <f t="shared" si="35"/>
        <v/>
      </c>
      <c r="H229" s="1" t="str">
        <f t="shared" si="36"/>
        <v/>
      </c>
      <c r="I229" s="1">
        <f t="shared" si="37"/>
        <v>0.16776034236804566</v>
      </c>
      <c r="J229" s="1" t="str">
        <f t="shared" si="38"/>
        <v/>
      </c>
      <c r="K229" s="1" t="str">
        <f t="shared" si="39"/>
        <v/>
      </c>
      <c r="L229" s="1" t="str">
        <f t="shared" si="40"/>
        <v/>
      </c>
    </row>
    <row r="230" spans="1:12">
      <c r="A230" t="s">
        <v>71</v>
      </c>
      <c r="B230">
        <v>8</v>
      </c>
      <c r="C230" t="str">
        <f t="shared" si="34"/>
        <v>test.GeoEngine_8_</v>
      </c>
      <c r="D230">
        <v>2</v>
      </c>
      <c r="E230">
        <v>0.17574893009985734</v>
      </c>
      <c r="F230">
        <v>0.41667499999999996</v>
      </c>
      <c r="G230" s="1" t="str">
        <f t="shared" si="35"/>
        <v/>
      </c>
      <c r="H230" s="1" t="str">
        <f t="shared" si="36"/>
        <v/>
      </c>
      <c r="I230" s="1">
        <f t="shared" si="37"/>
        <v>0.17574893009985734</v>
      </c>
      <c r="J230" s="1" t="str">
        <f t="shared" si="38"/>
        <v/>
      </c>
      <c r="K230" s="1" t="str">
        <f t="shared" si="39"/>
        <v/>
      </c>
      <c r="L230" s="1" t="str">
        <f t="shared" si="40"/>
        <v/>
      </c>
    </row>
    <row r="231" spans="1:12">
      <c r="A231" t="s">
        <v>71</v>
      </c>
      <c r="B231">
        <v>8</v>
      </c>
      <c r="C231" t="str">
        <f t="shared" si="34"/>
        <v>test.GeoEngine_8_</v>
      </c>
      <c r="D231">
        <v>3</v>
      </c>
      <c r="E231">
        <v>0.37517831669044222</v>
      </c>
      <c r="F231">
        <v>0.5</v>
      </c>
      <c r="G231" s="1" t="str">
        <f t="shared" si="35"/>
        <v/>
      </c>
      <c r="H231" s="1" t="str">
        <f t="shared" si="36"/>
        <v/>
      </c>
      <c r="I231" s="1">
        <f t="shared" si="37"/>
        <v>0.37517831669044222</v>
      </c>
      <c r="J231" s="1" t="str">
        <f t="shared" si="38"/>
        <v/>
      </c>
      <c r="K231" s="1" t="str">
        <f t="shared" si="39"/>
        <v/>
      </c>
      <c r="L231" s="1" t="str">
        <f t="shared" si="40"/>
        <v/>
      </c>
    </row>
    <row r="232" spans="1:12">
      <c r="A232" t="s">
        <v>71</v>
      </c>
      <c r="B232">
        <v>8</v>
      </c>
      <c r="C232" t="str">
        <f t="shared" si="34"/>
        <v>test.GeoEngine_8_</v>
      </c>
      <c r="D232">
        <v>4</v>
      </c>
      <c r="E232">
        <v>0.37517831669044222</v>
      </c>
      <c r="F232">
        <v>0.58333333333333337</v>
      </c>
      <c r="G232" s="1" t="str">
        <f t="shared" si="35"/>
        <v/>
      </c>
      <c r="H232" s="1" t="str">
        <f t="shared" si="36"/>
        <v/>
      </c>
      <c r="I232" s="1">
        <f t="shared" si="37"/>
        <v>0.37517831669044222</v>
      </c>
      <c r="J232" s="1" t="str">
        <f t="shared" si="38"/>
        <v/>
      </c>
      <c r="K232" s="1" t="str">
        <f t="shared" si="39"/>
        <v/>
      </c>
      <c r="L232" s="1" t="str">
        <f t="shared" si="40"/>
        <v/>
      </c>
    </row>
    <row r="233" spans="1:12">
      <c r="A233" t="s">
        <v>71</v>
      </c>
      <c r="B233">
        <v>8</v>
      </c>
      <c r="C233" t="str">
        <f t="shared" si="34"/>
        <v>test.GeoEngine_8_</v>
      </c>
      <c r="D233">
        <v>5</v>
      </c>
      <c r="E233">
        <v>0.72524964336661912</v>
      </c>
      <c r="F233">
        <v>0.75</v>
      </c>
      <c r="G233" s="1" t="str">
        <f t="shared" si="35"/>
        <v/>
      </c>
      <c r="H233" s="1" t="str">
        <f t="shared" si="36"/>
        <v/>
      </c>
      <c r="I233" s="1" t="str">
        <f t="shared" si="37"/>
        <v/>
      </c>
      <c r="J233" s="1">
        <f t="shared" si="38"/>
        <v>0.72524964336661912</v>
      </c>
      <c r="K233" s="1" t="str">
        <f t="shared" si="39"/>
        <v/>
      </c>
      <c r="L233" s="1" t="str">
        <f t="shared" si="40"/>
        <v/>
      </c>
    </row>
    <row r="234" spans="1:12">
      <c r="A234" t="s">
        <v>71</v>
      </c>
      <c r="B234">
        <v>8</v>
      </c>
      <c r="C234" t="str">
        <f t="shared" si="34"/>
        <v>test.GeoEngine_8_</v>
      </c>
      <c r="D234">
        <v>6</v>
      </c>
      <c r="E234">
        <v>0.76348074179743219</v>
      </c>
      <c r="F234">
        <v>0.75000833333333328</v>
      </c>
      <c r="G234" s="1" t="str">
        <f t="shared" si="35"/>
        <v/>
      </c>
      <c r="H234" s="1" t="str">
        <f t="shared" si="36"/>
        <v/>
      </c>
      <c r="I234" s="1" t="str">
        <f t="shared" si="37"/>
        <v/>
      </c>
      <c r="J234" s="1">
        <f t="shared" si="38"/>
        <v>0.76348074179743219</v>
      </c>
      <c r="K234" s="1" t="str">
        <f t="shared" si="39"/>
        <v/>
      </c>
      <c r="L234" s="1" t="str">
        <f t="shared" si="40"/>
        <v/>
      </c>
    </row>
    <row r="235" spans="1:12">
      <c r="A235" t="s">
        <v>71</v>
      </c>
      <c r="B235">
        <v>8</v>
      </c>
      <c r="C235" t="str">
        <f t="shared" si="34"/>
        <v>test.GeoEngine_8_</v>
      </c>
      <c r="D235">
        <v>7</v>
      </c>
      <c r="E235">
        <v>0.84308131241084161</v>
      </c>
      <c r="F235">
        <v>0.91666666666666663</v>
      </c>
      <c r="G235" s="1" t="str">
        <f t="shared" si="35"/>
        <v/>
      </c>
      <c r="H235" s="1" t="str">
        <f t="shared" si="36"/>
        <v/>
      </c>
      <c r="I235" s="1" t="str">
        <f t="shared" si="37"/>
        <v/>
      </c>
      <c r="J235" s="1" t="str">
        <f t="shared" si="38"/>
        <v/>
      </c>
      <c r="K235" s="1">
        <f t="shared" si="39"/>
        <v>0.84308131241084161</v>
      </c>
      <c r="L235" s="1" t="str">
        <f t="shared" si="40"/>
        <v/>
      </c>
    </row>
    <row r="236" spans="1:12">
      <c r="A236" t="s">
        <v>71</v>
      </c>
      <c r="B236">
        <v>8</v>
      </c>
      <c r="C236" t="str">
        <f t="shared" si="34"/>
        <v>test.GeoEngine_8_</v>
      </c>
      <c r="D236">
        <v>1</v>
      </c>
      <c r="E236">
        <v>0.92838801711840224</v>
      </c>
      <c r="F236">
        <v>0.91667500000000002</v>
      </c>
      <c r="G236" s="1" t="str">
        <f t="shared" si="35"/>
        <v/>
      </c>
      <c r="H236" s="1" t="str">
        <f t="shared" si="36"/>
        <v/>
      </c>
      <c r="I236" s="1" t="str">
        <f t="shared" si="37"/>
        <v/>
      </c>
      <c r="J236" s="1" t="str">
        <f t="shared" si="38"/>
        <v/>
      </c>
      <c r="K236" s="1">
        <f t="shared" si="39"/>
        <v>0.92838801711840224</v>
      </c>
      <c r="L236" s="1" t="str">
        <f t="shared" si="40"/>
        <v/>
      </c>
    </row>
    <row r="237" spans="1:12">
      <c r="A237" t="s">
        <v>71</v>
      </c>
      <c r="B237">
        <v>8</v>
      </c>
      <c r="C237" t="str">
        <f t="shared" si="34"/>
        <v>test.GeoEngine_8_</v>
      </c>
      <c r="D237">
        <v>2</v>
      </c>
      <c r="E237">
        <v>0.94122681883024251</v>
      </c>
      <c r="F237">
        <v>0.91668333333333329</v>
      </c>
      <c r="G237" s="1" t="str">
        <f t="shared" si="35"/>
        <v/>
      </c>
      <c r="H237" s="1" t="str">
        <f t="shared" si="36"/>
        <v/>
      </c>
      <c r="I237" s="1" t="str">
        <f t="shared" si="37"/>
        <v/>
      </c>
      <c r="J237" s="1" t="str">
        <f t="shared" si="38"/>
        <v/>
      </c>
      <c r="K237" s="1">
        <f t="shared" si="39"/>
        <v>0.94122681883024251</v>
      </c>
      <c r="L237" s="1" t="str">
        <f t="shared" si="40"/>
        <v/>
      </c>
    </row>
    <row r="238" spans="1:12">
      <c r="A238" t="s">
        <v>71</v>
      </c>
      <c r="B238">
        <v>8</v>
      </c>
      <c r="C238" t="str">
        <f t="shared" si="34"/>
        <v>test.GeoEngine_8_</v>
      </c>
      <c r="D238">
        <v>3</v>
      </c>
      <c r="E238">
        <v>0.95549215406562049</v>
      </c>
      <c r="F238">
        <v>0.91669166666666657</v>
      </c>
      <c r="G238" s="1" t="str">
        <f t="shared" si="35"/>
        <v/>
      </c>
      <c r="H238" s="1" t="str">
        <f t="shared" si="36"/>
        <v/>
      </c>
      <c r="I238" s="1" t="str">
        <f t="shared" si="37"/>
        <v/>
      </c>
      <c r="J238" s="1" t="str">
        <f t="shared" si="38"/>
        <v/>
      </c>
      <c r="K238" s="1">
        <f t="shared" si="39"/>
        <v>0.95549215406562049</v>
      </c>
      <c r="L238" s="1" t="str">
        <f t="shared" si="40"/>
        <v/>
      </c>
    </row>
    <row r="239" spans="1:12">
      <c r="A239" t="s">
        <v>71</v>
      </c>
      <c r="B239">
        <v>8</v>
      </c>
      <c r="C239" t="str">
        <f t="shared" si="34"/>
        <v>test.GeoEngine_8_</v>
      </c>
      <c r="D239">
        <v>4</v>
      </c>
      <c r="E239">
        <v>1</v>
      </c>
      <c r="F239">
        <v>1</v>
      </c>
      <c r="G239" s="1" t="str">
        <f t="shared" si="35"/>
        <v/>
      </c>
      <c r="H239" s="1" t="str">
        <f t="shared" si="36"/>
        <v/>
      </c>
      <c r="I239" s="1" t="str">
        <f t="shared" si="37"/>
        <v/>
      </c>
      <c r="J239" s="1" t="str">
        <f t="shared" si="38"/>
        <v/>
      </c>
      <c r="K239" s="1">
        <f t="shared" si="39"/>
        <v>1</v>
      </c>
      <c r="L239" s="1" t="str">
        <f t="shared" si="40"/>
        <v/>
      </c>
    </row>
    <row r="240" spans="1:12">
      <c r="A240" t="s">
        <v>71</v>
      </c>
      <c r="B240">
        <v>9</v>
      </c>
      <c r="C240" t="str">
        <f t="shared" si="34"/>
        <v>test.GeoEngine_9_</v>
      </c>
      <c r="D240">
        <v>5</v>
      </c>
      <c r="E240">
        <v>5.4328358208955221E-2</v>
      </c>
      <c r="F240">
        <v>0.33333333333333331</v>
      </c>
      <c r="G240" s="1" t="str">
        <f t="shared" si="35"/>
        <v/>
      </c>
      <c r="H240" s="1">
        <f t="shared" si="36"/>
        <v>5.4328358208955221E-2</v>
      </c>
      <c r="I240" s="1" t="str">
        <f t="shared" si="37"/>
        <v/>
      </c>
      <c r="J240" s="1" t="str">
        <f t="shared" si="38"/>
        <v/>
      </c>
      <c r="K240" s="1" t="str">
        <f t="shared" si="39"/>
        <v/>
      </c>
      <c r="L240" s="1" t="str">
        <f t="shared" si="40"/>
        <v/>
      </c>
    </row>
    <row r="241" spans="1:12">
      <c r="A241" t="s">
        <v>71</v>
      </c>
      <c r="B241">
        <v>9</v>
      </c>
      <c r="C241" t="str">
        <f t="shared" si="34"/>
        <v>test.GeoEngine_9_</v>
      </c>
      <c r="D241">
        <v>6</v>
      </c>
      <c r="E241">
        <v>0.16417910447761194</v>
      </c>
      <c r="F241">
        <v>0.33334444444444444</v>
      </c>
      <c r="G241" s="1" t="str">
        <f t="shared" si="35"/>
        <v/>
      </c>
      <c r="H241" s="1">
        <f t="shared" si="36"/>
        <v>0.16417910447761194</v>
      </c>
      <c r="I241" s="1" t="str">
        <f t="shared" si="37"/>
        <v/>
      </c>
      <c r="J241" s="1" t="str">
        <f t="shared" si="38"/>
        <v/>
      </c>
      <c r="K241" s="1" t="str">
        <f t="shared" si="39"/>
        <v/>
      </c>
      <c r="L241" s="1" t="str">
        <f t="shared" si="40"/>
        <v/>
      </c>
    </row>
    <row r="242" spans="1:12">
      <c r="A242" t="s">
        <v>71</v>
      </c>
      <c r="B242">
        <v>9</v>
      </c>
      <c r="C242" t="str">
        <f t="shared" si="34"/>
        <v>test.GeoEngine_9_</v>
      </c>
      <c r="D242">
        <v>7</v>
      </c>
      <c r="E242">
        <v>0.52955223880597013</v>
      </c>
      <c r="F242">
        <v>0.55555555555555558</v>
      </c>
      <c r="G242" s="1" t="str">
        <f t="shared" si="35"/>
        <v/>
      </c>
      <c r="H242" s="1" t="str">
        <f t="shared" si="36"/>
        <v/>
      </c>
      <c r="I242" s="1">
        <f t="shared" si="37"/>
        <v>0.52955223880597013</v>
      </c>
      <c r="J242" s="1" t="str">
        <f t="shared" si="38"/>
        <v/>
      </c>
      <c r="K242" s="1" t="str">
        <f t="shared" si="39"/>
        <v/>
      </c>
      <c r="L242" s="1" t="str">
        <f t="shared" si="40"/>
        <v/>
      </c>
    </row>
    <row r="243" spans="1:12">
      <c r="A243" t="s">
        <v>71</v>
      </c>
      <c r="B243">
        <v>9</v>
      </c>
      <c r="C243" t="str">
        <f t="shared" si="34"/>
        <v>test.GeoEngine_9_</v>
      </c>
      <c r="D243">
        <v>8</v>
      </c>
      <c r="E243">
        <v>1</v>
      </c>
      <c r="F243">
        <v>1</v>
      </c>
      <c r="G243" s="1" t="str">
        <f t="shared" si="35"/>
        <v/>
      </c>
      <c r="H243" s="1" t="str">
        <f t="shared" si="36"/>
        <v/>
      </c>
      <c r="I243" s="1" t="str">
        <f t="shared" si="37"/>
        <v/>
      </c>
      <c r="J243" s="1" t="str">
        <f t="shared" si="38"/>
        <v/>
      </c>
      <c r="K243" s="1">
        <f t="shared" si="39"/>
        <v>1</v>
      </c>
      <c r="L243" s="1" t="str">
        <f t="shared" si="40"/>
        <v/>
      </c>
    </row>
    <row r="244" spans="1:12">
      <c r="A244" t="s">
        <v>71</v>
      </c>
      <c r="B244">
        <v>10</v>
      </c>
      <c r="C244" t="str">
        <f t="shared" si="34"/>
        <v>test.GeoEngine_10_</v>
      </c>
      <c r="D244">
        <v>9</v>
      </c>
      <c r="E244">
        <v>0.36879432624113473</v>
      </c>
      <c r="F244">
        <v>1</v>
      </c>
      <c r="G244" s="1" t="str">
        <f t="shared" si="35"/>
        <v/>
      </c>
      <c r="H244" s="1" t="str">
        <f t="shared" si="36"/>
        <v/>
      </c>
      <c r="I244" s="1" t="str">
        <f t="shared" si="37"/>
        <v/>
      </c>
      <c r="J244" s="1" t="str">
        <f t="shared" si="38"/>
        <v/>
      </c>
      <c r="K244" s="1">
        <f t="shared" si="39"/>
        <v>0.36879432624113473</v>
      </c>
      <c r="L244" s="1" t="str">
        <f t="shared" si="40"/>
        <v/>
      </c>
    </row>
    <row r="245" spans="1:12">
      <c r="A245" t="s">
        <v>71</v>
      </c>
      <c r="B245">
        <v>10</v>
      </c>
      <c r="C245" t="str">
        <f t="shared" si="34"/>
        <v>test.GeoEngine_10_</v>
      </c>
      <c r="D245">
        <v>10</v>
      </c>
      <c r="E245">
        <v>0.48936170212765956</v>
      </c>
      <c r="F245">
        <v>1.0000500000000001</v>
      </c>
      <c r="G245" s="1" t="str">
        <f t="shared" si="35"/>
        <v/>
      </c>
      <c r="H245" s="1" t="str">
        <f t="shared" si="36"/>
        <v/>
      </c>
      <c r="I245" s="1" t="str">
        <f t="shared" si="37"/>
        <v/>
      </c>
      <c r="J245" s="1" t="str">
        <f t="shared" si="38"/>
        <v/>
      </c>
      <c r="K245" s="1">
        <f t="shared" si="39"/>
        <v>0.48936170212765956</v>
      </c>
      <c r="L245" s="1" t="str">
        <f t="shared" si="40"/>
        <v/>
      </c>
    </row>
    <row r="246" spans="1:12">
      <c r="A246" t="s">
        <v>71</v>
      </c>
      <c r="B246">
        <v>10</v>
      </c>
      <c r="C246" t="str">
        <f t="shared" si="34"/>
        <v>test.GeoEngine_10_</v>
      </c>
      <c r="D246">
        <v>11</v>
      </c>
      <c r="E246">
        <v>0.72340425531914898</v>
      </c>
      <c r="F246">
        <v>1.0000998999999999</v>
      </c>
      <c r="G246" s="1" t="str">
        <f t="shared" si="35"/>
        <v/>
      </c>
      <c r="H246" s="1" t="str">
        <f t="shared" si="36"/>
        <v/>
      </c>
      <c r="I246" s="1" t="str">
        <f t="shared" si="37"/>
        <v/>
      </c>
      <c r="J246" s="1" t="str">
        <f t="shared" si="38"/>
        <v/>
      </c>
      <c r="K246" s="1">
        <f t="shared" si="39"/>
        <v>0.72340425531914898</v>
      </c>
      <c r="L246" s="1" t="str">
        <f t="shared" si="40"/>
        <v/>
      </c>
    </row>
    <row r="247" spans="1:12">
      <c r="A247" t="s">
        <v>71</v>
      </c>
      <c r="B247">
        <v>10</v>
      </c>
      <c r="C247" t="str">
        <f t="shared" si="34"/>
        <v>test.GeoEngine_10_</v>
      </c>
      <c r="D247">
        <v>12</v>
      </c>
      <c r="E247">
        <v>0.75886524822695034</v>
      </c>
      <c r="F247">
        <v>1.0001498499999999</v>
      </c>
      <c r="G247" s="1" t="str">
        <f t="shared" si="35"/>
        <v/>
      </c>
      <c r="H247" s="1" t="str">
        <f t="shared" si="36"/>
        <v/>
      </c>
      <c r="I247" s="1" t="str">
        <f t="shared" si="37"/>
        <v/>
      </c>
      <c r="J247" s="1" t="str">
        <f t="shared" si="38"/>
        <v/>
      </c>
      <c r="K247" s="1">
        <f t="shared" si="39"/>
        <v>0.75886524822695034</v>
      </c>
      <c r="L247" s="1" t="str">
        <f t="shared" si="40"/>
        <v/>
      </c>
    </row>
    <row r="248" spans="1:12">
      <c r="A248" t="s">
        <v>71</v>
      </c>
      <c r="B248">
        <v>10</v>
      </c>
      <c r="C248" t="str">
        <f t="shared" si="34"/>
        <v>test.GeoEngine_10_</v>
      </c>
      <c r="D248">
        <v>13</v>
      </c>
      <c r="E248">
        <v>0.85106382978723405</v>
      </c>
      <c r="F248">
        <v>1.0001998000000001</v>
      </c>
      <c r="G248" s="1" t="str">
        <f t="shared" si="35"/>
        <v/>
      </c>
      <c r="H248" s="1" t="str">
        <f t="shared" si="36"/>
        <v/>
      </c>
      <c r="I248" s="1" t="str">
        <f t="shared" si="37"/>
        <v/>
      </c>
      <c r="J248" s="1" t="str">
        <f t="shared" si="38"/>
        <v/>
      </c>
      <c r="K248" s="1">
        <f t="shared" si="39"/>
        <v>0.85106382978723405</v>
      </c>
      <c r="L248" s="1" t="str">
        <f t="shared" si="40"/>
        <v/>
      </c>
    </row>
    <row r="249" spans="1:12">
      <c r="A249" t="s">
        <v>71</v>
      </c>
      <c r="B249">
        <v>10</v>
      </c>
      <c r="C249" t="str">
        <f t="shared" si="34"/>
        <v>test.GeoEngine_10_</v>
      </c>
      <c r="D249">
        <v>14</v>
      </c>
      <c r="E249">
        <v>0.88652482269503541</v>
      </c>
      <c r="F249">
        <v>1.00024975</v>
      </c>
      <c r="G249" s="1" t="str">
        <f t="shared" si="35"/>
        <v/>
      </c>
      <c r="H249" s="1" t="str">
        <f t="shared" si="36"/>
        <v/>
      </c>
      <c r="I249" s="1" t="str">
        <f t="shared" si="37"/>
        <v/>
      </c>
      <c r="J249" s="1" t="str">
        <f t="shared" si="38"/>
        <v/>
      </c>
      <c r="K249" s="1">
        <f t="shared" si="39"/>
        <v>0.88652482269503541</v>
      </c>
      <c r="L249" s="1" t="str">
        <f t="shared" si="40"/>
        <v/>
      </c>
    </row>
    <row r="250" spans="1:12">
      <c r="A250" t="s">
        <v>71</v>
      </c>
      <c r="B250">
        <v>10</v>
      </c>
      <c r="C250" t="str">
        <f t="shared" si="34"/>
        <v>test.GeoEngine_10_</v>
      </c>
      <c r="D250">
        <v>15</v>
      </c>
      <c r="E250">
        <v>0.88652482269503541</v>
      </c>
      <c r="F250">
        <v>1.0002997</v>
      </c>
      <c r="G250" s="1" t="str">
        <f t="shared" si="35"/>
        <v/>
      </c>
      <c r="H250" s="1" t="str">
        <f t="shared" si="36"/>
        <v/>
      </c>
      <c r="I250" s="1" t="str">
        <f t="shared" si="37"/>
        <v/>
      </c>
      <c r="J250" s="1" t="str">
        <f t="shared" si="38"/>
        <v/>
      </c>
      <c r="K250" s="1">
        <f t="shared" si="39"/>
        <v>0.88652482269503541</v>
      </c>
      <c r="L250" s="1" t="str">
        <f t="shared" si="40"/>
        <v/>
      </c>
    </row>
    <row r="251" spans="1:12">
      <c r="A251" t="s">
        <v>71</v>
      </c>
      <c r="B251">
        <v>10</v>
      </c>
      <c r="C251" t="str">
        <f t="shared" si="34"/>
        <v>test.GeoEngine_10_</v>
      </c>
      <c r="D251">
        <v>16</v>
      </c>
      <c r="E251">
        <v>0.92907801418439717</v>
      </c>
      <c r="F251">
        <v>1.00034965</v>
      </c>
      <c r="G251" s="1" t="str">
        <f t="shared" si="35"/>
        <v/>
      </c>
      <c r="H251" s="1" t="str">
        <f t="shared" si="36"/>
        <v/>
      </c>
      <c r="I251" s="1" t="str">
        <f t="shared" si="37"/>
        <v/>
      </c>
      <c r="J251" s="1" t="str">
        <f t="shared" si="38"/>
        <v/>
      </c>
      <c r="K251" s="1">
        <f t="shared" si="39"/>
        <v>0.92907801418439717</v>
      </c>
      <c r="L251" s="1" t="str">
        <f t="shared" si="40"/>
        <v/>
      </c>
    </row>
    <row r="252" spans="1:12">
      <c r="A252" t="s">
        <v>71</v>
      </c>
      <c r="B252">
        <v>10</v>
      </c>
      <c r="C252" t="str">
        <f t="shared" si="34"/>
        <v>test.GeoEngine_10_</v>
      </c>
      <c r="D252">
        <v>1</v>
      </c>
      <c r="E252">
        <v>0.92907801418439717</v>
      </c>
      <c r="F252">
        <v>1.0003995999999999</v>
      </c>
      <c r="G252" s="1" t="str">
        <f t="shared" si="35"/>
        <v/>
      </c>
      <c r="H252" s="1" t="str">
        <f t="shared" si="36"/>
        <v/>
      </c>
      <c r="I252" s="1" t="str">
        <f t="shared" si="37"/>
        <v/>
      </c>
      <c r="J252" s="1" t="str">
        <f t="shared" si="38"/>
        <v/>
      </c>
      <c r="K252" s="1">
        <f t="shared" si="39"/>
        <v>0.92907801418439717</v>
      </c>
      <c r="L252" s="1" t="str">
        <f t="shared" si="40"/>
        <v/>
      </c>
    </row>
    <row r="253" spans="1:12">
      <c r="A253" t="s">
        <v>71</v>
      </c>
      <c r="B253">
        <v>10</v>
      </c>
      <c r="C253" t="str">
        <f t="shared" si="34"/>
        <v>test.GeoEngine_10_</v>
      </c>
      <c r="D253">
        <v>2</v>
      </c>
      <c r="E253">
        <v>0.94326241134751776</v>
      </c>
      <c r="F253">
        <v>1.5</v>
      </c>
      <c r="G253" s="1" t="str">
        <f t="shared" si="35"/>
        <v/>
      </c>
      <c r="H253" s="1" t="str">
        <f t="shared" si="36"/>
        <v/>
      </c>
      <c r="I253" s="1" t="str">
        <f t="shared" si="37"/>
        <v/>
      </c>
      <c r="J253" s="1" t="str">
        <f t="shared" si="38"/>
        <v/>
      </c>
      <c r="K253" s="1" t="str">
        <f t="shared" si="39"/>
        <v/>
      </c>
      <c r="L253" s="1">
        <f t="shared" si="40"/>
        <v>0.94326241134751776</v>
      </c>
    </row>
    <row r="254" spans="1:12">
      <c r="A254" t="s">
        <v>71</v>
      </c>
      <c r="B254">
        <v>10</v>
      </c>
      <c r="C254" t="str">
        <f t="shared" si="34"/>
        <v>test.GeoEngine_10_</v>
      </c>
      <c r="D254">
        <v>3</v>
      </c>
      <c r="E254">
        <v>0.94326241134751776</v>
      </c>
      <c r="F254">
        <v>1.5000500000000001</v>
      </c>
      <c r="G254" s="1" t="str">
        <f t="shared" si="35"/>
        <v/>
      </c>
      <c r="H254" s="1" t="str">
        <f t="shared" si="36"/>
        <v/>
      </c>
      <c r="I254" s="1" t="str">
        <f t="shared" si="37"/>
        <v/>
      </c>
      <c r="J254" s="1" t="str">
        <f t="shared" si="38"/>
        <v/>
      </c>
      <c r="K254" s="1" t="str">
        <f t="shared" si="39"/>
        <v/>
      </c>
      <c r="L254" s="1">
        <f t="shared" si="40"/>
        <v>0.94326241134751776</v>
      </c>
    </row>
    <row r="255" spans="1:12">
      <c r="A255" t="s">
        <v>71</v>
      </c>
      <c r="B255">
        <v>10</v>
      </c>
      <c r="C255" t="str">
        <f t="shared" si="34"/>
        <v>test.GeoEngine_10_</v>
      </c>
      <c r="D255">
        <v>1</v>
      </c>
      <c r="E255">
        <v>0.94326241134751776</v>
      </c>
      <c r="F255">
        <v>1.5000998999999999</v>
      </c>
      <c r="G255" s="1" t="str">
        <f t="shared" si="35"/>
        <v/>
      </c>
      <c r="H255" s="1" t="str">
        <f t="shared" si="36"/>
        <v/>
      </c>
      <c r="I255" s="1" t="str">
        <f t="shared" si="37"/>
        <v/>
      </c>
      <c r="J255" s="1" t="str">
        <f t="shared" si="38"/>
        <v/>
      </c>
      <c r="K255" s="1" t="str">
        <f t="shared" si="39"/>
        <v/>
      </c>
      <c r="L255" s="1">
        <f t="shared" si="40"/>
        <v>0.94326241134751776</v>
      </c>
    </row>
    <row r="256" spans="1:12">
      <c r="A256" t="s">
        <v>71</v>
      </c>
      <c r="B256">
        <v>10</v>
      </c>
      <c r="C256" t="str">
        <f t="shared" si="34"/>
        <v>test.GeoEngine_10_</v>
      </c>
      <c r="D256">
        <v>2</v>
      </c>
      <c r="E256">
        <v>0.94326241134751776</v>
      </c>
      <c r="F256">
        <v>1.5001498499999999</v>
      </c>
      <c r="G256" s="1" t="str">
        <f t="shared" si="35"/>
        <v/>
      </c>
      <c r="H256" s="1" t="str">
        <f t="shared" si="36"/>
        <v/>
      </c>
      <c r="I256" s="1" t="str">
        <f t="shared" si="37"/>
        <v/>
      </c>
      <c r="J256" s="1" t="str">
        <f t="shared" si="38"/>
        <v/>
      </c>
      <c r="K256" s="1" t="str">
        <f t="shared" si="39"/>
        <v/>
      </c>
      <c r="L256" s="1">
        <f t="shared" si="40"/>
        <v>0.94326241134751776</v>
      </c>
    </row>
    <row r="257" spans="1:12">
      <c r="A257" t="s">
        <v>71</v>
      </c>
      <c r="B257">
        <v>10</v>
      </c>
      <c r="C257" t="str">
        <f t="shared" si="34"/>
        <v>test.GeoEngine_10_</v>
      </c>
      <c r="D257">
        <v>3</v>
      </c>
      <c r="E257">
        <v>0.94326241134751776</v>
      </c>
      <c r="F257">
        <v>1.5001998000000001</v>
      </c>
      <c r="G257" s="1" t="str">
        <f t="shared" si="35"/>
        <v/>
      </c>
      <c r="H257" s="1" t="str">
        <f t="shared" si="36"/>
        <v/>
      </c>
      <c r="I257" s="1" t="str">
        <f t="shared" si="37"/>
        <v/>
      </c>
      <c r="J257" s="1" t="str">
        <f t="shared" si="38"/>
        <v/>
      </c>
      <c r="K257" s="1" t="str">
        <f t="shared" si="39"/>
        <v/>
      </c>
      <c r="L257" s="1">
        <f t="shared" si="40"/>
        <v>0.94326241134751776</v>
      </c>
    </row>
    <row r="258" spans="1:12">
      <c r="A258" t="s">
        <v>71</v>
      </c>
      <c r="B258">
        <v>10</v>
      </c>
      <c r="C258" t="str">
        <f t="shared" si="34"/>
        <v>test.GeoEngine_10_</v>
      </c>
      <c r="D258">
        <v>4</v>
      </c>
      <c r="E258">
        <v>0.95035460992907805</v>
      </c>
      <c r="F258">
        <v>1.50024975</v>
      </c>
      <c r="G258" s="1" t="str">
        <f t="shared" si="35"/>
        <v/>
      </c>
      <c r="H258" s="1" t="str">
        <f t="shared" si="36"/>
        <v/>
      </c>
      <c r="I258" s="1" t="str">
        <f t="shared" si="37"/>
        <v/>
      </c>
      <c r="J258" s="1" t="str">
        <f t="shared" si="38"/>
        <v/>
      </c>
      <c r="K258" s="1" t="str">
        <f t="shared" si="39"/>
        <v/>
      </c>
      <c r="L258" s="1">
        <f t="shared" si="40"/>
        <v>0.95035460992907805</v>
      </c>
    </row>
    <row r="259" spans="1:12">
      <c r="A259" t="s">
        <v>71</v>
      </c>
      <c r="B259">
        <v>10</v>
      </c>
      <c r="C259" t="str">
        <f t="shared" ref="C259:C322" si="41">CONCATENATE(A259, "_",B259,"_")</f>
        <v>test.GeoEngine_10_</v>
      </c>
      <c r="D259">
        <v>5</v>
      </c>
      <c r="E259">
        <v>0.95035460992907805</v>
      </c>
      <c r="F259">
        <v>1.5002997</v>
      </c>
      <c r="G259" s="1" t="str">
        <f t="shared" ref="G259:G322" si="42">IF($F259 &lt;= 0.2,$E259,"")</f>
        <v/>
      </c>
      <c r="H259" s="1" t="str">
        <f t="shared" ref="H259:H322" si="43">IF(AND($F259 &gt; 0.2,$F259 &lt;= 0.4),$E259,"")</f>
        <v/>
      </c>
      <c r="I259" s="1" t="str">
        <f t="shared" ref="I259:I322" si="44">IF(AND($F259 &gt; 0.4,$F259 &lt;= 0.6),$E259,"")</f>
        <v/>
      </c>
      <c r="J259" s="1" t="str">
        <f t="shared" ref="J259:J322" si="45">IF(AND($F259 &gt; 0.6,$F259 &lt;= 0.8),$E259,"")</f>
        <v/>
      </c>
      <c r="K259" s="1" t="str">
        <f t="shared" ref="K259:K322" si="46">IF(AND($F259 &gt; 0.8, $F259 &lt;=1.1),$E259,"")</f>
        <v/>
      </c>
      <c r="L259" s="1">
        <f t="shared" ref="L259:L322" si="47">IF(AND($F259 &gt; 1.1),$E259,"")</f>
        <v>0.95035460992907805</v>
      </c>
    </row>
    <row r="260" spans="1:12">
      <c r="A260" t="s">
        <v>71</v>
      </c>
      <c r="B260">
        <v>10</v>
      </c>
      <c r="C260" t="str">
        <f t="shared" si="41"/>
        <v>test.GeoEngine_10_</v>
      </c>
      <c r="D260">
        <v>6</v>
      </c>
      <c r="E260">
        <v>0.95035460992907805</v>
      </c>
      <c r="F260">
        <v>1.50034965</v>
      </c>
      <c r="G260" s="1" t="str">
        <f t="shared" si="42"/>
        <v/>
      </c>
      <c r="H260" s="1" t="str">
        <f t="shared" si="43"/>
        <v/>
      </c>
      <c r="I260" s="1" t="str">
        <f t="shared" si="44"/>
        <v/>
      </c>
      <c r="J260" s="1" t="str">
        <f t="shared" si="45"/>
        <v/>
      </c>
      <c r="K260" s="1" t="str">
        <f t="shared" si="46"/>
        <v/>
      </c>
      <c r="L260" s="1">
        <f t="shared" si="47"/>
        <v>0.95035460992907805</v>
      </c>
    </row>
    <row r="261" spans="1:12">
      <c r="A261" t="s">
        <v>71</v>
      </c>
      <c r="B261">
        <v>10</v>
      </c>
      <c r="C261" t="str">
        <f t="shared" si="41"/>
        <v>test.GeoEngine_10_</v>
      </c>
      <c r="D261">
        <v>7</v>
      </c>
      <c r="E261">
        <v>0.95035460992907805</v>
      </c>
      <c r="F261">
        <v>1.5003995999999999</v>
      </c>
      <c r="G261" s="1" t="str">
        <f t="shared" si="42"/>
        <v/>
      </c>
      <c r="H261" s="1" t="str">
        <f t="shared" si="43"/>
        <v/>
      </c>
      <c r="I261" s="1" t="str">
        <f t="shared" si="44"/>
        <v/>
      </c>
      <c r="J261" s="1" t="str">
        <f t="shared" si="45"/>
        <v/>
      </c>
      <c r="K261" s="1" t="str">
        <f t="shared" si="46"/>
        <v/>
      </c>
      <c r="L261" s="1">
        <f t="shared" si="47"/>
        <v>0.95035460992907805</v>
      </c>
    </row>
    <row r="262" spans="1:12">
      <c r="A262" t="s">
        <v>71</v>
      </c>
      <c r="B262">
        <v>10</v>
      </c>
      <c r="C262" t="str">
        <f t="shared" si="41"/>
        <v>test.GeoEngine_10_</v>
      </c>
      <c r="D262">
        <v>8</v>
      </c>
      <c r="E262">
        <v>0.95035460992907805</v>
      </c>
      <c r="F262">
        <v>1.5004495</v>
      </c>
      <c r="G262" s="1" t="str">
        <f t="shared" si="42"/>
        <v/>
      </c>
      <c r="H262" s="1" t="str">
        <f t="shared" si="43"/>
        <v/>
      </c>
      <c r="I262" s="1" t="str">
        <f t="shared" si="44"/>
        <v/>
      </c>
      <c r="J262" s="1" t="str">
        <f t="shared" si="45"/>
        <v/>
      </c>
      <c r="K262" s="1" t="str">
        <f t="shared" si="46"/>
        <v/>
      </c>
      <c r="L262" s="1">
        <f t="shared" si="47"/>
        <v>0.95035460992907805</v>
      </c>
    </row>
    <row r="263" spans="1:12">
      <c r="A263" t="s">
        <v>71</v>
      </c>
      <c r="B263">
        <v>10</v>
      </c>
      <c r="C263" t="str">
        <f t="shared" si="41"/>
        <v>test.GeoEngine_10_</v>
      </c>
      <c r="D263">
        <v>9</v>
      </c>
      <c r="E263">
        <v>0.98581560283687941</v>
      </c>
      <c r="F263">
        <v>1.5004995000000001</v>
      </c>
      <c r="G263" s="1" t="str">
        <f t="shared" si="42"/>
        <v/>
      </c>
      <c r="H263" s="1" t="str">
        <f t="shared" si="43"/>
        <v/>
      </c>
      <c r="I263" s="1" t="str">
        <f t="shared" si="44"/>
        <v/>
      </c>
      <c r="J263" s="1" t="str">
        <f t="shared" si="45"/>
        <v/>
      </c>
      <c r="K263" s="1" t="str">
        <f t="shared" si="46"/>
        <v/>
      </c>
      <c r="L263" s="1">
        <f t="shared" si="47"/>
        <v>0.98581560283687941</v>
      </c>
    </row>
    <row r="264" spans="1:12">
      <c r="A264" t="s">
        <v>71</v>
      </c>
      <c r="B264">
        <v>10</v>
      </c>
      <c r="C264" t="str">
        <f t="shared" si="41"/>
        <v>test.GeoEngine_10_</v>
      </c>
      <c r="D264">
        <v>1</v>
      </c>
      <c r="E264">
        <v>0.99290780141843971</v>
      </c>
      <c r="F264">
        <v>1.5005494500000001</v>
      </c>
      <c r="G264" s="1" t="str">
        <f t="shared" si="42"/>
        <v/>
      </c>
      <c r="H264" s="1" t="str">
        <f t="shared" si="43"/>
        <v/>
      </c>
      <c r="I264" s="1" t="str">
        <f t="shared" si="44"/>
        <v/>
      </c>
      <c r="J264" s="1" t="str">
        <f t="shared" si="45"/>
        <v/>
      </c>
      <c r="K264" s="1" t="str">
        <f t="shared" si="46"/>
        <v/>
      </c>
      <c r="L264" s="1">
        <f t="shared" si="47"/>
        <v>0.99290780141843971</v>
      </c>
    </row>
    <row r="265" spans="1:12">
      <c r="A265" t="s">
        <v>71</v>
      </c>
      <c r="B265">
        <v>10</v>
      </c>
      <c r="C265" t="str">
        <f t="shared" si="41"/>
        <v>test.GeoEngine_10_</v>
      </c>
      <c r="D265">
        <v>2</v>
      </c>
      <c r="E265">
        <v>0.99290780141843971</v>
      </c>
      <c r="F265">
        <v>1.5005994</v>
      </c>
      <c r="G265" s="1" t="str">
        <f t="shared" si="42"/>
        <v/>
      </c>
      <c r="H265" s="1" t="str">
        <f t="shared" si="43"/>
        <v/>
      </c>
      <c r="I265" s="1" t="str">
        <f t="shared" si="44"/>
        <v/>
      </c>
      <c r="J265" s="1" t="str">
        <f t="shared" si="45"/>
        <v/>
      </c>
      <c r="K265" s="1" t="str">
        <f t="shared" si="46"/>
        <v/>
      </c>
      <c r="L265" s="1">
        <f t="shared" si="47"/>
        <v>0.99290780141843971</v>
      </c>
    </row>
    <row r="266" spans="1:12">
      <c r="A266" t="s">
        <v>71</v>
      </c>
      <c r="B266">
        <v>10</v>
      </c>
      <c r="C266" t="str">
        <f t="shared" si="41"/>
        <v>test.GeoEngine_10_</v>
      </c>
      <c r="D266">
        <v>1</v>
      </c>
      <c r="E266">
        <v>0.99290780141843971</v>
      </c>
      <c r="F266">
        <v>1.50064935</v>
      </c>
      <c r="G266" s="1" t="str">
        <f t="shared" si="42"/>
        <v/>
      </c>
      <c r="H266" s="1" t="str">
        <f t="shared" si="43"/>
        <v/>
      </c>
      <c r="I266" s="1" t="str">
        <f t="shared" si="44"/>
        <v/>
      </c>
      <c r="J266" s="1" t="str">
        <f t="shared" si="45"/>
        <v/>
      </c>
      <c r="K266" s="1" t="str">
        <f t="shared" si="46"/>
        <v/>
      </c>
      <c r="L266" s="1">
        <f t="shared" si="47"/>
        <v>0.99290780141843971</v>
      </c>
    </row>
    <row r="267" spans="1:12">
      <c r="A267" t="s">
        <v>71</v>
      </c>
      <c r="B267">
        <v>10</v>
      </c>
      <c r="C267" t="str">
        <f t="shared" si="41"/>
        <v>test.GeoEngine_10_</v>
      </c>
      <c r="D267">
        <v>2</v>
      </c>
      <c r="E267">
        <v>0.99290780141843971</v>
      </c>
      <c r="F267">
        <v>1.5006993</v>
      </c>
      <c r="G267" s="1" t="str">
        <f t="shared" si="42"/>
        <v/>
      </c>
      <c r="H267" s="1" t="str">
        <f t="shared" si="43"/>
        <v/>
      </c>
      <c r="I267" s="1" t="str">
        <f t="shared" si="44"/>
        <v/>
      </c>
      <c r="J267" s="1" t="str">
        <f t="shared" si="45"/>
        <v/>
      </c>
      <c r="K267" s="1" t="str">
        <f t="shared" si="46"/>
        <v/>
      </c>
      <c r="L267" s="1">
        <f t="shared" si="47"/>
        <v>0.99290780141843971</v>
      </c>
    </row>
    <row r="268" spans="1:12">
      <c r="A268" t="s">
        <v>71</v>
      </c>
      <c r="B268">
        <v>10</v>
      </c>
      <c r="C268" t="str">
        <f t="shared" si="41"/>
        <v>test.GeoEngine_10_</v>
      </c>
      <c r="D268">
        <v>3</v>
      </c>
      <c r="E268">
        <v>0.99290780141843971</v>
      </c>
      <c r="F268">
        <v>1.5007492499999999</v>
      </c>
      <c r="G268" s="1" t="str">
        <f t="shared" si="42"/>
        <v/>
      </c>
      <c r="H268" s="1" t="str">
        <f t="shared" si="43"/>
        <v/>
      </c>
      <c r="I268" s="1" t="str">
        <f t="shared" si="44"/>
        <v/>
      </c>
      <c r="J268" s="1" t="str">
        <f t="shared" si="45"/>
        <v/>
      </c>
      <c r="K268" s="1" t="str">
        <f t="shared" si="46"/>
        <v/>
      </c>
      <c r="L268" s="1">
        <f t="shared" si="47"/>
        <v>0.99290780141843971</v>
      </c>
    </row>
    <row r="269" spans="1:12">
      <c r="A269" t="s">
        <v>71</v>
      </c>
      <c r="B269">
        <v>10</v>
      </c>
      <c r="C269" t="str">
        <f t="shared" si="41"/>
        <v>test.GeoEngine_10_</v>
      </c>
      <c r="D269">
        <v>4</v>
      </c>
      <c r="E269">
        <v>0.99290780141843971</v>
      </c>
      <c r="F269">
        <v>1.5007992000000001</v>
      </c>
      <c r="G269" s="1" t="str">
        <f t="shared" si="42"/>
        <v/>
      </c>
      <c r="H269" s="1" t="str">
        <f t="shared" si="43"/>
        <v/>
      </c>
      <c r="I269" s="1" t="str">
        <f t="shared" si="44"/>
        <v/>
      </c>
      <c r="J269" s="1" t="str">
        <f t="shared" si="45"/>
        <v/>
      </c>
      <c r="K269" s="1" t="str">
        <f t="shared" si="46"/>
        <v/>
      </c>
      <c r="L269" s="1">
        <f t="shared" si="47"/>
        <v>0.99290780141843971</v>
      </c>
    </row>
    <row r="270" spans="1:12">
      <c r="A270" t="s">
        <v>71</v>
      </c>
      <c r="B270">
        <v>10</v>
      </c>
      <c r="C270" t="str">
        <f t="shared" si="41"/>
        <v>test.GeoEngine_10_</v>
      </c>
      <c r="D270">
        <v>5</v>
      </c>
      <c r="E270">
        <v>0.99290780141843971</v>
      </c>
      <c r="F270">
        <v>1.5008491500000001</v>
      </c>
      <c r="G270" s="1" t="str">
        <f t="shared" si="42"/>
        <v/>
      </c>
      <c r="H270" s="1" t="str">
        <f t="shared" si="43"/>
        <v/>
      </c>
      <c r="I270" s="1" t="str">
        <f t="shared" si="44"/>
        <v/>
      </c>
      <c r="J270" s="1" t="str">
        <f t="shared" si="45"/>
        <v/>
      </c>
      <c r="K270" s="1" t="str">
        <f t="shared" si="46"/>
        <v/>
      </c>
      <c r="L270" s="1">
        <f t="shared" si="47"/>
        <v>0.99290780141843971</v>
      </c>
    </row>
    <row r="271" spans="1:12">
      <c r="A271" t="s">
        <v>71</v>
      </c>
      <c r="B271">
        <v>10</v>
      </c>
      <c r="C271" t="str">
        <f t="shared" si="41"/>
        <v>test.GeoEngine_10_</v>
      </c>
      <c r="D271">
        <v>6</v>
      </c>
      <c r="E271">
        <v>1</v>
      </c>
      <c r="F271">
        <v>1.5008991</v>
      </c>
      <c r="G271" s="1" t="str">
        <f t="shared" si="42"/>
        <v/>
      </c>
      <c r="H271" s="1" t="str">
        <f t="shared" si="43"/>
        <v/>
      </c>
      <c r="I271" s="1" t="str">
        <f t="shared" si="44"/>
        <v/>
      </c>
      <c r="J271" s="1" t="str">
        <f t="shared" si="45"/>
        <v/>
      </c>
      <c r="K271" s="1" t="str">
        <f t="shared" si="46"/>
        <v/>
      </c>
      <c r="L271" s="1">
        <f t="shared" si="47"/>
        <v>1</v>
      </c>
    </row>
    <row r="272" spans="1:12">
      <c r="A272" t="s">
        <v>71</v>
      </c>
      <c r="B272">
        <v>10</v>
      </c>
      <c r="C272" t="str">
        <f t="shared" si="41"/>
        <v>test.GeoEngine_10_</v>
      </c>
      <c r="D272">
        <v>7</v>
      </c>
      <c r="E272">
        <v>1</v>
      </c>
      <c r="F272">
        <v>1.5009490000000001</v>
      </c>
      <c r="G272" s="1" t="str">
        <f t="shared" si="42"/>
        <v/>
      </c>
      <c r="H272" s="1" t="str">
        <f t="shared" si="43"/>
        <v/>
      </c>
      <c r="I272" s="1" t="str">
        <f t="shared" si="44"/>
        <v/>
      </c>
      <c r="J272" s="1" t="str">
        <f t="shared" si="45"/>
        <v/>
      </c>
      <c r="K272" s="1" t="str">
        <f t="shared" si="46"/>
        <v/>
      </c>
      <c r="L272" s="1">
        <f t="shared" si="47"/>
        <v>1</v>
      </c>
    </row>
    <row r="273" spans="1:12">
      <c r="A273" t="s">
        <v>71</v>
      </c>
      <c r="B273">
        <v>10</v>
      </c>
      <c r="C273" t="str">
        <f t="shared" si="41"/>
        <v>test.GeoEngine_10_</v>
      </c>
      <c r="D273">
        <v>1</v>
      </c>
      <c r="E273">
        <v>1</v>
      </c>
      <c r="F273">
        <v>1.500999</v>
      </c>
      <c r="G273" s="1" t="str">
        <f t="shared" si="42"/>
        <v/>
      </c>
      <c r="H273" s="1" t="str">
        <f t="shared" si="43"/>
        <v/>
      </c>
      <c r="I273" s="1" t="str">
        <f t="shared" si="44"/>
        <v/>
      </c>
      <c r="J273" s="1" t="str">
        <f t="shared" si="45"/>
        <v/>
      </c>
      <c r="K273" s="1" t="str">
        <f t="shared" si="46"/>
        <v/>
      </c>
      <c r="L273" s="1">
        <f t="shared" si="47"/>
        <v>1</v>
      </c>
    </row>
    <row r="274" spans="1:12">
      <c r="A274" t="s">
        <v>71</v>
      </c>
      <c r="B274">
        <v>10</v>
      </c>
      <c r="C274" t="str">
        <f t="shared" si="41"/>
        <v>test.GeoEngine_10_</v>
      </c>
      <c r="D274">
        <v>2</v>
      </c>
      <c r="E274">
        <v>1</v>
      </c>
      <c r="F274">
        <v>1.5010489</v>
      </c>
      <c r="G274" s="1" t="str">
        <f t="shared" si="42"/>
        <v/>
      </c>
      <c r="H274" s="1" t="str">
        <f t="shared" si="43"/>
        <v/>
      </c>
      <c r="I274" s="1" t="str">
        <f t="shared" si="44"/>
        <v/>
      </c>
      <c r="J274" s="1" t="str">
        <f t="shared" si="45"/>
        <v/>
      </c>
      <c r="K274" s="1" t="str">
        <f t="shared" si="46"/>
        <v/>
      </c>
      <c r="L274" s="1">
        <f t="shared" si="47"/>
        <v>1</v>
      </c>
    </row>
    <row r="275" spans="1:12">
      <c r="A275" t="s">
        <v>71</v>
      </c>
      <c r="B275">
        <v>10</v>
      </c>
      <c r="C275" t="str">
        <f t="shared" si="41"/>
        <v>test.GeoEngine_10_</v>
      </c>
      <c r="D275">
        <v>3</v>
      </c>
      <c r="E275">
        <v>1</v>
      </c>
      <c r="F275">
        <v>2</v>
      </c>
      <c r="G275" s="1" t="str">
        <f t="shared" si="42"/>
        <v/>
      </c>
      <c r="H275" s="1" t="str">
        <f t="shared" si="43"/>
        <v/>
      </c>
      <c r="I275" s="1" t="str">
        <f t="shared" si="44"/>
        <v/>
      </c>
      <c r="J275" s="1" t="str">
        <f t="shared" si="45"/>
        <v/>
      </c>
      <c r="K275" s="1" t="str">
        <f t="shared" si="46"/>
        <v/>
      </c>
      <c r="L275" s="1">
        <f t="shared" si="47"/>
        <v>1</v>
      </c>
    </row>
    <row r="276" spans="1:12">
      <c r="A276" t="s">
        <v>112</v>
      </c>
      <c r="B276">
        <v>3</v>
      </c>
      <c r="C276" t="str">
        <f t="shared" si="41"/>
        <v>test.FastBlurFilter_3_</v>
      </c>
      <c r="D276">
        <v>1</v>
      </c>
      <c r="E276">
        <v>0.96505438555889844</v>
      </c>
      <c r="F276">
        <v>0.91228070175438591</v>
      </c>
      <c r="G276" s="1" t="str">
        <f t="shared" si="42"/>
        <v/>
      </c>
      <c r="H276" s="1" t="str">
        <f t="shared" si="43"/>
        <v/>
      </c>
      <c r="I276" s="1" t="str">
        <f t="shared" si="44"/>
        <v/>
      </c>
      <c r="J276" s="1" t="str">
        <f t="shared" si="45"/>
        <v/>
      </c>
      <c r="K276" s="1">
        <f t="shared" si="46"/>
        <v>0.96505438555889844</v>
      </c>
      <c r="L276" s="1" t="str">
        <f t="shared" si="47"/>
        <v/>
      </c>
    </row>
    <row r="277" spans="1:12">
      <c r="A277" t="s">
        <v>112</v>
      </c>
      <c r="B277">
        <v>3</v>
      </c>
      <c r="C277" t="str">
        <f t="shared" si="41"/>
        <v>test.FastBlurFilter_3_</v>
      </c>
      <c r="D277">
        <v>2</v>
      </c>
      <c r="E277">
        <v>1</v>
      </c>
      <c r="F277">
        <v>0.91228245614035097</v>
      </c>
      <c r="G277" s="1" t="str">
        <f t="shared" si="42"/>
        <v/>
      </c>
      <c r="H277" s="1" t="str">
        <f t="shared" si="43"/>
        <v/>
      </c>
      <c r="I277" s="1" t="str">
        <f t="shared" si="44"/>
        <v/>
      </c>
      <c r="J277" s="1" t="str">
        <f t="shared" si="45"/>
        <v/>
      </c>
      <c r="K277" s="1">
        <f t="shared" si="46"/>
        <v>1</v>
      </c>
      <c r="L277" s="1" t="str">
        <f t="shared" si="47"/>
        <v/>
      </c>
    </row>
    <row r="278" spans="1:12">
      <c r="A278" t="s">
        <v>303</v>
      </c>
      <c r="B278">
        <v>2</v>
      </c>
      <c r="C278" t="str">
        <f t="shared" si="41"/>
        <v>test.InfTree_2_</v>
      </c>
      <c r="D278">
        <v>3</v>
      </c>
      <c r="E278">
        <v>1.3882878984566565E-2</v>
      </c>
      <c r="F278">
        <v>1.893939393939394E-2</v>
      </c>
      <c r="G278" s="1">
        <f t="shared" si="42"/>
        <v>1.3882878984566565E-2</v>
      </c>
      <c r="H278" s="1" t="str">
        <f t="shared" si="43"/>
        <v/>
      </c>
      <c r="I278" s="1" t="str">
        <f t="shared" si="44"/>
        <v/>
      </c>
      <c r="J278" s="1" t="str">
        <f t="shared" si="45"/>
        <v/>
      </c>
      <c r="K278" s="1" t="str">
        <f t="shared" si="46"/>
        <v/>
      </c>
      <c r="L278" s="1" t="str">
        <f t="shared" si="47"/>
        <v/>
      </c>
    </row>
    <row r="279" spans="1:12">
      <c r="A279" t="s">
        <v>303</v>
      </c>
      <c r="B279">
        <v>2</v>
      </c>
      <c r="C279" t="str">
        <f t="shared" si="41"/>
        <v>test.InfTree_2_</v>
      </c>
      <c r="D279">
        <v>4</v>
      </c>
      <c r="E279">
        <v>5.8560507716717149E-2</v>
      </c>
      <c r="F279">
        <v>4.1666666666666664E-2</v>
      </c>
      <c r="G279" s="1">
        <f t="shared" si="42"/>
        <v>5.8560507716717149E-2</v>
      </c>
      <c r="H279" s="1" t="str">
        <f t="shared" si="43"/>
        <v/>
      </c>
      <c r="I279" s="1" t="str">
        <f t="shared" si="44"/>
        <v/>
      </c>
      <c r="J279" s="1" t="str">
        <f t="shared" si="45"/>
        <v/>
      </c>
      <c r="K279" s="1" t="str">
        <f t="shared" si="46"/>
        <v/>
      </c>
      <c r="L279" s="1" t="str">
        <f t="shared" si="47"/>
        <v/>
      </c>
    </row>
    <row r="280" spans="1:12">
      <c r="A280" t="s">
        <v>303</v>
      </c>
      <c r="B280">
        <v>2</v>
      </c>
      <c r="C280" t="str">
        <f t="shared" si="41"/>
        <v>test.InfTree_2_</v>
      </c>
      <c r="D280">
        <v>5</v>
      </c>
      <c r="E280">
        <v>1</v>
      </c>
      <c r="F280">
        <v>0.94318181818181823</v>
      </c>
      <c r="G280" s="1" t="str">
        <f t="shared" si="42"/>
        <v/>
      </c>
      <c r="H280" s="1" t="str">
        <f t="shared" si="43"/>
        <v/>
      </c>
      <c r="I280" s="1" t="str">
        <f t="shared" si="44"/>
        <v/>
      </c>
      <c r="J280" s="1" t="str">
        <f t="shared" si="45"/>
        <v/>
      </c>
      <c r="K280" s="1">
        <f t="shared" si="46"/>
        <v>1</v>
      </c>
      <c r="L280" s="1" t="str">
        <f t="shared" si="47"/>
        <v/>
      </c>
    </row>
    <row r="281" spans="1:12">
      <c r="A281" t="s">
        <v>113</v>
      </c>
      <c r="B281">
        <v>2</v>
      </c>
      <c r="C281" t="str">
        <f t="shared" si="41"/>
        <v>test.ImageData_2_</v>
      </c>
      <c r="D281">
        <v>6</v>
      </c>
      <c r="E281">
        <v>0.15957446808510639</v>
      </c>
      <c r="F281">
        <v>0.33333333333333331</v>
      </c>
      <c r="G281" s="1" t="str">
        <f t="shared" si="42"/>
        <v/>
      </c>
      <c r="H281" s="1">
        <f t="shared" si="43"/>
        <v>0.15957446808510639</v>
      </c>
      <c r="I281" s="1" t="str">
        <f t="shared" si="44"/>
        <v/>
      </c>
      <c r="J281" s="1" t="str">
        <f t="shared" si="45"/>
        <v/>
      </c>
      <c r="K281" s="1" t="str">
        <f t="shared" si="46"/>
        <v/>
      </c>
      <c r="L281" s="1" t="str">
        <f t="shared" si="47"/>
        <v/>
      </c>
    </row>
    <row r="282" spans="1:12">
      <c r="A282" t="s">
        <v>113</v>
      </c>
      <c r="B282">
        <v>2</v>
      </c>
      <c r="C282" t="str">
        <f t="shared" si="41"/>
        <v>test.ImageData_2_</v>
      </c>
      <c r="D282">
        <v>1</v>
      </c>
      <c r="E282">
        <v>0.20345744680851063</v>
      </c>
      <c r="F282">
        <v>0.33334444444444444</v>
      </c>
      <c r="G282" s="1" t="str">
        <f t="shared" si="42"/>
        <v/>
      </c>
      <c r="H282" s="1">
        <f t="shared" si="43"/>
        <v>0.20345744680851063</v>
      </c>
      <c r="I282" s="1" t="str">
        <f t="shared" si="44"/>
        <v/>
      </c>
      <c r="J282" s="1" t="str">
        <f t="shared" si="45"/>
        <v/>
      </c>
      <c r="K282" s="1" t="str">
        <f t="shared" si="46"/>
        <v/>
      </c>
      <c r="L282" s="1" t="str">
        <f t="shared" si="47"/>
        <v/>
      </c>
    </row>
    <row r="283" spans="1:12">
      <c r="A283" t="s">
        <v>113</v>
      </c>
      <c r="B283">
        <v>2</v>
      </c>
      <c r="C283" t="str">
        <f t="shared" si="41"/>
        <v>test.ImageData_2_</v>
      </c>
      <c r="D283">
        <v>2</v>
      </c>
      <c r="E283">
        <v>0.30585106382978722</v>
      </c>
      <c r="F283">
        <v>0.44444444444444442</v>
      </c>
      <c r="G283" s="1" t="str">
        <f t="shared" si="42"/>
        <v/>
      </c>
      <c r="H283" s="1" t="str">
        <f t="shared" si="43"/>
        <v/>
      </c>
      <c r="I283" s="1">
        <f t="shared" si="44"/>
        <v>0.30585106382978722</v>
      </c>
      <c r="J283" s="1" t="str">
        <f t="shared" si="45"/>
        <v/>
      </c>
      <c r="K283" s="1" t="str">
        <f t="shared" si="46"/>
        <v/>
      </c>
      <c r="L283" s="1" t="str">
        <f t="shared" si="47"/>
        <v/>
      </c>
    </row>
    <row r="284" spans="1:12">
      <c r="A284" t="s">
        <v>113</v>
      </c>
      <c r="B284">
        <v>2</v>
      </c>
      <c r="C284" t="str">
        <f t="shared" si="41"/>
        <v>test.ImageData_2_</v>
      </c>
      <c r="D284">
        <v>3</v>
      </c>
      <c r="E284">
        <v>0.33865248226950356</v>
      </c>
      <c r="F284">
        <v>0.44445555555555555</v>
      </c>
      <c r="G284" s="1" t="str">
        <f t="shared" si="42"/>
        <v/>
      </c>
      <c r="H284" s="1" t="str">
        <f t="shared" si="43"/>
        <v/>
      </c>
      <c r="I284" s="1">
        <f t="shared" si="44"/>
        <v>0.33865248226950356</v>
      </c>
      <c r="J284" s="1" t="str">
        <f t="shared" si="45"/>
        <v/>
      </c>
      <c r="K284" s="1" t="str">
        <f t="shared" si="46"/>
        <v/>
      </c>
      <c r="L284" s="1" t="str">
        <f t="shared" si="47"/>
        <v/>
      </c>
    </row>
    <row r="285" spans="1:12">
      <c r="A285" t="s">
        <v>113</v>
      </c>
      <c r="B285">
        <v>2</v>
      </c>
      <c r="C285" t="str">
        <f t="shared" si="41"/>
        <v>test.ImageData_2_</v>
      </c>
      <c r="D285">
        <v>4</v>
      </c>
      <c r="E285">
        <v>0.44237588652482268</v>
      </c>
      <c r="F285">
        <v>0.44446670000000005</v>
      </c>
      <c r="G285" s="1" t="str">
        <f t="shared" si="42"/>
        <v/>
      </c>
      <c r="H285" s="1" t="str">
        <f t="shared" si="43"/>
        <v/>
      </c>
      <c r="I285" s="1">
        <f t="shared" si="44"/>
        <v>0.44237588652482268</v>
      </c>
      <c r="J285" s="1" t="str">
        <f t="shared" si="45"/>
        <v/>
      </c>
      <c r="K285" s="1" t="str">
        <f t="shared" si="46"/>
        <v/>
      </c>
      <c r="L285" s="1" t="str">
        <f t="shared" si="47"/>
        <v/>
      </c>
    </row>
    <row r="286" spans="1:12">
      <c r="A286" t="s">
        <v>113</v>
      </c>
      <c r="B286">
        <v>2</v>
      </c>
      <c r="C286" t="str">
        <f t="shared" si="41"/>
        <v>test.ImageData_2_</v>
      </c>
      <c r="D286">
        <v>5</v>
      </c>
      <c r="E286">
        <v>0.61923758865248224</v>
      </c>
      <c r="F286">
        <v>0.44447782222222226</v>
      </c>
      <c r="G286" s="1" t="str">
        <f t="shared" si="42"/>
        <v/>
      </c>
      <c r="H286" s="1" t="str">
        <f t="shared" si="43"/>
        <v/>
      </c>
      <c r="I286" s="1">
        <f t="shared" si="44"/>
        <v>0.61923758865248224</v>
      </c>
      <c r="J286" s="1" t="str">
        <f t="shared" si="45"/>
        <v/>
      </c>
      <c r="K286" s="1" t="str">
        <f t="shared" si="46"/>
        <v/>
      </c>
      <c r="L286" s="1" t="str">
        <f t="shared" si="47"/>
        <v/>
      </c>
    </row>
    <row r="287" spans="1:12">
      <c r="A287" t="s">
        <v>113</v>
      </c>
      <c r="B287">
        <v>2</v>
      </c>
      <c r="C287" t="str">
        <f t="shared" si="41"/>
        <v>test.ImageData_2_</v>
      </c>
      <c r="D287">
        <v>6</v>
      </c>
      <c r="E287">
        <v>0.73404255319148937</v>
      </c>
      <c r="F287">
        <v>0.44448894444444442</v>
      </c>
      <c r="G287" s="1" t="str">
        <f t="shared" si="42"/>
        <v/>
      </c>
      <c r="H287" s="1" t="str">
        <f t="shared" si="43"/>
        <v/>
      </c>
      <c r="I287" s="1">
        <f t="shared" si="44"/>
        <v>0.73404255319148937</v>
      </c>
      <c r="J287" s="1" t="str">
        <f t="shared" si="45"/>
        <v/>
      </c>
      <c r="K287" s="1" t="str">
        <f t="shared" si="46"/>
        <v/>
      </c>
      <c r="L287" s="1" t="str">
        <f t="shared" si="47"/>
        <v/>
      </c>
    </row>
    <row r="288" spans="1:12">
      <c r="A288" t="s">
        <v>113</v>
      </c>
      <c r="B288">
        <v>2</v>
      </c>
      <c r="C288" t="str">
        <f t="shared" si="41"/>
        <v>test.ImageData_2_</v>
      </c>
      <c r="D288">
        <v>7</v>
      </c>
      <c r="E288">
        <v>1</v>
      </c>
      <c r="F288">
        <v>0.55555555555555558</v>
      </c>
      <c r="G288" s="1" t="str">
        <f t="shared" si="42"/>
        <v/>
      </c>
      <c r="H288" s="1" t="str">
        <f t="shared" si="43"/>
        <v/>
      </c>
      <c r="I288" s="1">
        <f t="shared" si="44"/>
        <v>1</v>
      </c>
      <c r="J288" s="1" t="str">
        <f t="shared" si="45"/>
        <v/>
      </c>
      <c r="K288" s="1" t="str">
        <f t="shared" si="46"/>
        <v/>
      </c>
      <c r="L288" s="1" t="str">
        <f t="shared" si="47"/>
        <v/>
      </c>
    </row>
    <row r="289" spans="1:12">
      <c r="A289" t="s">
        <v>113</v>
      </c>
      <c r="B289">
        <v>3</v>
      </c>
      <c r="C289" t="str">
        <f t="shared" si="41"/>
        <v>test.ImageData_3_</v>
      </c>
      <c r="D289">
        <v>8</v>
      </c>
      <c r="E289">
        <v>9.3343390533660198E-2</v>
      </c>
      <c r="F289">
        <v>7.8431372549019607E-2</v>
      </c>
      <c r="G289" s="1">
        <f t="shared" si="42"/>
        <v>9.3343390533660198E-2</v>
      </c>
      <c r="H289" s="1" t="str">
        <f t="shared" si="43"/>
        <v/>
      </c>
      <c r="I289" s="1" t="str">
        <f t="shared" si="44"/>
        <v/>
      </c>
      <c r="J289" s="1" t="str">
        <f t="shared" si="45"/>
        <v/>
      </c>
      <c r="K289" s="1" t="str">
        <f t="shared" si="46"/>
        <v/>
      </c>
      <c r="L289" s="1" t="str">
        <f t="shared" si="47"/>
        <v/>
      </c>
    </row>
    <row r="290" spans="1:12">
      <c r="A290" t="s">
        <v>113</v>
      </c>
      <c r="B290">
        <v>3</v>
      </c>
      <c r="C290" t="str">
        <f t="shared" si="41"/>
        <v>test.ImageData_3_</v>
      </c>
      <c r="D290">
        <v>9</v>
      </c>
      <c r="E290">
        <v>9.6360550631717889E-2</v>
      </c>
      <c r="F290">
        <v>7.8433333333333327E-2</v>
      </c>
      <c r="G290" s="1">
        <f t="shared" si="42"/>
        <v>9.6360550631717889E-2</v>
      </c>
      <c r="H290" s="1" t="str">
        <f t="shared" si="43"/>
        <v/>
      </c>
      <c r="I290" s="1" t="str">
        <f t="shared" si="44"/>
        <v/>
      </c>
      <c r="J290" s="1" t="str">
        <f t="shared" si="45"/>
        <v/>
      </c>
      <c r="K290" s="1" t="str">
        <f t="shared" si="46"/>
        <v/>
      </c>
      <c r="L290" s="1" t="str">
        <f t="shared" si="47"/>
        <v/>
      </c>
    </row>
    <row r="291" spans="1:12">
      <c r="A291" t="s">
        <v>113</v>
      </c>
      <c r="B291">
        <v>3</v>
      </c>
      <c r="C291" t="str">
        <f t="shared" si="41"/>
        <v>test.ImageData_3_</v>
      </c>
      <c r="D291">
        <v>10</v>
      </c>
      <c r="E291">
        <v>0.18197246841410522</v>
      </c>
      <c r="F291">
        <v>0.13725490196078433</v>
      </c>
      <c r="G291" s="1">
        <f t="shared" si="42"/>
        <v>0.18197246841410522</v>
      </c>
      <c r="H291" s="1" t="str">
        <f t="shared" si="43"/>
        <v/>
      </c>
      <c r="I291" s="1" t="str">
        <f t="shared" si="44"/>
        <v/>
      </c>
      <c r="J291" s="1" t="str">
        <f t="shared" si="45"/>
        <v/>
      </c>
      <c r="K291" s="1" t="str">
        <f t="shared" si="46"/>
        <v/>
      </c>
      <c r="L291" s="1" t="str">
        <f t="shared" si="47"/>
        <v/>
      </c>
    </row>
    <row r="292" spans="1:12">
      <c r="A292" t="s">
        <v>113</v>
      </c>
      <c r="B292">
        <v>3</v>
      </c>
      <c r="C292" t="str">
        <f t="shared" si="41"/>
        <v>test.ImageData_3_</v>
      </c>
      <c r="D292">
        <v>11</v>
      </c>
      <c r="E292">
        <v>0.41957382613614935</v>
      </c>
      <c r="F292">
        <v>0.25490196078431371</v>
      </c>
      <c r="G292" s="1" t="str">
        <f t="shared" si="42"/>
        <v/>
      </c>
      <c r="H292" s="1">
        <f t="shared" si="43"/>
        <v>0.41957382613614935</v>
      </c>
      <c r="I292" s="1" t="str">
        <f t="shared" si="44"/>
        <v/>
      </c>
      <c r="J292" s="1" t="str">
        <f t="shared" si="45"/>
        <v/>
      </c>
      <c r="K292" s="1" t="str">
        <f t="shared" si="46"/>
        <v/>
      </c>
      <c r="L292" s="1" t="str">
        <f t="shared" si="47"/>
        <v/>
      </c>
    </row>
    <row r="293" spans="1:12">
      <c r="A293" t="s">
        <v>113</v>
      </c>
      <c r="B293">
        <v>3</v>
      </c>
      <c r="C293" t="str">
        <f t="shared" si="41"/>
        <v>test.ImageData_3_</v>
      </c>
      <c r="D293">
        <v>1</v>
      </c>
      <c r="E293">
        <v>0.78351876296435985</v>
      </c>
      <c r="F293">
        <v>0.27450980392156865</v>
      </c>
      <c r="G293" s="1" t="str">
        <f t="shared" si="42"/>
        <v/>
      </c>
      <c r="H293" s="1">
        <f t="shared" si="43"/>
        <v>0.78351876296435985</v>
      </c>
      <c r="I293" s="1" t="str">
        <f t="shared" si="44"/>
        <v/>
      </c>
      <c r="J293" s="1" t="str">
        <f t="shared" si="45"/>
        <v/>
      </c>
      <c r="K293" s="1" t="str">
        <f t="shared" si="46"/>
        <v/>
      </c>
      <c r="L293" s="1" t="str">
        <f t="shared" si="47"/>
        <v/>
      </c>
    </row>
    <row r="294" spans="1:12">
      <c r="A294" t="s">
        <v>113</v>
      </c>
      <c r="B294">
        <v>3</v>
      </c>
      <c r="C294" t="str">
        <f t="shared" si="41"/>
        <v>test.ImageData_3_</v>
      </c>
      <c r="D294">
        <v>2</v>
      </c>
      <c r="E294">
        <v>1</v>
      </c>
      <c r="F294">
        <v>0.29411764705882354</v>
      </c>
      <c r="G294" s="1" t="str">
        <f t="shared" si="42"/>
        <v/>
      </c>
      <c r="H294" s="1">
        <f t="shared" si="43"/>
        <v>1</v>
      </c>
      <c r="I294" s="1" t="str">
        <f t="shared" si="44"/>
        <v/>
      </c>
      <c r="J294" s="1" t="str">
        <f t="shared" si="45"/>
        <v/>
      </c>
      <c r="K294" s="1" t="str">
        <f t="shared" si="46"/>
        <v/>
      </c>
      <c r="L294" s="1" t="str">
        <f t="shared" si="47"/>
        <v/>
      </c>
    </row>
    <row r="295" spans="1:12">
      <c r="A295" t="s">
        <v>113</v>
      </c>
      <c r="B295">
        <v>4</v>
      </c>
      <c r="C295" t="str">
        <f t="shared" si="41"/>
        <v>test.ImageData_4_</v>
      </c>
      <c r="D295">
        <v>3</v>
      </c>
      <c r="E295">
        <v>3.1631585068031168E-2</v>
      </c>
      <c r="F295">
        <v>7.5471698113207544E-2</v>
      </c>
      <c r="G295" s="1">
        <f t="shared" si="42"/>
        <v>3.1631585068031168E-2</v>
      </c>
      <c r="H295" s="1" t="str">
        <f t="shared" si="43"/>
        <v/>
      </c>
      <c r="I295" s="1" t="str">
        <f t="shared" si="44"/>
        <v/>
      </c>
      <c r="J295" s="1" t="str">
        <f t="shared" si="45"/>
        <v/>
      </c>
      <c r="K295" s="1" t="str">
        <f t="shared" si="46"/>
        <v/>
      </c>
      <c r="L295" s="1" t="str">
        <f t="shared" si="47"/>
        <v/>
      </c>
    </row>
    <row r="296" spans="1:12">
      <c r="A296" t="s">
        <v>113</v>
      </c>
      <c r="B296">
        <v>4</v>
      </c>
      <c r="C296" t="str">
        <f t="shared" si="41"/>
        <v>test.ImageData_4_</v>
      </c>
      <c r="D296">
        <v>4</v>
      </c>
      <c r="E296">
        <v>6.3263170136062336E-2</v>
      </c>
      <c r="F296">
        <v>9.4339622641509441E-2</v>
      </c>
      <c r="G296" s="1">
        <f t="shared" si="42"/>
        <v>6.3263170136062336E-2</v>
      </c>
      <c r="H296" s="1" t="str">
        <f t="shared" si="43"/>
        <v/>
      </c>
      <c r="I296" s="1" t="str">
        <f t="shared" si="44"/>
        <v/>
      </c>
      <c r="J296" s="1" t="str">
        <f t="shared" si="45"/>
        <v/>
      </c>
      <c r="K296" s="1" t="str">
        <f t="shared" si="46"/>
        <v/>
      </c>
      <c r="L296" s="1" t="str">
        <f t="shared" si="47"/>
        <v/>
      </c>
    </row>
    <row r="297" spans="1:12">
      <c r="A297" t="s">
        <v>113</v>
      </c>
      <c r="B297">
        <v>4</v>
      </c>
      <c r="C297" t="str">
        <f t="shared" si="41"/>
        <v>test.ImageData_4_</v>
      </c>
      <c r="D297">
        <v>5</v>
      </c>
      <c r="E297">
        <v>0.11861844400511687</v>
      </c>
      <c r="F297">
        <v>0.11320754716981132</v>
      </c>
      <c r="G297" s="1">
        <f t="shared" si="42"/>
        <v>0.11861844400511687</v>
      </c>
      <c r="H297" s="1" t="str">
        <f t="shared" si="43"/>
        <v/>
      </c>
      <c r="I297" s="1" t="str">
        <f t="shared" si="44"/>
        <v/>
      </c>
      <c r="J297" s="1" t="str">
        <f t="shared" si="45"/>
        <v/>
      </c>
      <c r="K297" s="1" t="str">
        <f t="shared" si="46"/>
        <v/>
      </c>
      <c r="L297" s="1" t="str">
        <f t="shared" si="47"/>
        <v/>
      </c>
    </row>
    <row r="298" spans="1:12">
      <c r="A298" t="s">
        <v>113</v>
      </c>
      <c r="B298">
        <v>4</v>
      </c>
      <c r="C298" t="str">
        <f t="shared" si="41"/>
        <v>test.ImageData_4_</v>
      </c>
      <c r="D298">
        <v>1</v>
      </c>
      <c r="E298">
        <v>0.21200139551110594</v>
      </c>
      <c r="F298">
        <v>0.15094339622641509</v>
      </c>
      <c r="G298" s="1">
        <f t="shared" si="42"/>
        <v>0.21200139551110594</v>
      </c>
      <c r="H298" s="1" t="str">
        <f t="shared" si="43"/>
        <v/>
      </c>
      <c r="I298" s="1" t="str">
        <f t="shared" si="44"/>
        <v/>
      </c>
      <c r="J298" s="1" t="str">
        <f t="shared" si="45"/>
        <v/>
      </c>
      <c r="K298" s="1" t="str">
        <f t="shared" si="46"/>
        <v/>
      </c>
      <c r="L298" s="1" t="str">
        <f t="shared" si="47"/>
        <v/>
      </c>
    </row>
    <row r="299" spans="1:12">
      <c r="A299" t="s">
        <v>113</v>
      </c>
      <c r="B299">
        <v>4</v>
      </c>
      <c r="C299" t="str">
        <f t="shared" si="41"/>
        <v>test.ImageData_4_</v>
      </c>
      <c r="D299">
        <v>2</v>
      </c>
      <c r="E299">
        <v>0.34724968019537156</v>
      </c>
      <c r="F299">
        <v>0.16981132075471697</v>
      </c>
      <c r="G299" s="1">
        <f t="shared" si="42"/>
        <v>0.34724968019537156</v>
      </c>
      <c r="H299" s="1" t="str">
        <f t="shared" si="43"/>
        <v/>
      </c>
      <c r="I299" s="1" t="str">
        <f t="shared" si="44"/>
        <v/>
      </c>
      <c r="J299" s="1" t="str">
        <f t="shared" si="45"/>
        <v/>
      </c>
      <c r="K299" s="1" t="str">
        <f t="shared" si="46"/>
        <v/>
      </c>
      <c r="L299" s="1" t="str">
        <f t="shared" si="47"/>
        <v/>
      </c>
    </row>
    <row r="300" spans="1:12">
      <c r="A300" t="s">
        <v>113</v>
      </c>
      <c r="B300">
        <v>4</v>
      </c>
      <c r="C300" t="str">
        <f t="shared" si="41"/>
        <v>test.ImageData_4_</v>
      </c>
      <c r="D300">
        <v>3</v>
      </c>
      <c r="E300">
        <v>0.53948133503895801</v>
      </c>
      <c r="F300">
        <v>0.18867924528301888</v>
      </c>
      <c r="G300" s="1">
        <f t="shared" si="42"/>
        <v>0.53948133503895801</v>
      </c>
      <c r="H300" s="1" t="str">
        <f t="shared" si="43"/>
        <v/>
      </c>
      <c r="I300" s="1" t="str">
        <f t="shared" si="44"/>
        <v/>
      </c>
      <c r="J300" s="1" t="str">
        <f t="shared" si="45"/>
        <v/>
      </c>
      <c r="K300" s="1" t="str">
        <f t="shared" si="46"/>
        <v/>
      </c>
      <c r="L300" s="1" t="str">
        <f t="shared" si="47"/>
        <v/>
      </c>
    </row>
    <row r="301" spans="1:12">
      <c r="A301" t="s">
        <v>113</v>
      </c>
      <c r="B301">
        <v>4</v>
      </c>
      <c r="C301" t="str">
        <f t="shared" si="41"/>
        <v>test.ImageData_4_</v>
      </c>
      <c r="D301">
        <v>4</v>
      </c>
      <c r="E301">
        <v>0.68193976043726012</v>
      </c>
      <c r="F301">
        <v>0.22641509433962265</v>
      </c>
      <c r="G301" s="1" t="str">
        <f t="shared" si="42"/>
        <v/>
      </c>
      <c r="H301" s="1">
        <f t="shared" si="43"/>
        <v>0.68193976043726012</v>
      </c>
      <c r="I301" s="1" t="str">
        <f t="shared" si="44"/>
        <v/>
      </c>
      <c r="J301" s="1" t="str">
        <f t="shared" si="45"/>
        <v/>
      </c>
      <c r="K301" s="1" t="str">
        <f t="shared" si="46"/>
        <v/>
      </c>
      <c r="L301" s="1" t="str">
        <f t="shared" si="47"/>
        <v/>
      </c>
    </row>
    <row r="302" spans="1:12">
      <c r="A302" t="s">
        <v>113</v>
      </c>
      <c r="B302">
        <v>4</v>
      </c>
      <c r="C302" t="str">
        <f t="shared" si="41"/>
        <v>test.ImageData_4_</v>
      </c>
      <c r="D302">
        <v>5</v>
      </c>
      <c r="E302">
        <v>0.87056634492382834</v>
      </c>
      <c r="F302">
        <v>0.24528301886792453</v>
      </c>
      <c r="G302" s="1" t="str">
        <f t="shared" si="42"/>
        <v/>
      </c>
      <c r="H302" s="1">
        <f t="shared" si="43"/>
        <v>0.87056634492382834</v>
      </c>
      <c r="I302" s="1" t="str">
        <f t="shared" si="44"/>
        <v/>
      </c>
      <c r="J302" s="1" t="str">
        <f t="shared" si="45"/>
        <v/>
      </c>
      <c r="K302" s="1" t="str">
        <f t="shared" si="46"/>
        <v/>
      </c>
      <c r="L302" s="1" t="str">
        <f t="shared" si="47"/>
        <v/>
      </c>
    </row>
    <row r="303" spans="1:12">
      <c r="A303" t="s">
        <v>113</v>
      </c>
      <c r="B303">
        <v>4</v>
      </c>
      <c r="C303" t="str">
        <f t="shared" si="41"/>
        <v>test.ImageData_4_</v>
      </c>
      <c r="D303">
        <v>6</v>
      </c>
      <c r="E303">
        <v>1</v>
      </c>
      <c r="F303">
        <v>0.26415094339622641</v>
      </c>
      <c r="G303" s="1" t="str">
        <f t="shared" si="42"/>
        <v/>
      </c>
      <c r="H303" s="1">
        <f t="shared" si="43"/>
        <v>1</v>
      </c>
      <c r="I303" s="1" t="str">
        <f t="shared" si="44"/>
        <v/>
      </c>
      <c r="J303" s="1" t="str">
        <f t="shared" si="45"/>
        <v/>
      </c>
      <c r="K303" s="1" t="str">
        <f t="shared" si="46"/>
        <v/>
      </c>
      <c r="L303" s="1" t="str">
        <f t="shared" si="47"/>
        <v/>
      </c>
    </row>
    <row r="304" spans="1:12">
      <c r="A304" t="s">
        <v>113</v>
      </c>
      <c r="B304">
        <v>6</v>
      </c>
      <c r="C304" t="str">
        <f t="shared" si="41"/>
        <v>test.ImageData_6_</v>
      </c>
      <c r="D304">
        <v>7</v>
      </c>
      <c r="E304">
        <v>0.54103343465045595</v>
      </c>
      <c r="F304">
        <v>0.66666666666666663</v>
      </c>
      <c r="G304" s="1" t="str">
        <f t="shared" si="42"/>
        <v/>
      </c>
      <c r="H304" s="1" t="str">
        <f t="shared" si="43"/>
        <v/>
      </c>
      <c r="I304" s="1" t="str">
        <f t="shared" si="44"/>
        <v/>
      </c>
      <c r="J304" s="1">
        <f t="shared" si="45"/>
        <v>0.54103343465045595</v>
      </c>
      <c r="K304" s="1" t="str">
        <f t="shared" si="46"/>
        <v/>
      </c>
      <c r="L304" s="1" t="str">
        <f t="shared" si="47"/>
        <v/>
      </c>
    </row>
    <row r="305" spans="1:12">
      <c r="A305" t="s">
        <v>113</v>
      </c>
      <c r="B305">
        <v>6</v>
      </c>
      <c r="C305" t="str">
        <f t="shared" si="41"/>
        <v>test.ImageData_6_</v>
      </c>
      <c r="D305">
        <v>8</v>
      </c>
      <c r="E305">
        <v>1</v>
      </c>
      <c r="F305">
        <v>1.3333333333333333</v>
      </c>
      <c r="G305" s="1" t="str">
        <f t="shared" si="42"/>
        <v/>
      </c>
      <c r="H305" s="1" t="str">
        <f t="shared" si="43"/>
        <v/>
      </c>
      <c r="I305" s="1" t="str">
        <f t="shared" si="44"/>
        <v/>
      </c>
      <c r="J305" s="1" t="str">
        <f t="shared" si="45"/>
        <v/>
      </c>
      <c r="K305" s="1" t="str">
        <f t="shared" si="46"/>
        <v/>
      </c>
      <c r="L305" s="1">
        <f t="shared" si="47"/>
        <v>1</v>
      </c>
    </row>
    <row r="306" spans="1:12">
      <c r="A306" t="s">
        <v>113</v>
      </c>
      <c r="B306">
        <v>7</v>
      </c>
      <c r="C306" t="str">
        <f t="shared" si="41"/>
        <v>test.ImageData_7_</v>
      </c>
      <c r="D306">
        <v>9</v>
      </c>
      <c r="E306">
        <v>8.7901394745377878E-2</v>
      </c>
      <c r="F306">
        <v>0.27272727272727271</v>
      </c>
      <c r="G306" s="1" t="str">
        <f t="shared" si="42"/>
        <v/>
      </c>
      <c r="H306" s="1">
        <f t="shared" si="43"/>
        <v>8.7901394745377878E-2</v>
      </c>
      <c r="I306" s="1" t="str">
        <f t="shared" si="44"/>
        <v/>
      </c>
      <c r="J306" s="1" t="str">
        <f t="shared" si="45"/>
        <v/>
      </c>
      <c r="K306" s="1" t="str">
        <f t="shared" si="46"/>
        <v/>
      </c>
      <c r="L306" s="1" t="str">
        <f t="shared" si="47"/>
        <v/>
      </c>
    </row>
    <row r="307" spans="1:12">
      <c r="A307" t="s">
        <v>113</v>
      </c>
      <c r="B307">
        <v>7</v>
      </c>
      <c r="C307" t="str">
        <f t="shared" si="41"/>
        <v>test.ImageData_7_</v>
      </c>
      <c r="D307">
        <v>10</v>
      </c>
      <c r="E307">
        <v>0.19202075900097307</v>
      </c>
      <c r="F307">
        <v>0.36363636363636365</v>
      </c>
      <c r="G307" s="1" t="str">
        <f t="shared" si="42"/>
        <v/>
      </c>
      <c r="H307" s="1">
        <f t="shared" si="43"/>
        <v>0.19202075900097307</v>
      </c>
      <c r="I307" s="1" t="str">
        <f t="shared" si="44"/>
        <v/>
      </c>
      <c r="J307" s="1" t="str">
        <f t="shared" si="45"/>
        <v/>
      </c>
      <c r="K307" s="1" t="str">
        <f t="shared" si="46"/>
        <v/>
      </c>
      <c r="L307" s="1" t="str">
        <f t="shared" si="47"/>
        <v/>
      </c>
    </row>
    <row r="308" spans="1:12">
      <c r="A308" t="s">
        <v>113</v>
      </c>
      <c r="B308">
        <v>7</v>
      </c>
      <c r="C308" t="str">
        <f t="shared" si="41"/>
        <v>test.ImageData_7_</v>
      </c>
      <c r="D308">
        <v>11</v>
      </c>
      <c r="E308">
        <v>0.33765812520272465</v>
      </c>
      <c r="F308">
        <v>0.36364545454545455</v>
      </c>
      <c r="G308" s="1" t="str">
        <f t="shared" si="42"/>
        <v/>
      </c>
      <c r="H308" s="1">
        <f t="shared" si="43"/>
        <v>0.33765812520272465</v>
      </c>
      <c r="I308" s="1" t="str">
        <f t="shared" si="44"/>
        <v/>
      </c>
      <c r="J308" s="1" t="str">
        <f t="shared" si="45"/>
        <v/>
      </c>
      <c r="K308" s="1" t="str">
        <f t="shared" si="46"/>
        <v/>
      </c>
      <c r="L308" s="1" t="str">
        <f t="shared" si="47"/>
        <v/>
      </c>
    </row>
    <row r="309" spans="1:12">
      <c r="A309" t="s">
        <v>113</v>
      </c>
      <c r="B309">
        <v>7</v>
      </c>
      <c r="C309" t="str">
        <f t="shared" si="41"/>
        <v>test.ImageData_7_</v>
      </c>
      <c r="D309">
        <v>12</v>
      </c>
      <c r="E309">
        <v>0.37366201751540706</v>
      </c>
      <c r="F309">
        <v>0.36365457272727275</v>
      </c>
      <c r="G309" s="1" t="str">
        <f t="shared" si="42"/>
        <v/>
      </c>
      <c r="H309" s="1">
        <f t="shared" si="43"/>
        <v>0.37366201751540706</v>
      </c>
      <c r="I309" s="1" t="str">
        <f t="shared" si="44"/>
        <v/>
      </c>
      <c r="J309" s="1" t="str">
        <f t="shared" si="45"/>
        <v/>
      </c>
      <c r="K309" s="1" t="str">
        <f t="shared" si="46"/>
        <v/>
      </c>
      <c r="L309" s="1" t="str">
        <f t="shared" si="47"/>
        <v/>
      </c>
    </row>
    <row r="310" spans="1:12">
      <c r="A310" t="s">
        <v>113</v>
      </c>
      <c r="B310">
        <v>7</v>
      </c>
      <c r="C310" t="str">
        <f t="shared" si="41"/>
        <v>test.ImageData_7_</v>
      </c>
      <c r="D310">
        <v>13</v>
      </c>
      <c r="E310">
        <v>0.46026597469996755</v>
      </c>
      <c r="F310">
        <v>0.45454545454545453</v>
      </c>
      <c r="G310" s="1" t="str">
        <f t="shared" si="42"/>
        <v/>
      </c>
      <c r="H310" s="1" t="str">
        <f t="shared" si="43"/>
        <v/>
      </c>
      <c r="I310" s="1">
        <f t="shared" si="44"/>
        <v>0.46026597469996755</v>
      </c>
      <c r="J310" s="1" t="str">
        <f t="shared" si="45"/>
        <v/>
      </c>
      <c r="K310" s="1" t="str">
        <f t="shared" si="46"/>
        <v/>
      </c>
      <c r="L310" s="1" t="str">
        <f t="shared" si="47"/>
        <v/>
      </c>
    </row>
    <row r="311" spans="1:12">
      <c r="A311" t="s">
        <v>113</v>
      </c>
      <c r="B311">
        <v>7</v>
      </c>
      <c r="C311" t="str">
        <f t="shared" si="41"/>
        <v>test.ImageData_7_</v>
      </c>
      <c r="D311">
        <v>14</v>
      </c>
      <c r="E311">
        <v>0.49983782030489782</v>
      </c>
      <c r="F311">
        <v>0.45455454545454543</v>
      </c>
      <c r="G311" s="1" t="str">
        <f t="shared" si="42"/>
        <v/>
      </c>
      <c r="H311" s="1" t="str">
        <f t="shared" si="43"/>
        <v/>
      </c>
      <c r="I311" s="1">
        <f t="shared" si="44"/>
        <v>0.49983782030489782</v>
      </c>
      <c r="J311" s="1" t="str">
        <f t="shared" si="45"/>
        <v/>
      </c>
      <c r="K311" s="1" t="str">
        <f t="shared" si="46"/>
        <v/>
      </c>
      <c r="L311" s="1" t="str">
        <f t="shared" si="47"/>
        <v/>
      </c>
    </row>
    <row r="312" spans="1:12">
      <c r="A312" t="s">
        <v>113</v>
      </c>
      <c r="B312">
        <v>7</v>
      </c>
      <c r="C312" t="str">
        <f t="shared" si="41"/>
        <v>test.ImageData_7_</v>
      </c>
      <c r="D312">
        <v>15</v>
      </c>
      <c r="E312">
        <v>0.5851443399286409</v>
      </c>
      <c r="F312">
        <v>0.45456366363636369</v>
      </c>
      <c r="G312" s="1" t="str">
        <f t="shared" si="42"/>
        <v/>
      </c>
      <c r="H312" s="1" t="str">
        <f t="shared" si="43"/>
        <v/>
      </c>
      <c r="I312" s="1">
        <f t="shared" si="44"/>
        <v>0.5851443399286409</v>
      </c>
      <c r="J312" s="1" t="str">
        <f t="shared" si="45"/>
        <v/>
      </c>
      <c r="K312" s="1" t="str">
        <f t="shared" si="46"/>
        <v/>
      </c>
      <c r="L312" s="1" t="str">
        <f t="shared" si="47"/>
        <v/>
      </c>
    </row>
    <row r="313" spans="1:12">
      <c r="A313" t="s">
        <v>113</v>
      </c>
      <c r="B313">
        <v>7</v>
      </c>
      <c r="C313" t="str">
        <f t="shared" si="41"/>
        <v>test.ImageData_7_</v>
      </c>
      <c r="D313">
        <v>16</v>
      </c>
      <c r="E313">
        <v>0.65715212455400585</v>
      </c>
      <c r="F313">
        <v>0.45457276363636367</v>
      </c>
      <c r="G313" s="1" t="str">
        <f t="shared" si="42"/>
        <v/>
      </c>
      <c r="H313" s="1" t="str">
        <f t="shared" si="43"/>
        <v/>
      </c>
      <c r="I313" s="1">
        <f t="shared" si="44"/>
        <v>0.65715212455400585</v>
      </c>
      <c r="J313" s="1" t="str">
        <f t="shared" si="45"/>
        <v/>
      </c>
      <c r="K313" s="1" t="str">
        <f t="shared" si="46"/>
        <v/>
      </c>
      <c r="L313" s="1" t="str">
        <f t="shared" si="47"/>
        <v/>
      </c>
    </row>
    <row r="314" spans="1:12">
      <c r="A314" t="s">
        <v>113</v>
      </c>
      <c r="B314">
        <v>7</v>
      </c>
      <c r="C314" t="str">
        <f t="shared" si="41"/>
        <v>test.ImageData_7_</v>
      </c>
      <c r="D314">
        <v>17</v>
      </c>
      <c r="E314">
        <v>0.86020110282192674</v>
      </c>
      <c r="F314">
        <v>0.54545454545454541</v>
      </c>
      <c r="G314" s="1" t="str">
        <f t="shared" si="42"/>
        <v/>
      </c>
      <c r="H314" s="1" t="str">
        <f t="shared" si="43"/>
        <v/>
      </c>
      <c r="I314" s="1">
        <f t="shared" si="44"/>
        <v>0.86020110282192674</v>
      </c>
      <c r="J314" s="1" t="str">
        <f t="shared" si="45"/>
        <v/>
      </c>
      <c r="K314" s="1" t="str">
        <f t="shared" si="46"/>
        <v/>
      </c>
      <c r="L314" s="1" t="str">
        <f t="shared" si="47"/>
        <v/>
      </c>
    </row>
    <row r="315" spans="1:12">
      <c r="A315" t="s">
        <v>113</v>
      </c>
      <c r="B315">
        <v>7</v>
      </c>
      <c r="C315" t="str">
        <f t="shared" si="41"/>
        <v>test.ImageData_7_</v>
      </c>
      <c r="D315">
        <v>18</v>
      </c>
      <c r="E315">
        <v>1</v>
      </c>
      <c r="F315">
        <v>1.0909090909090908</v>
      </c>
      <c r="G315" s="1" t="str">
        <f t="shared" si="42"/>
        <v/>
      </c>
      <c r="H315" s="1" t="str">
        <f t="shared" si="43"/>
        <v/>
      </c>
      <c r="I315" s="1" t="str">
        <f t="shared" si="44"/>
        <v/>
      </c>
      <c r="J315" s="1" t="str">
        <f t="shared" si="45"/>
        <v/>
      </c>
      <c r="K315" s="1">
        <f t="shared" si="46"/>
        <v>1</v>
      </c>
      <c r="L315" s="1" t="str">
        <f t="shared" si="47"/>
        <v/>
      </c>
    </row>
    <row r="316" spans="1:12">
      <c r="A316" t="s">
        <v>113</v>
      </c>
      <c r="B316">
        <v>8</v>
      </c>
      <c r="C316" t="str">
        <f t="shared" si="41"/>
        <v>test.ImageData_8_</v>
      </c>
      <c r="D316">
        <v>19</v>
      </c>
      <c r="E316">
        <v>4.8519443453442737E-2</v>
      </c>
      <c r="F316">
        <v>9.8039215686274508E-2</v>
      </c>
      <c r="G316" s="1">
        <f t="shared" si="42"/>
        <v>4.8519443453442737E-2</v>
      </c>
      <c r="H316" s="1" t="str">
        <f t="shared" si="43"/>
        <v/>
      </c>
      <c r="I316" s="1" t="str">
        <f t="shared" si="44"/>
        <v/>
      </c>
      <c r="J316" s="1" t="str">
        <f t="shared" si="45"/>
        <v/>
      </c>
      <c r="K316" s="1" t="str">
        <f t="shared" si="46"/>
        <v/>
      </c>
      <c r="L316" s="1" t="str">
        <f t="shared" si="47"/>
        <v/>
      </c>
    </row>
    <row r="317" spans="1:12">
      <c r="A317" t="s">
        <v>113</v>
      </c>
      <c r="B317">
        <v>8</v>
      </c>
      <c r="C317" t="str">
        <f t="shared" si="41"/>
        <v>test.ImageData_8_</v>
      </c>
      <c r="D317">
        <v>20</v>
      </c>
      <c r="E317">
        <v>0.16767748840528005</v>
      </c>
      <c r="F317">
        <v>0.13725490196078433</v>
      </c>
      <c r="G317" s="1">
        <f t="shared" si="42"/>
        <v>0.16767748840528005</v>
      </c>
      <c r="H317" s="1" t="str">
        <f t="shared" si="43"/>
        <v/>
      </c>
      <c r="I317" s="1" t="str">
        <f t="shared" si="44"/>
        <v/>
      </c>
      <c r="J317" s="1" t="str">
        <f t="shared" si="45"/>
        <v/>
      </c>
      <c r="K317" s="1" t="str">
        <f t="shared" si="46"/>
        <v/>
      </c>
      <c r="L317" s="1" t="str">
        <f t="shared" si="47"/>
        <v/>
      </c>
    </row>
    <row r="318" spans="1:12">
      <c r="A318" t="s">
        <v>113</v>
      </c>
      <c r="B318">
        <v>8</v>
      </c>
      <c r="C318" t="str">
        <f t="shared" si="41"/>
        <v>test.ImageData_8_</v>
      </c>
      <c r="D318">
        <v>21</v>
      </c>
      <c r="E318">
        <v>0.17873706742775597</v>
      </c>
      <c r="F318">
        <v>0.25490196078431371</v>
      </c>
      <c r="G318" s="1" t="str">
        <f t="shared" si="42"/>
        <v/>
      </c>
      <c r="H318" s="1">
        <f t="shared" si="43"/>
        <v>0.17873706742775597</v>
      </c>
      <c r="I318" s="1" t="str">
        <f t="shared" si="44"/>
        <v/>
      </c>
      <c r="J318" s="1" t="str">
        <f t="shared" si="45"/>
        <v/>
      </c>
      <c r="K318" s="1" t="str">
        <f t="shared" si="46"/>
        <v/>
      </c>
      <c r="L318" s="1" t="str">
        <f t="shared" si="47"/>
        <v/>
      </c>
    </row>
    <row r="319" spans="1:12">
      <c r="A319" t="s">
        <v>113</v>
      </c>
      <c r="B319">
        <v>8</v>
      </c>
      <c r="C319" t="str">
        <f t="shared" si="41"/>
        <v>test.ImageData_8_</v>
      </c>
      <c r="D319">
        <v>22</v>
      </c>
      <c r="E319">
        <v>0.41705315733143061</v>
      </c>
      <c r="F319">
        <v>0.27450980392156865</v>
      </c>
      <c r="G319" s="1" t="str">
        <f t="shared" si="42"/>
        <v/>
      </c>
      <c r="H319" s="1">
        <f t="shared" si="43"/>
        <v>0.41705315733143061</v>
      </c>
      <c r="I319" s="1" t="str">
        <f t="shared" si="44"/>
        <v/>
      </c>
      <c r="J319" s="1" t="str">
        <f t="shared" si="45"/>
        <v/>
      </c>
      <c r="K319" s="1" t="str">
        <f t="shared" si="46"/>
        <v/>
      </c>
      <c r="L319" s="1" t="str">
        <f t="shared" si="47"/>
        <v/>
      </c>
    </row>
    <row r="320" spans="1:12">
      <c r="A320" t="s">
        <v>113</v>
      </c>
      <c r="B320">
        <v>8</v>
      </c>
      <c r="C320" t="str">
        <f t="shared" si="41"/>
        <v>test.ImageData_8_</v>
      </c>
      <c r="D320">
        <v>23</v>
      </c>
      <c r="E320">
        <v>0.73599714591509102</v>
      </c>
      <c r="F320">
        <v>0.31372549019607843</v>
      </c>
      <c r="G320" s="1" t="str">
        <f t="shared" si="42"/>
        <v/>
      </c>
      <c r="H320" s="1">
        <f t="shared" si="43"/>
        <v>0.73599714591509102</v>
      </c>
      <c r="I320" s="1" t="str">
        <f t="shared" si="44"/>
        <v/>
      </c>
      <c r="J320" s="1" t="str">
        <f t="shared" si="45"/>
        <v/>
      </c>
      <c r="K320" s="1" t="str">
        <f t="shared" si="46"/>
        <v/>
      </c>
      <c r="L320" s="1" t="str">
        <f t="shared" si="47"/>
        <v/>
      </c>
    </row>
    <row r="321" spans="1:12">
      <c r="A321" t="s">
        <v>113</v>
      </c>
      <c r="B321">
        <v>8</v>
      </c>
      <c r="C321" t="str">
        <f t="shared" si="41"/>
        <v>test.ImageData_8_</v>
      </c>
      <c r="D321">
        <v>24</v>
      </c>
      <c r="E321">
        <v>1</v>
      </c>
      <c r="F321">
        <v>0.33333333333333331</v>
      </c>
      <c r="G321" s="1" t="str">
        <f t="shared" si="42"/>
        <v/>
      </c>
      <c r="H321" s="1">
        <f t="shared" si="43"/>
        <v>1</v>
      </c>
      <c r="I321" s="1" t="str">
        <f t="shared" si="44"/>
        <v/>
      </c>
      <c r="J321" s="1" t="str">
        <f t="shared" si="45"/>
        <v/>
      </c>
      <c r="K321" s="1" t="str">
        <f t="shared" si="46"/>
        <v/>
      </c>
      <c r="L321" s="1" t="str">
        <f t="shared" si="47"/>
        <v/>
      </c>
    </row>
    <row r="322" spans="1:12">
      <c r="A322" t="s">
        <v>113</v>
      </c>
      <c r="B322">
        <v>9</v>
      </c>
      <c r="C322" t="str">
        <f t="shared" si="41"/>
        <v>test.ImageData_9_</v>
      </c>
      <c r="D322">
        <v>25</v>
      </c>
      <c r="E322">
        <v>2.9411764705882353E-2</v>
      </c>
      <c r="F322">
        <v>6.3492063492063489E-2</v>
      </c>
      <c r="G322" s="1">
        <f t="shared" si="42"/>
        <v>2.9411764705882353E-2</v>
      </c>
      <c r="H322" s="1" t="str">
        <f t="shared" si="43"/>
        <v/>
      </c>
      <c r="I322" s="1" t="str">
        <f t="shared" si="44"/>
        <v/>
      </c>
      <c r="J322" s="1" t="str">
        <f t="shared" si="45"/>
        <v/>
      </c>
      <c r="K322" s="1" t="str">
        <f t="shared" si="46"/>
        <v/>
      </c>
      <c r="L322" s="1" t="str">
        <f t="shared" si="47"/>
        <v/>
      </c>
    </row>
    <row r="323" spans="1:12">
      <c r="A323" t="s">
        <v>113</v>
      </c>
      <c r="B323">
        <v>9</v>
      </c>
      <c r="C323" t="str">
        <f t="shared" ref="C323:C386" si="48">CONCATENATE(A323, "_",B323,"_")</f>
        <v>test.ImageData_9_</v>
      </c>
      <c r="D323">
        <v>26</v>
      </c>
      <c r="E323">
        <v>0.10164359861591696</v>
      </c>
      <c r="F323">
        <v>0.12698412698412698</v>
      </c>
      <c r="G323" s="1">
        <f t="shared" ref="G323:G386" si="49">IF($F323 &lt;= 0.2,$E323,"")</f>
        <v>0.10164359861591696</v>
      </c>
      <c r="H323" s="1" t="str">
        <f t="shared" ref="H323:H386" si="50">IF(AND($F323 &gt; 0.2,$F323 &lt;= 0.4),$E323,"")</f>
        <v/>
      </c>
      <c r="I323" s="1" t="str">
        <f t="shared" ref="I323:I386" si="51">IF(AND($F323 &gt; 0.4,$F323 &lt;= 0.6),$E323,"")</f>
        <v/>
      </c>
      <c r="J323" s="1" t="str">
        <f t="shared" ref="J323:J386" si="52">IF(AND($F323 &gt; 0.6,$F323 &lt;= 0.8),$E323,"")</f>
        <v/>
      </c>
      <c r="K323" s="1" t="str">
        <f t="shared" ref="K323:K386" si="53">IF(AND($F323 &gt; 0.8, $F323 &lt;=1.1),$E323,"")</f>
        <v/>
      </c>
      <c r="L323" s="1" t="str">
        <f t="shared" ref="L323:L386" si="54">IF(AND($F323 &gt; 1.1),$E323,"")</f>
        <v/>
      </c>
    </row>
    <row r="324" spans="1:12">
      <c r="A324" t="s">
        <v>113</v>
      </c>
      <c r="B324">
        <v>9</v>
      </c>
      <c r="C324" t="str">
        <f t="shared" si="48"/>
        <v>test.ImageData_9_</v>
      </c>
      <c r="D324">
        <v>27</v>
      </c>
      <c r="E324">
        <v>0.1148356401384083</v>
      </c>
      <c r="F324">
        <v>0.14285714285714285</v>
      </c>
      <c r="G324" s="1">
        <f t="shared" si="49"/>
        <v>0.1148356401384083</v>
      </c>
      <c r="H324" s="1" t="str">
        <f t="shared" si="50"/>
        <v/>
      </c>
      <c r="I324" s="1" t="str">
        <f t="shared" si="51"/>
        <v/>
      </c>
      <c r="J324" s="1" t="str">
        <f t="shared" si="52"/>
        <v/>
      </c>
      <c r="K324" s="1" t="str">
        <f t="shared" si="53"/>
        <v/>
      </c>
      <c r="L324" s="1" t="str">
        <f t="shared" si="54"/>
        <v/>
      </c>
    </row>
    <row r="325" spans="1:12">
      <c r="A325" t="s">
        <v>113</v>
      </c>
      <c r="B325">
        <v>9</v>
      </c>
      <c r="C325" t="str">
        <f t="shared" si="48"/>
        <v>test.ImageData_9_</v>
      </c>
      <c r="D325">
        <v>28</v>
      </c>
      <c r="E325">
        <v>0.20523356401384082</v>
      </c>
      <c r="F325">
        <v>0.17460317460317459</v>
      </c>
      <c r="G325" s="1">
        <f t="shared" si="49"/>
        <v>0.20523356401384082</v>
      </c>
      <c r="H325" s="1" t="str">
        <f t="shared" si="50"/>
        <v/>
      </c>
      <c r="I325" s="1" t="str">
        <f t="shared" si="51"/>
        <v/>
      </c>
      <c r="J325" s="1" t="str">
        <f t="shared" si="52"/>
        <v/>
      </c>
      <c r="K325" s="1" t="str">
        <f t="shared" si="53"/>
        <v/>
      </c>
      <c r="L325" s="1" t="str">
        <f t="shared" si="54"/>
        <v/>
      </c>
    </row>
    <row r="326" spans="1:12">
      <c r="A326" t="s">
        <v>113</v>
      </c>
      <c r="B326">
        <v>9</v>
      </c>
      <c r="C326" t="str">
        <f t="shared" si="48"/>
        <v>test.ImageData_9_</v>
      </c>
      <c r="D326">
        <v>29</v>
      </c>
      <c r="E326">
        <v>0.33217993079584773</v>
      </c>
      <c r="F326">
        <v>0.30158730158730157</v>
      </c>
      <c r="G326" s="1" t="str">
        <f t="shared" si="49"/>
        <v/>
      </c>
      <c r="H326" s="1">
        <f t="shared" si="50"/>
        <v>0.33217993079584773</v>
      </c>
      <c r="I326" s="1" t="str">
        <f t="shared" si="51"/>
        <v/>
      </c>
      <c r="J326" s="1" t="str">
        <f t="shared" si="52"/>
        <v/>
      </c>
      <c r="K326" s="1" t="str">
        <f t="shared" si="53"/>
        <v/>
      </c>
      <c r="L326" s="1" t="str">
        <f t="shared" si="54"/>
        <v/>
      </c>
    </row>
    <row r="327" spans="1:12">
      <c r="A327" t="s">
        <v>113</v>
      </c>
      <c r="B327">
        <v>9</v>
      </c>
      <c r="C327" t="str">
        <f t="shared" si="48"/>
        <v>test.ImageData_9_</v>
      </c>
      <c r="D327">
        <v>30</v>
      </c>
      <c r="E327">
        <v>0.50216262975778547</v>
      </c>
      <c r="F327">
        <v>0.33333333333333331</v>
      </c>
      <c r="G327" s="1" t="str">
        <f t="shared" si="49"/>
        <v/>
      </c>
      <c r="H327" s="1">
        <f t="shared" si="50"/>
        <v>0.50216262975778547</v>
      </c>
      <c r="I327" s="1" t="str">
        <f t="shared" si="51"/>
        <v/>
      </c>
      <c r="J327" s="1" t="str">
        <f t="shared" si="52"/>
        <v/>
      </c>
      <c r="K327" s="1" t="str">
        <f t="shared" si="53"/>
        <v/>
      </c>
      <c r="L327" s="1" t="str">
        <f t="shared" si="54"/>
        <v/>
      </c>
    </row>
    <row r="328" spans="1:12">
      <c r="A328" t="s">
        <v>113</v>
      </c>
      <c r="B328">
        <v>9</v>
      </c>
      <c r="C328" t="str">
        <f t="shared" si="48"/>
        <v>test.ImageData_9_</v>
      </c>
      <c r="D328">
        <v>31</v>
      </c>
      <c r="E328">
        <v>0.69550173010380623</v>
      </c>
      <c r="F328">
        <v>0.55555555555555558</v>
      </c>
      <c r="G328" s="1" t="str">
        <f t="shared" si="49"/>
        <v/>
      </c>
      <c r="H328" s="1" t="str">
        <f t="shared" si="50"/>
        <v/>
      </c>
      <c r="I328" s="1">
        <f t="shared" si="51"/>
        <v>0.69550173010380623</v>
      </c>
      <c r="J328" s="1" t="str">
        <f t="shared" si="52"/>
        <v/>
      </c>
      <c r="K328" s="1" t="str">
        <f t="shared" si="53"/>
        <v/>
      </c>
      <c r="L328" s="1" t="str">
        <f t="shared" si="54"/>
        <v/>
      </c>
    </row>
    <row r="329" spans="1:12">
      <c r="A329" t="s">
        <v>113</v>
      </c>
      <c r="B329">
        <v>9</v>
      </c>
      <c r="C329" t="str">
        <f t="shared" si="48"/>
        <v>test.ImageData_9_</v>
      </c>
      <c r="D329">
        <v>32</v>
      </c>
      <c r="E329">
        <v>0.83996539792387548</v>
      </c>
      <c r="F329">
        <v>0.58730158730158732</v>
      </c>
      <c r="G329" s="1" t="str">
        <f t="shared" si="49"/>
        <v/>
      </c>
      <c r="H329" s="1" t="str">
        <f t="shared" si="50"/>
        <v/>
      </c>
      <c r="I329" s="1">
        <f t="shared" si="51"/>
        <v>0.83996539792387548</v>
      </c>
      <c r="J329" s="1" t="str">
        <f t="shared" si="52"/>
        <v/>
      </c>
      <c r="K329" s="1" t="str">
        <f t="shared" si="53"/>
        <v/>
      </c>
      <c r="L329" s="1" t="str">
        <f t="shared" si="54"/>
        <v/>
      </c>
    </row>
    <row r="330" spans="1:12">
      <c r="A330" t="s">
        <v>113</v>
      </c>
      <c r="B330">
        <v>9</v>
      </c>
      <c r="C330" t="str">
        <f t="shared" si="48"/>
        <v>test.ImageData_9_</v>
      </c>
      <c r="D330">
        <v>1</v>
      </c>
      <c r="E330">
        <v>1</v>
      </c>
      <c r="F330">
        <v>0.66666666666666663</v>
      </c>
      <c r="G330" s="1" t="str">
        <f t="shared" si="49"/>
        <v/>
      </c>
      <c r="H330" s="1" t="str">
        <f t="shared" si="50"/>
        <v/>
      </c>
      <c r="I330" s="1" t="str">
        <f t="shared" si="51"/>
        <v/>
      </c>
      <c r="J330" s="1">
        <f t="shared" si="52"/>
        <v>1</v>
      </c>
      <c r="K330" s="1" t="str">
        <f t="shared" si="53"/>
        <v/>
      </c>
      <c r="L330" s="1" t="str">
        <f t="shared" si="54"/>
        <v/>
      </c>
    </row>
    <row r="331" spans="1:12">
      <c r="A331" t="s">
        <v>113</v>
      </c>
      <c r="B331">
        <v>11</v>
      </c>
      <c r="C331" t="str">
        <f t="shared" si="48"/>
        <v>test.ImageData_11_</v>
      </c>
      <c r="D331">
        <v>2</v>
      </c>
      <c r="E331">
        <v>0.31725265739983649</v>
      </c>
      <c r="F331">
        <v>0.42857142857142855</v>
      </c>
      <c r="G331" s="1" t="str">
        <f t="shared" si="49"/>
        <v/>
      </c>
      <c r="H331" s="1" t="str">
        <f t="shared" si="50"/>
        <v/>
      </c>
      <c r="I331" s="1">
        <f t="shared" si="51"/>
        <v>0.31725265739983649</v>
      </c>
      <c r="J331" s="1" t="str">
        <f t="shared" si="52"/>
        <v/>
      </c>
      <c r="K331" s="1" t="str">
        <f t="shared" si="53"/>
        <v/>
      </c>
      <c r="L331" s="1" t="str">
        <f t="shared" si="54"/>
        <v/>
      </c>
    </row>
    <row r="332" spans="1:12">
      <c r="A332" t="s">
        <v>113</v>
      </c>
      <c r="B332">
        <v>11</v>
      </c>
      <c r="C332" t="str">
        <f t="shared" si="48"/>
        <v>test.ImageData_11_</v>
      </c>
      <c r="D332">
        <v>1</v>
      </c>
      <c r="E332">
        <v>1</v>
      </c>
      <c r="F332">
        <v>1.1428571428571428</v>
      </c>
      <c r="G332" s="1" t="str">
        <f t="shared" si="49"/>
        <v/>
      </c>
      <c r="H332" s="1" t="str">
        <f t="shared" si="50"/>
        <v/>
      </c>
      <c r="I332" s="1" t="str">
        <f t="shared" si="51"/>
        <v/>
      </c>
      <c r="J332" s="1" t="str">
        <f t="shared" si="52"/>
        <v/>
      </c>
      <c r="K332" s="1" t="str">
        <f t="shared" si="53"/>
        <v/>
      </c>
      <c r="L332" s="1">
        <f t="shared" si="54"/>
        <v>1</v>
      </c>
    </row>
    <row r="333" spans="1:12">
      <c r="A333" t="s">
        <v>113</v>
      </c>
      <c r="B333">
        <v>13</v>
      </c>
      <c r="C333" t="str">
        <f t="shared" si="48"/>
        <v>test.ImageData_13_</v>
      </c>
      <c r="D333">
        <v>2</v>
      </c>
      <c r="E333">
        <v>1.9681275796529347E-3</v>
      </c>
      <c r="F333">
        <v>5.2910052910052907E-3</v>
      </c>
      <c r="G333" s="1">
        <f t="shared" si="49"/>
        <v>1.9681275796529347E-3</v>
      </c>
      <c r="H333" s="1" t="str">
        <f t="shared" si="50"/>
        <v/>
      </c>
      <c r="I333" s="1" t="str">
        <f t="shared" si="51"/>
        <v/>
      </c>
      <c r="J333" s="1" t="str">
        <f t="shared" si="52"/>
        <v/>
      </c>
      <c r="K333" s="1" t="str">
        <f t="shared" si="53"/>
        <v/>
      </c>
      <c r="L333" s="1" t="str">
        <f t="shared" si="54"/>
        <v/>
      </c>
    </row>
    <row r="334" spans="1:12">
      <c r="A334" t="s">
        <v>113</v>
      </c>
      <c r="B334">
        <v>13</v>
      </c>
      <c r="C334" t="str">
        <f t="shared" si="48"/>
        <v>test.ImageData_13_</v>
      </c>
      <c r="D334">
        <v>3</v>
      </c>
      <c r="E334">
        <v>1.9681275796529347E-3</v>
      </c>
      <c r="F334">
        <v>5.291111111111111E-3</v>
      </c>
      <c r="G334" s="1">
        <f t="shared" si="49"/>
        <v>1.9681275796529347E-3</v>
      </c>
      <c r="H334" s="1" t="str">
        <f t="shared" si="50"/>
        <v/>
      </c>
      <c r="I334" s="1" t="str">
        <f t="shared" si="51"/>
        <v/>
      </c>
      <c r="J334" s="1" t="str">
        <f t="shared" si="52"/>
        <v/>
      </c>
      <c r="K334" s="1" t="str">
        <f t="shared" si="53"/>
        <v/>
      </c>
      <c r="L334" s="1" t="str">
        <f t="shared" si="54"/>
        <v/>
      </c>
    </row>
    <row r="335" spans="1:12">
      <c r="A335" t="s">
        <v>113</v>
      </c>
      <c r="B335">
        <v>13</v>
      </c>
      <c r="C335" t="str">
        <f t="shared" si="48"/>
        <v>test.ImageData_13_</v>
      </c>
      <c r="D335">
        <v>4</v>
      </c>
      <c r="E335">
        <v>2.0805920127759596E-3</v>
      </c>
      <c r="F335">
        <v>5.2912172486772489E-3</v>
      </c>
      <c r="G335" s="1">
        <f t="shared" si="49"/>
        <v>2.0805920127759596E-3</v>
      </c>
      <c r="H335" s="1" t="str">
        <f t="shared" si="50"/>
        <v/>
      </c>
      <c r="I335" s="1" t="str">
        <f t="shared" si="51"/>
        <v/>
      </c>
      <c r="J335" s="1" t="str">
        <f t="shared" si="52"/>
        <v/>
      </c>
      <c r="K335" s="1" t="str">
        <f t="shared" si="53"/>
        <v/>
      </c>
      <c r="L335" s="1" t="str">
        <f t="shared" si="54"/>
        <v/>
      </c>
    </row>
    <row r="336" spans="1:12">
      <c r="A336" t="s">
        <v>113</v>
      </c>
      <c r="B336">
        <v>13</v>
      </c>
      <c r="C336" t="str">
        <f t="shared" si="48"/>
        <v>test.ImageData_13_</v>
      </c>
      <c r="D336">
        <v>5</v>
      </c>
      <c r="E336">
        <v>1</v>
      </c>
      <c r="F336">
        <v>1.2158730158730158</v>
      </c>
      <c r="G336" s="1" t="str">
        <f t="shared" si="49"/>
        <v/>
      </c>
      <c r="H336" s="1" t="str">
        <f t="shared" si="50"/>
        <v/>
      </c>
      <c r="I336" s="1" t="str">
        <f t="shared" si="51"/>
        <v/>
      </c>
      <c r="J336" s="1" t="str">
        <f t="shared" si="52"/>
        <v/>
      </c>
      <c r="K336" s="1" t="str">
        <f t="shared" si="53"/>
        <v/>
      </c>
      <c r="L336" s="1">
        <f t="shared" si="54"/>
        <v>1</v>
      </c>
    </row>
    <row r="337" spans="1:12">
      <c r="A337" t="s">
        <v>113</v>
      </c>
      <c r="B337">
        <v>14</v>
      </c>
      <c r="C337" t="str">
        <f t="shared" si="48"/>
        <v>test.ImageData_14_</v>
      </c>
      <c r="D337">
        <v>6</v>
      </c>
      <c r="E337">
        <v>2.2332103187851335E-3</v>
      </c>
      <c r="F337">
        <v>6.5274151436031328E-3</v>
      </c>
      <c r="G337" s="1">
        <f t="shared" si="49"/>
        <v>2.2332103187851335E-3</v>
      </c>
      <c r="H337" s="1" t="str">
        <f t="shared" si="50"/>
        <v/>
      </c>
      <c r="I337" s="1" t="str">
        <f t="shared" si="51"/>
        <v/>
      </c>
      <c r="J337" s="1" t="str">
        <f t="shared" si="52"/>
        <v/>
      </c>
      <c r="K337" s="1" t="str">
        <f t="shared" si="53"/>
        <v/>
      </c>
      <c r="L337" s="1" t="str">
        <f t="shared" si="54"/>
        <v/>
      </c>
    </row>
    <row r="338" spans="1:12">
      <c r="A338" t="s">
        <v>113</v>
      </c>
      <c r="B338">
        <v>14</v>
      </c>
      <c r="C338" t="str">
        <f t="shared" si="48"/>
        <v>test.ImageData_14_</v>
      </c>
      <c r="D338">
        <v>7</v>
      </c>
      <c r="E338">
        <v>2.3685563987115052E-3</v>
      </c>
      <c r="F338">
        <v>7.832898172323759E-3</v>
      </c>
      <c r="G338" s="1">
        <f t="shared" si="49"/>
        <v>2.3685563987115052E-3</v>
      </c>
      <c r="H338" s="1" t="str">
        <f t="shared" si="50"/>
        <v/>
      </c>
      <c r="I338" s="1" t="str">
        <f t="shared" si="51"/>
        <v/>
      </c>
      <c r="J338" s="1" t="str">
        <f t="shared" si="52"/>
        <v/>
      </c>
      <c r="K338" s="1" t="str">
        <f t="shared" si="53"/>
        <v/>
      </c>
      <c r="L338" s="1" t="str">
        <f t="shared" si="54"/>
        <v/>
      </c>
    </row>
    <row r="339" spans="1:12">
      <c r="A339" t="s">
        <v>113</v>
      </c>
      <c r="B339">
        <v>14</v>
      </c>
      <c r="C339" t="str">
        <f t="shared" si="48"/>
        <v>test.ImageData_14_</v>
      </c>
      <c r="D339">
        <v>8</v>
      </c>
      <c r="E339">
        <v>2.5039024786378769E-3</v>
      </c>
      <c r="F339">
        <v>7.8330287206266318E-3</v>
      </c>
      <c r="G339" s="1">
        <f t="shared" si="49"/>
        <v>2.5039024786378769E-3</v>
      </c>
      <c r="H339" s="1" t="str">
        <f t="shared" si="50"/>
        <v/>
      </c>
      <c r="I339" s="1" t="str">
        <f t="shared" si="51"/>
        <v/>
      </c>
      <c r="J339" s="1" t="str">
        <f t="shared" si="52"/>
        <v/>
      </c>
      <c r="K339" s="1" t="str">
        <f t="shared" si="53"/>
        <v/>
      </c>
      <c r="L339" s="1" t="str">
        <f t="shared" si="54"/>
        <v/>
      </c>
    </row>
    <row r="340" spans="1:12">
      <c r="A340" t="s">
        <v>113</v>
      </c>
      <c r="B340">
        <v>14</v>
      </c>
      <c r="C340" t="str">
        <f t="shared" si="48"/>
        <v>test.ImageData_14_</v>
      </c>
      <c r="D340">
        <v>1</v>
      </c>
      <c r="E340">
        <v>0.23968437294161171</v>
      </c>
      <c r="F340">
        <v>0.39686684073107048</v>
      </c>
      <c r="G340" s="1" t="str">
        <f t="shared" si="49"/>
        <v/>
      </c>
      <c r="H340" s="1">
        <f t="shared" si="50"/>
        <v>0.23968437294161171</v>
      </c>
      <c r="I340" s="1" t="str">
        <f t="shared" si="51"/>
        <v/>
      </c>
      <c r="J340" s="1" t="str">
        <f t="shared" si="52"/>
        <v/>
      </c>
      <c r="K340" s="1" t="str">
        <f t="shared" si="53"/>
        <v/>
      </c>
      <c r="L340" s="1" t="str">
        <f t="shared" si="54"/>
        <v/>
      </c>
    </row>
    <row r="341" spans="1:12">
      <c r="A341" t="s">
        <v>113</v>
      </c>
      <c r="B341">
        <v>14</v>
      </c>
      <c r="C341" t="str">
        <f t="shared" si="48"/>
        <v>test.ImageData_14_</v>
      </c>
      <c r="D341">
        <v>2</v>
      </c>
      <c r="E341">
        <v>0.23968437294161171</v>
      </c>
      <c r="F341">
        <v>0.4216710182767624</v>
      </c>
      <c r="G341" s="1" t="str">
        <f t="shared" si="49"/>
        <v/>
      </c>
      <c r="H341" s="1" t="str">
        <f t="shared" si="50"/>
        <v/>
      </c>
      <c r="I341" s="1">
        <f t="shared" si="51"/>
        <v>0.23968437294161171</v>
      </c>
      <c r="J341" s="1" t="str">
        <f t="shared" si="52"/>
        <v/>
      </c>
      <c r="K341" s="1" t="str">
        <f t="shared" si="53"/>
        <v/>
      </c>
      <c r="L341" s="1" t="str">
        <f t="shared" si="54"/>
        <v/>
      </c>
    </row>
    <row r="342" spans="1:12">
      <c r="A342" t="s">
        <v>113</v>
      </c>
      <c r="B342">
        <v>14</v>
      </c>
      <c r="C342" t="str">
        <f t="shared" si="48"/>
        <v>test.ImageData_14_</v>
      </c>
      <c r="D342">
        <v>3</v>
      </c>
      <c r="E342">
        <v>0.37500338365199815</v>
      </c>
      <c r="F342">
        <v>0.47780678851174935</v>
      </c>
      <c r="G342" s="1" t="str">
        <f t="shared" si="49"/>
        <v/>
      </c>
      <c r="H342" s="1" t="str">
        <f t="shared" si="50"/>
        <v/>
      </c>
      <c r="I342" s="1">
        <f t="shared" si="51"/>
        <v>0.37500338365199815</v>
      </c>
      <c r="J342" s="1" t="str">
        <f t="shared" si="52"/>
        <v/>
      </c>
      <c r="K342" s="1" t="str">
        <f t="shared" si="53"/>
        <v/>
      </c>
      <c r="L342" s="1" t="str">
        <f t="shared" si="54"/>
        <v/>
      </c>
    </row>
    <row r="343" spans="1:12">
      <c r="A343" t="s">
        <v>113</v>
      </c>
      <c r="B343">
        <v>14</v>
      </c>
      <c r="C343" t="str">
        <f t="shared" si="48"/>
        <v>test.ImageData_14_</v>
      </c>
      <c r="D343">
        <v>4</v>
      </c>
      <c r="E343">
        <v>0.37500338365199815</v>
      </c>
      <c r="F343">
        <v>0.48433420365535246</v>
      </c>
      <c r="G343" s="1" t="str">
        <f t="shared" si="49"/>
        <v/>
      </c>
      <c r="H343" s="1" t="str">
        <f t="shared" si="50"/>
        <v/>
      </c>
      <c r="I343" s="1">
        <f t="shared" si="51"/>
        <v>0.37500338365199815</v>
      </c>
      <c r="J343" s="1" t="str">
        <f t="shared" si="52"/>
        <v/>
      </c>
      <c r="K343" s="1" t="str">
        <f t="shared" si="53"/>
        <v/>
      </c>
      <c r="L343" s="1" t="str">
        <f t="shared" si="54"/>
        <v/>
      </c>
    </row>
    <row r="344" spans="1:12">
      <c r="A344" t="s">
        <v>113</v>
      </c>
      <c r="B344">
        <v>14</v>
      </c>
      <c r="C344" t="str">
        <f t="shared" si="48"/>
        <v>test.ImageData_14_</v>
      </c>
      <c r="D344">
        <v>5</v>
      </c>
      <c r="E344">
        <v>1</v>
      </c>
      <c r="F344">
        <v>0.72454308093994779</v>
      </c>
      <c r="G344" s="1" t="str">
        <f t="shared" si="49"/>
        <v/>
      </c>
      <c r="H344" s="1" t="str">
        <f t="shared" si="50"/>
        <v/>
      </c>
      <c r="I344" s="1" t="str">
        <f t="shared" si="51"/>
        <v/>
      </c>
      <c r="J344" s="1">
        <f t="shared" si="52"/>
        <v>1</v>
      </c>
      <c r="K344" s="1" t="str">
        <f t="shared" si="53"/>
        <v/>
      </c>
      <c r="L344" s="1" t="str">
        <f t="shared" si="54"/>
        <v/>
      </c>
    </row>
    <row r="345" spans="1:12">
      <c r="A345" t="s">
        <v>113</v>
      </c>
      <c r="B345">
        <v>14</v>
      </c>
      <c r="C345" t="str">
        <f t="shared" si="48"/>
        <v>test.ImageData_14_</v>
      </c>
      <c r="D345">
        <v>6</v>
      </c>
      <c r="E345">
        <v>1</v>
      </c>
      <c r="F345">
        <v>0.81984334203655351</v>
      </c>
      <c r="G345" s="1" t="str">
        <f t="shared" si="49"/>
        <v/>
      </c>
      <c r="H345" s="1" t="str">
        <f t="shared" si="50"/>
        <v/>
      </c>
      <c r="I345" s="1" t="str">
        <f t="shared" si="51"/>
        <v/>
      </c>
      <c r="J345" s="1" t="str">
        <f t="shared" si="52"/>
        <v/>
      </c>
      <c r="K345" s="1">
        <f t="shared" si="53"/>
        <v>1</v>
      </c>
      <c r="L345" s="1" t="str">
        <f t="shared" si="54"/>
        <v/>
      </c>
    </row>
    <row r="346" spans="1:12">
      <c r="A346" t="s">
        <v>113</v>
      </c>
      <c r="B346">
        <v>15</v>
      </c>
      <c r="C346" t="str">
        <f t="shared" si="48"/>
        <v>test.ImageData_15_</v>
      </c>
      <c r="D346">
        <v>1</v>
      </c>
      <c r="E346">
        <v>3.2680170068925449E-3</v>
      </c>
      <c r="F346">
        <v>6.3593004769475362E-3</v>
      </c>
      <c r="G346" s="1">
        <f t="shared" si="49"/>
        <v>3.2680170068925449E-3</v>
      </c>
      <c r="H346" s="1" t="str">
        <f t="shared" si="50"/>
        <v/>
      </c>
      <c r="I346" s="1" t="str">
        <f t="shared" si="51"/>
        <v/>
      </c>
      <c r="J346" s="1" t="str">
        <f t="shared" si="52"/>
        <v/>
      </c>
      <c r="K346" s="1" t="str">
        <f t="shared" si="53"/>
        <v/>
      </c>
      <c r="L346" s="1" t="str">
        <f t="shared" si="54"/>
        <v/>
      </c>
    </row>
    <row r="347" spans="1:12">
      <c r="A347" t="s">
        <v>113</v>
      </c>
      <c r="B347">
        <v>15</v>
      </c>
      <c r="C347" t="str">
        <f t="shared" si="48"/>
        <v>test.ImageData_15_</v>
      </c>
      <c r="D347">
        <v>2</v>
      </c>
      <c r="E347">
        <v>3.6641402804552777E-3</v>
      </c>
      <c r="F347">
        <v>7.9491255961844191E-3</v>
      </c>
      <c r="G347" s="1">
        <f t="shared" si="49"/>
        <v>3.6641402804552777E-3</v>
      </c>
      <c r="H347" s="1" t="str">
        <f t="shared" si="50"/>
        <v/>
      </c>
      <c r="I347" s="1" t="str">
        <f t="shared" si="51"/>
        <v/>
      </c>
      <c r="J347" s="1" t="str">
        <f t="shared" si="52"/>
        <v/>
      </c>
      <c r="K347" s="1" t="str">
        <f t="shared" si="53"/>
        <v/>
      </c>
      <c r="L347" s="1" t="str">
        <f t="shared" si="54"/>
        <v/>
      </c>
    </row>
    <row r="348" spans="1:12">
      <c r="A348" t="s">
        <v>113</v>
      </c>
      <c r="B348">
        <v>15</v>
      </c>
      <c r="C348" t="str">
        <f t="shared" si="48"/>
        <v>test.ImageData_15_</v>
      </c>
      <c r="D348">
        <v>3</v>
      </c>
      <c r="E348">
        <v>3.6641402804552777E-3</v>
      </c>
      <c r="F348">
        <v>9.538950715421303E-3</v>
      </c>
      <c r="G348" s="1">
        <f t="shared" si="49"/>
        <v>3.6641402804552777E-3</v>
      </c>
      <c r="H348" s="1" t="str">
        <f t="shared" si="50"/>
        <v/>
      </c>
      <c r="I348" s="1" t="str">
        <f t="shared" si="51"/>
        <v/>
      </c>
      <c r="J348" s="1" t="str">
        <f t="shared" si="52"/>
        <v/>
      </c>
      <c r="K348" s="1" t="str">
        <f t="shared" si="53"/>
        <v/>
      </c>
      <c r="L348" s="1" t="str">
        <f t="shared" si="54"/>
        <v/>
      </c>
    </row>
    <row r="349" spans="1:12">
      <c r="A349" t="s">
        <v>113</v>
      </c>
      <c r="B349">
        <v>15</v>
      </c>
      <c r="C349" t="str">
        <f t="shared" si="48"/>
        <v>test.ImageData_15_</v>
      </c>
      <c r="D349">
        <v>4</v>
      </c>
      <c r="E349">
        <v>1</v>
      </c>
      <c r="F349">
        <v>0.88553259141494434</v>
      </c>
      <c r="G349" s="1" t="str">
        <f t="shared" si="49"/>
        <v/>
      </c>
      <c r="H349" s="1" t="str">
        <f t="shared" si="50"/>
        <v/>
      </c>
      <c r="I349" s="1" t="str">
        <f t="shared" si="51"/>
        <v/>
      </c>
      <c r="J349" s="1" t="str">
        <f t="shared" si="52"/>
        <v/>
      </c>
      <c r="K349" s="1">
        <f t="shared" si="53"/>
        <v>1</v>
      </c>
      <c r="L349" s="1" t="str">
        <f t="shared" si="54"/>
        <v/>
      </c>
    </row>
    <row r="350" spans="1:12">
      <c r="A350" t="s">
        <v>113</v>
      </c>
      <c r="B350">
        <v>16</v>
      </c>
      <c r="C350" t="str">
        <f t="shared" si="48"/>
        <v>test.ImageData_16_</v>
      </c>
      <c r="D350">
        <v>5</v>
      </c>
      <c r="E350">
        <v>2.4198189713807356E-3</v>
      </c>
      <c r="F350">
        <v>6.7024128686327079E-3</v>
      </c>
      <c r="G350" s="1">
        <f t="shared" si="49"/>
        <v>2.4198189713807356E-3</v>
      </c>
      <c r="H350" s="1" t="str">
        <f t="shared" si="50"/>
        <v/>
      </c>
      <c r="I350" s="1" t="str">
        <f t="shared" si="51"/>
        <v/>
      </c>
      <c r="J350" s="1" t="str">
        <f t="shared" si="52"/>
        <v/>
      </c>
      <c r="K350" s="1" t="str">
        <f t="shared" si="53"/>
        <v/>
      </c>
      <c r="L350" s="1" t="str">
        <f t="shared" si="54"/>
        <v/>
      </c>
    </row>
    <row r="351" spans="1:12">
      <c r="A351" t="s">
        <v>113</v>
      </c>
      <c r="B351">
        <v>16</v>
      </c>
      <c r="C351" t="str">
        <f t="shared" si="48"/>
        <v>test.ImageData_16_</v>
      </c>
      <c r="D351">
        <v>6</v>
      </c>
      <c r="E351">
        <v>2.4198189713807356E-3</v>
      </c>
      <c r="F351">
        <v>8.0428954423592495E-3</v>
      </c>
      <c r="G351" s="1">
        <f t="shared" si="49"/>
        <v>2.4198189713807356E-3</v>
      </c>
      <c r="H351" s="1" t="str">
        <f t="shared" si="50"/>
        <v/>
      </c>
      <c r="I351" s="1" t="str">
        <f t="shared" si="51"/>
        <v/>
      </c>
      <c r="J351" s="1" t="str">
        <f t="shared" si="52"/>
        <v/>
      </c>
      <c r="K351" s="1" t="str">
        <f t="shared" si="53"/>
        <v/>
      </c>
      <c r="L351" s="1" t="str">
        <f t="shared" si="54"/>
        <v/>
      </c>
    </row>
    <row r="352" spans="1:12">
      <c r="A352" t="s">
        <v>113</v>
      </c>
      <c r="B352">
        <v>16</v>
      </c>
      <c r="C352" t="str">
        <f t="shared" si="48"/>
        <v>test.ImageData_16_</v>
      </c>
      <c r="D352">
        <v>7</v>
      </c>
      <c r="E352">
        <v>2.4198189713807356E-3</v>
      </c>
      <c r="F352">
        <v>8.0430294906166221E-3</v>
      </c>
      <c r="G352" s="1">
        <f t="shared" si="49"/>
        <v>2.4198189713807356E-3</v>
      </c>
      <c r="H352" s="1" t="str">
        <f t="shared" si="50"/>
        <v/>
      </c>
      <c r="I352" s="1" t="str">
        <f t="shared" si="51"/>
        <v/>
      </c>
      <c r="J352" s="1" t="str">
        <f t="shared" si="52"/>
        <v/>
      </c>
      <c r="K352" s="1" t="str">
        <f t="shared" si="53"/>
        <v/>
      </c>
      <c r="L352" s="1" t="str">
        <f t="shared" si="54"/>
        <v/>
      </c>
    </row>
    <row r="353" spans="1:12">
      <c r="A353" t="s">
        <v>113</v>
      </c>
      <c r="B353">
        <v>16</v>
      </c>
      <c r="C353" t="str">
        <f t="shared" si="48"/>
        <v>test.ImageData_16_</v>
      </c>
      <c r="D353">
        <v>8</v>
      </c>
      <c r="E353">
        <v>1</v>
      </c>
      <c r="F353">
        <v>0.95308310991957101</v>
      </c>
      <c r="G353" s="1" t="str">
        <f t="shared" si="49"/>
        <v/>
      </c>
      <c r="H353" s="1" t="str">
        <f t="shared" si="50"/>
        <v/>
      </c>
      <c r="I353" s="1" t="str">
        <f t="shared" si="51"/>
        <v/>
      </c>
      <c r="J353" s="1" t="str">
        <f t="shared" si="52"/>
        <v/>
      </c>
      <c r="K353" s="1">
        <f t="shared" si="53"/>
        <v>1</v>
      </c>
      <c r="L353" s="1" t="str">
        <f t="shared" si="54"/>
        <v/>
      </c>
    </row>
    <row r="354" spans="1:12">
      <c r="A354" t="s">
        <v>113</v>
      </c>
      <c r="B354">
        <v>20</v>
      </c>
      <c r="C354" t="str">
        <f t="shared" si="48"/>
        <v>test.ImageData_20_</v>
      </c>
      <c r="D354">
        <v>9</v>
      </c>
      <c r="E354">
        <v>0.61643835616438358</v>
      </c>
      <c r="F354">
        <v>0.8</v>
      </c>
      <c r="G354" s="1" t="str">
        <f t="shared" si="49"/>
        <v/>
      </c>
      <c r="H354" s="1" t="str">
        <f t="shared" si="50"/>
        <v/>
      </c>
      <c r="I354" s="1" t="str">
        <f t="shared" si="51"/>
        <v/>
      </c>
      <c r="J354" s="1">
        <f t="shared" si="52"/>
        <v>0.61643835616438358</v>
      </c>
      <c r="K354" s="1" t="str">
        <f t="shared" si="53"/>
        <v/>
      </c>
      <c r="L354" s="1" t="str">
        <f t="shared" si="54"/>
        <v/>
      </c>
    </row>
    <row r="355" spans="1:12">
      <c r="A355" t="s">
        <v>113</v>
      </c>
      <c r="B355">
        <v>20</v>
      </c>
      <c r="C355" t="str">
        <f t="shared" si="48"/>
        <v>test.ImageData_20_</v>
      </c>
      <c r="D355">
        <v>1</v>
      </c>
      <c r="E355">
        <v>1</v>
      </c>
      <c r="F355">
        <v>0.80001999999999995</v>
      </c>
      <c r="G355" s="1" t="str">
        <f t="shared" si="49"/>
        <v/>
      </c>
      <c r="H355" s="1" t="str">
        <f t="shared" si="50"/>
        <v/>
      </c>
      <c r="I355" s="1" t="str">
        <f t="shared" si="51"/>
        <v/>
      </c>
      <c r="J355" s="1" t="str">
        <f t="shared" si="52"/>
        <v/>
      </c>
      <c r="K355" s="1">
        <f t="shared" si="53"/>
        <v>1</v>
      </c>
      <c r="L355" s="1" t="str">
        <f t="shared" si="54"/>
        <v/>
      </c>
    </row>
    <row r="356" spans="1:12">
      <c r="A356" t="s">
        <v>113</v>
      </c>
      <c r="B356">
        <v>21</v>
      </c>
      <c r="C356" t="str">
        <f t="shared" si="48"/>
        <v>test.ImageData_21_</v>
      </c>
      <c r="D356">
        <v>2</v>
      </c>
      <c r="E356">
        <v>0.53979460847240046</v>
      </c>
      <c r="F356">
        <v>0.6428571428571429</v>
      </c>
      <c r="G356" s="1" t="str">
        <f t="shared" si="49"/>
        <v/>
      </c>
      <c r="H356" s="1" t="str">
        <f t="shared" si="50"/>
        <v/>
      </c>
      <c r="I356" s="1" t="str">
        <f t="shared" si="51"/>
        <v/>
      </c>
      <c r="J356" s="1">
        <f t="shared" si="52"/>
        <v>0.53979460847240046</v>
      </c>
      <c r="K356" s="1" t="str">
        <f t="shared" si="53"/>
        <v/>
      </c>
      <c r="L356" s="1" t="str">
        <f t="shared" si="54"/>
        <v/>
      </c>
    </row>
    <row r="357" spans="1:12">
      <c r="A357" t="s">
        <v>113</v>
      </c>
      <c r="B357">
        <v>21</v>
      </c>
      <c r="C357" t="str">
        <f t="shared" si="48"/>
        <v>test.ImageData_21_</v>
      </c>
      <c r="D357">
        <v>3</v>
      </c>
      <c r="E357">
        <v>1</v>
      </c>
      <c r="F357">
        <v>0.7857142857142857</v>
      </c>
      <c r="G357" s="1" t="str">
        <f t="shared" si="49"/>
        <v/>
      </c>
      <c r="H357" s="1" t="str">
        <f t="shared" si="50"/>
        <v/>
      </c>
      <c r="I357" s="1" t="str">
        <f t="shared" si="51"/>
        <v/>
      </c>
      <c r="J357" s="1">
        <f t="shared" si="52"/>
        <v>1</v>
      </c>
      <c r="K357" s="1" t="str">
        <f t="shared" si="53"/>
        <v/>
      </c>
      <c r="L357" s="1" t="str">
        <f t="shared" si="54"/>
        <v/>
      </c>
    </row>
    <row r="358" spans="1:12">
      <c r="A358" t="s">
        <v>145</v>
      </c>
      <c r="B358">
        <v>0</v>
      </c>
      <c r="C358" t="str">
        <f t="shared" si="48"/>
        <v>test.QRCodeDataBlockReader_0_</v>
      </c>
      <c r="D358">
        <v>4</v>
      </c>
      <c r="E358">
        <v>0.80622837370242217</v>
      </c>
      <c r="F358">
        <v>1</v>
      </c>
      <c r="G358" s="1" t="str">
        <f t="shared" si="49"/>
        <v/>
      </c>
      <c r="H358" s="1" t="str">
        <f t="shared" si="50"/>
        <v/>
      </c>
      <c r="I358" s="1" t="str">
        <f t="shared" si="51"/>
        <v/>
      </c>
      <c r="J358" s="1" t="str">
        <f t="shared" si="52"/>
        <v/>
      </c>
      <c r="K358" s="1">
        <f t="shared" si="53"/>
        <v>0.80622837370242217</v>
      </c>
      <c r="L358" s="1" t="str">
        <f t="shared" si="54"/>
        <v/>
      </c>
    </row>
    <row r="359" spans="1:12">
      <c r="A359" t="s">
        <v>145</v>
      </c>
      <c r="B359">
        <v>0</v>
      </c>
      <c r="C359" t="str">
        <f t="shared" si="48"/>
        <v>test.QRCodeDataBlockReader_0_</v>
      </c>
      <c r="D359">
        <v>5</v>
      </c>
      <c r="E359">
        <v>0.94463667820069208</v>
      </c>
      <c r="F359">
        <v>1.0000249999999999</v>
      </c>
      <c r="G359" s="1" t="str">
        <f t="shared" si="49"/>
        <v/>
      </c>
      <c r="H359" s="1" t="str">
        <f t="shared" si="50"/>
        <v/>
      </c>
      <c r="I359" s="1" t="str">
        <f t="shared" si="51"/>
        <v/>
      </c>
      <c r="J359" s="1" t="str">
        <f t="shared" si="52"/>
        <v/>
      </c>
      <c r="K359" s="1">
        <f t="shared" si="53"/>
        <v>0.94463667820069208</v>
      </c>
      <c r="L359" s="1" t="str">
        <f t="shared" si="54"/>
        <v/>
      </c>
    </row>
    <row r="360" spans="1:12">
      <c r="A360" t="s">
        <v>145</v>
      </c>
      <c r="B360">
        <v>0</v>
      </c>
      <c r="C360" t="str">
        <f t="shared" si="48"/>
        <v>test.QRCodeDataBlockReader_0_</v>
      </c>
      <c r="D360">
        <v>6</v>
      </c>
      <c r="E360">
        <v>1</v>
      </c>
      <c r="F360">
        <v>1.25</v>
      </c>
      <c r="G360" s="1" t="str">
        <f t="shared" si="49"/>
        <v/>
      </c>
      <c r="H360" s="1" t="str">
        <f t="shared" si="50"/>
        <v/>
      </c>
      <c r="I360" s="1" t="str">
        <f t="shared" si="51"/>
        <v/>
      </c>
      <c r="J360" s="1" t="str">
        <f t="shared" si="52"/>
        <v/>
      </c>
      <c r="K360" s="1" t="str">
        <f t="shared" si="53"/>
        <v/>
      </c>
      <c r="L360" s="1">
        <f t="shared" si="54"/>
        <v>1</v>
      </c>
    </row>
    <row r="361" spans="1:12">
      <c r="A361" t="s">
        <v>145</v>
      </c>
      <c r="B361">
        <v>1</v>
      </c>
      <c r="C361" t="str">
        <f t="shared" si="48"/>
        <v>test.QRCodeDataBlockReader_1_</v>
      </c>
      <c r="D361">
        <v>1</v>
      </c>
      <c r="E361">
        <v>4.1444398851046366E-2</v>
      </c>
      <c r="F361">
        <v>0.27272727272727271</v>
      </c>
      <c r="G361" s="1" t="str">
        <f t="shared" si="49"/>
        <v/>
      </c>
      <c r="H361" s="1">
        <f t="shared" si="50"/>
        <v>4.1444398851046366E-2</v>
      </c>
      <c r="I361" s="1" t="str">
        <f t="shared" si="51"/>
        <v/>
      </c>
      <c r="J361" s="1" t="str">
        <f t="shared" si="52"/>
        <v/>
      </c>
      <c r="K361" s="1" t="str">
        <f t="shared" si="53"/>
        <v/>
      </c>
      <c r="L361" s="1" t="str">
        <f t="shared" si="54"/>
        <v/>
      </c>
    </row>
    <row r="362" spans="1:12">
      <c r="A362" t="s">
        <v>145</v>
      </c>
      <c r="B362">
        <v>1</v>
      </c>
      <c r="C362" t="str">
        <f t="shared" si="48"/>
        <v>test.QRCodeDataBlockReader_1_</v>
      </c>
      <c r="D362">
        <v>2</v>
      </c>
      <c r="E362">
        <v>0.12802626179729176</v>
      </c>
      <c r="F362">
        <v>0.36363636363636365</v>
      </c>
      <c r="G362" s="1" t="str">
        <f t="shared" si="49"/>
        <v/>
      </c>
      <c r="H362" s="1">
        <f t="shared" si="50"/>
        <v>0.12802626179729176</v>
      </c>
      <c r="I362" s="1" t="str">
        <f t="shared" si="51"/>
        <v/>
      </c>
      <c r="J362" s="1" t="str">
        <f t="shared" si="52"/>
        <v/>
      </c>
      <c r="K362" s="1" t="str">
        <f t="shared" si="53"/>
        <v/>
      </c>
      <c r="L362" s="1" t="str">
        <f t="shared" si="54"/>
        <v/>
      </c>
    </row>
    <row r="363" spans="1:12">
      <c r="A363" t="s">
        <v>145</v>
      </c>
      <c r="B363">
        <v>1</v>
      </c>
      <c r="C363" t="str">
        <f t="shared" si="48"/>
        <v>test.QRCodeDataBlockReader_1_</v>
      </c>
      <c r="D363">
        <v>3</v>
      </c>
      <c r="E363">
        <v>0.32663110381616745</v>
      </c>
      <c r="F363">
        <v>0.45454545454545453</v>
      </c>
      <c r="G363" s="1" t="str">
        <f t="shared" si="49"/>
        <v/>
      </c>
      <c r="H363" s="1" t="str">
        <f t="shared" si="50"/>
        <v/>
      </c>
      <c r="I363" s="1">
        <f t="shared" si="51"/>
        <v>0.32663110381616745</v>
      </c>
      <c r="J363" s="1" t="str">
        <f t="shared" si="52"/>
        <v/>
      </c>
      <c r="K363" s="1" t="str">
        <f t="shared" si="53"/>
        <v/>
      </c>
      <c r="L363" s="1" t="str">
        <f t="shared" si="54"/>
        <v/>
      </c>
    </row>
    <row r="364" spans="1:12">
      <c r="A364" t="s">
        <v>145</v>
      </c>
      <c r="B364">
        <v>1</v>
      </c>
      <c r="C364" t="str">
        <f t="shared" si="48"/>
        <v>test.QRCodeDataBlockReader_1_</v>
      </c>
      <c r="D364">
        <v>4</v>
      </c>
      <c r="E364">
        <v>1</v>
      </c>
      <c r="F364">
        <v>0.72727272727272729</v>
      </c>
      <c r="G364" s="1" t="str">
        <f t="shared" si="49"/>
        <v/>
      </c>
      <c r="H364" s="1" t="str">
        <f t="shared" si="50"/>
        <v/>
      </c>
      <c r="I364" s="1" t="str">
        <f t="shared" si="51"/>
        <v/>
      </c>
      <c r="J364" s="1">
        <f t="shared" si="52"/>
        <v>1</v>
      </c>
      <c r="K364" s="1" t="str">
        <f t="shared" si="53"/>
        <v/>
      </c>
      <c r="L364" s="1" t="str">
        <f t="shared" si="54"/>
        <v/>
      </c>
    </row>
    <row r="365" spans="1:12">
      <c r="A365" t="s">
        <v>149</v>
      </c>
      <c r="B365">
        <v>1</v>
      </c>
      <c r="C365" t="str">
        <f t="shared" si="48"/>
        <v>test.StructurePanel_1_</v>
      </c>
      <c r="D365">
        <v>5</v>
      </c>
      <c r="E365">
        <v>6.7865003668378582E-2</v>
      </c>
      <c r="F365">
        <v>0.3</v>
      </c>
      <c r="G365" s="1" t="str">
        <f t="shared" si="49"/>
        <v/>
      </c>
      <c r="H365" s="1">
        <f t="shared" si="50"/>
        <v>6.7865003668378582E-2</v>
      </c>
      <c r="I365" s="1" t="str">
        <f t="shared" si="51"/>
        <v/>
      </c>
      <c r="J365" s="1" t="str">
        <f t="shared" si="52"/>
        <v/>
      </c>
      <c r="K365" s="1" t="str">
        <f t="shared" si="53"/>
        <v/>
      </c>
      <c r="L365" s="1" t="str">
        <f t="shared" si="54"/>
        <v/>
      </c>
    </row>
    <row r="366" spans="1:12">
      <c r="A366" t="s">
        <v>149</v>
      </c>
      <c r="B366">
        <v>1</v>
      </c>
      <c r="C366" t="str">
        <f t="shared" si="48"/>
        <v>test.StructurePanel_1_</v>
      </c>
      <c r="D366">
        <v>6</v>
      </c>
      <c r="E366">
        <v>0.11665443873807776</v>
      </c>
      <c r="F366">
        <v>0.30001</v>
      </c>
      <c r="G366" s="1" t="str">
        <f t="shared" si="49"/>
        <v/>
      </c>
      <c r="H366" s="1">
        <f t="shared" si="50"/>
        <v>0.11665443873807776</v>
      </c>
      <c r="I366" s="1" t="str">
        <f t="shared" si="51"/>
        <v/>
      </c>
      <c r="J366" s="1" t="str">
        <f t="shared" si="52"/>
        <v/>
      </c>
      <c r="K366" s="1" t="str">
        <f t="shared" si="53"/>
        <v/>
      </c>
      <c r="L366" s="1" t="str">
        <f t="shared" si="54"/>
        <v/>
      </c>
    </row>
    <row r="367" spans="1:12">
      <c r="A367" t="s">
        <v>149</v>
      </c>
      <c r="B367">
        <v>1</v>
      </c>
      <c r="C367" t="str">
        <f t="shared" si="48"/>
        <v>test.StructurePanel_1_</v>
      </c>
      <c r="D367">
        <v>7</v>
      </c>
      <c r="E367">
        <v>0.26559060895084374</v>
      </c>
      <c r="F367">
        <v>0.4</v>
      </c>
      <c r="G367" s="1" t="str">
        <f t="shared" si="49"/>
        <v/>
      </c>
      <c r="H367" s="1">
        <f t="shared" si="50"/>
        <v>0.26559060895084374</v>
      </c>
      <c r="I367" s="1" t="str">
        <f t="shared" si="51"/>
        <v/>
      </c>
      <c r="J367" s="1" t="str">
        <f t="shared" si="52"/>
        <v/>
      </c>
      <c r="K367" s="1" t="str">
        <f t="shared" si="53"/>
        <v/>
      </c>
      <c r="L367" s="1" t="str">
        <f t="shared" si="54"/>
        <v/>
      </c>
    </row>
    <row r="368" spans="1:12">
      <c r="A368" t="s">
        <v>149</v>
      </c>
      <c r="B368">
        <v>1</v>
      </c>
      <c r="C368" t="str">
        <f t="shared" si="48"/>
        <v>test.StructurePanel_1_</v>
      </c>
      <c r="D368">
        <v>8</v>
      </c>
      <c r="E368">
        <v>0.40572267057960382</v>
      </c>
      <c r="F368">
        <v>0.40000999999999998</v>
      </c>
      <c r="G368" s="1" t="str">
        <f t="shared" si="49"/>
        <v/>
      </c>
      <c r="H368" s="1" t="str">
        <f t="shared" si="50"/>
        <v/>
      </c>
      <c r="I368" s="1">
        <f t="shared" si="51"/>
        <v>0.40572267057960382</v>
      </c>
      <c r="J368" s="1" t="str">
        <f t="shared" si="52"/>
        <v/>
      </c>
      <c r="K368" s="1" t="str">
        <f t="shared" si="53"/>
        <v/>
      </c>
      <c r="L368" s="1" t="str">
        <f t="shared" si="54"/>
        <v/>
      </c>
    </row>
    <row r="369" spans="1:12">
      <c r="A369" t="s">
        <v>149</v>
      </c>
      <c r="B369">
        <v>1</v>
      </c>
      <c r="C369" t="str">
        <f t="shared" si="48"/>
        <v>test.StructurePanel_1_</v>
      </c>
      <c r="D369">
        <v>9</v>
      </c>
      <c r="E369">
        <v>0.56859867938371245</v>
      </c>
      <c r="F369">
        <v>0.40002003000000003</v>
      </c>
      <c r="G369" s="1" t="str">
        <f t="shared" si="49"/>
        <v/>
      </c>
      <c r="H369" s="1" t="str">
        <f t="shared" si="50"/>
        <v/>
      </c>
      <c r="I369" s="1">
        <f t="shared" si="51"/>
        <v>0.56859867938371245</v>
      </c>
      <c r="J369" s="1" t="str">
        <f t="shared" si="52"/>
        <v/>
      </c>
      <c r="K369" s="1" t="str">
        <f t="shared" si="53"/>
        <v/>
      </c>
      <c r="L369" s="1" t="str">
        <f t="shared" si="54"/>
        <v/>
      </c>
    </row>
    <row r="370" spans="1:12">
      <c r="A370" t="s">
        <v>149</v>
      </c>
      <c r="B370">
        <v>1</v>
      </c>
      <c r="C370" t="str">
        <f t="shared" si="48"/>
        <v>test.StructurePanel_1_</v>
      </c>
      <c r="D370">
        <v>10</v>
      </c>
      <c r="E370">
        <v>0.74211298606016141</v>
      </c>
      <c r="F370">
        <v>0.5</v>
      </c>
      <c r="G370" s="1" t="str">
        <f t="shared" si="49"/>
        <v/>
      </c>
      <c r="H370" s="1" t="str">
        <f t="shared" si="50"/>
        <v/>
      </c>
      <c r="I370" s="1">
        <f t="shared" si="51"/>
        <v>0.74211298606016141</v>
      </c>
      <c r="J370" s="1" t="str">
        <f t="shared" si="52"/>
        <v/>
      </c>
      <c r="K370" s="1" t="str">
        <f t="shared" si="53"/>
        <v/>
      </c>
      <c r="L370" s="1" t="str">
        <f t="shared" si="54"/>
        <v/>
      </c>
    </row>
    <row r="371" spans="1:12">
      <c r="A371" t="s">
        <v>149</v>
      </c>
      <c r="B371">
        <v>1</v>
      </c>
      <c r="C371" t="str">
        <f t="shared" si="48"/>
        <v>test.StructurePanel_1_</v>
      </c>
      <c r="D371">
        <v>1</v>
      </c>
      <c r="E371">
        <v>0.89104915627292736</v>
      </c>
      <c r="F371">
        <v>0.50000999999999995</v>
      </c>
      <c r="G371" s="1" t="str">
        <f t="shared" si="49"/>
        <v/>
      </c>
      <c r="H371" s="1" t="str">
        <f t="shared" si="50"/>
        <v/>
      </c>
      <c r="I371" s="1">
        <f t="shared" si="51"/>
        <v>0.89104915627292736</v>
      </c>
      <c r="J371" s="1" t="str">
        <f t="shared" si="52"/>
        <v/>
      </c>
      <c r="K371" s="1" t="str">
        <f t="shared" si="53"/>
        <v/>
      </c>
      <c r="L371" s="1" t="str">
        <f t="shared" si="54"/>
        <v/>
      </c>
    </row>
    <row r="372" spans="1:12">
      <c r="A372" t="s">
        <v>149</v>
      </c>
      <c r="B372">
        <v>1</v>
      </c>
      <c r="C372" t="str">
        <f t="shared" si="48"/>
        <v>test.StructurePanel_1_</v>
      </c>
      <c r="D372">
        <v>2</v>
      </c>
      <c r="E372">
        <v>1</v>
      </c>
      <c r="F372">
        <v>0.6</v>
      </c>
      <c r="G372" s="1" t="str">
        <f t="shared" si="49"/>
        <v/>
      </c>
      <c r="H372" s="1" t="str">
        <f t="shared" si="50"/>
        <v/>
      </c>
      <c r="I372" s="1">
        <f t="shared" si="51"/>
        <v>1</v>
      </c>
      <c r="J372" s="1" t="str">
        <f t="shared" si="52"/>
        <v/>
      </c>
      <c r="K372" s="1" t="str">
        <f t="shared" si="53"/>
        <v/>
      </c>
      <c r="L372" s="1" t="str">
        <f t="shared" si="54"/>
        <v/>
      </c>
    </row>
    <row r="373" spans="1:12">
      <c r="A373" t="s">
        <v>304</v>
      </c>
      <c r="B373">
        <v>5</v>
      </c>
      <c r="C373" t="str">
        <f t="shared" si="48"/>
        <v>test.TileRenderor_5_</v>
      </c>
      <c r="D373">
        <v>3</v>
      </c>
      <c r="E373">
        <v>9.8783167145512926E-2</v>
      </c>
      <c r="F373">
        <v>0.12</v>
      </c>
      <c r="G373" s="1">
        <f t="shared" si="49"/>
        <v>9.8783167145512926E-2</v>
      </c>
      <c r="H373" s="1" t="str">
        <f t="shared" si="50"/>
        <v/>
      </c>
      <c r="I373" s="1" t="str">
        <f t="shared" si="51"/>
        <v/>
      </c>
      <c r="J373" s="1" t="str">
        <f t="shared" si="52"/>
        <v/>
      </c>
      <c r="K373" s="1" t="str">
        <f t="shared" si="53"/>
        <v/>
      </c>
      <c r="L373" s="1" t="str">
        <f t="shared" si="54"/>
        <v/>
      </c>
    </row>
    <row r="374" spans="1:12">
      <c r="A374" t="s">
        <v>304</v>
      </c>
      <c r="B374">
        <v>5</v>
      </c>
      <c r="C374" t="str">
        <f t="shared" si="48"/>
        <v>test.TileRenderor_5_</v>
      </c>
      <c r="D374">
        <v>4</v>
      </c>
      <c r="E374">
        <v>0.12050025350684468</v>
      </c>
      <c r="F374">
        <v>0.120002</v>
      </c>
      <c r="G374" s="1">
        <f t="shared" si="49"/>
        <v>0.12050025350684468</v>
      </c>
      <c r="H374" s="1" t="str">
        <f t="shared" si="50"/>
        <v/>
      </c>
      <c r="I374" s="1" t="str">
        <f t="shared" si="51"/>
        <v/>
      </c>
      <c r="J374" s="1" t="str">
        <f t="shared" si="52"/>
        <v/>
      </c>
      <c r="K374" s="1" t="str">
        <f t="shared" si="53"/>
        <v/>
      </c>
      <c r="L374" s="1" t="str">
        <f t="shared" si="54"/>
        <v/>
      </c>
    </row>
    <row r="375" spans="1:12">
      <c r="A375" t="s">
        <v>304</v>
      </c>
      <c r="B375">
        <v>5</v>
      </c>
      <c r="C375" t="str">
        <f t="shared" si="48"/>
        <v>test.TileRenderor_5_</v>
      </c>
      <c r="D375">
        <v>5</v>
      </c>
      <c r="E375">
        <v>0.14221733986817645</v>
      </c>
      <c r="F375">
        <v>0.14000000000000001</v>
      </c>
      <c r="G375" s="1">
        <f t="shared" si="49"/>
        <v>0.14221733986817645</v>
      </c>
      <c r="H375" s="1" t="str">
        <f t="shared" si="50"/>
        <v/>
      </c>
      <c r="I375" s="1" t="str">
        <f t="shared" si="51"/>
        <v/>
      </c>
      <c r="J375" s="1" t="str">
        <f t="shared" si="52"/>
        <v/>
      </c>
      <c r="K375" s="1" t="str">
        <f t="shared" si="53"/>
        <v/>
      </c>
      <c r="L375" s="1" t="str">
        <f t="shared" si="54"/>
        <v/>
      </c>
    </row>
    <row r="376" spans="1:12">
      <c r="A376" t="s">
        <v>304</v>
      </c>
      <c r="B376">
        <v>5</v>
      </c>
      <c r="C376" t="str">
        <f t="shared" si="48"/>
        <v>test.TileRenderor_5_</v>
      </c>
      <c r="D376">
        <v>6</v>
      </c>
      <c r="E376">
        <v>0.16393442622950818</v>
      </c>
      <c r="F376">
        <v>0.14000199999999999</v>
      </c>
      <c r="G376" s="1">
        <f t="shared" si="49"/>
        <v>0.16393442622950818</v>
      </c>
      <c r="H376" s="1" t="str">
        <f t="shared" si="50"/>
        <v/>
      </c>
      <c r="I376" s="1" t="str">
        <f t="shared" si="51"/>
        <v/>
      </c>
      <c r="J376" s="1" t="str">
        <f t="shared" si="52"/>
        <v/>
      </c>
      <c r="K376" s="1" t="str">
        <f t="shared" si="53"/>
        <v/>
      </c>
      <c r="L376" s="1" t="str">
        <f t="shared" si="54"/>
        <v/>
      </c>
    </row>
    <row r="377" spans="1:12">
      <c r="A377" t="s">
        <v>304</v>
      </c>
      <c r="B377">
        <v>5</v>
      </c>
      <c r="C377" t="str">
        <f t="shared" si="48"/>
        <v>test.TileRenderor_5_</v>
      </c>
      <c r="D377">
        <v>7</v>
      </c>
      <c r="E377">
        <v>0.23981747507182694</v>
      </c>
      <c r="F377">
        <v>0.14000400600000001</v>
      </c>
      <c r="G377" s="1">
        <f t="shared" si="49"/>
        <v>0.23981747507182694</v>
      </c>
      <c r="H377" s="1" t="str">
        <f t="shared" si="50"/>
        <v/>
      </c>
      <c r="I377" s="1" t="str">
        <f t="shared" si="51"/>
        <v/>
      </c>
      <c r="J377" s="1" t="str">
        <f t="shared" si="52"/>
        <v/>
      </c>
      <c r="K377" s="1" t="str">
        <f t="shared" si="53"/>
        <v/>
      </c>
      <c r="L377" s="1" t="str">
        <f t="shared" si="54"/>
        <v/>
      </c>
    </row>
    <row r="378" spans="1:12">
      <c r="A378" t="s">
        <v>304</v>
      </c>
      <c r="B378">
        <v>5</v>
      </c>
      <c r="C378" t="str">
        <f t="shared" si="48"/>
        <v>test.TileRenderor_5_</v>
      </c>
      <c r="D378">
        <v>8</v>
      </c>
      <c r="E378">
        <v>0.26009802264661147</v>
      </c>
      <c r="F378">
        <v>0.16</v>
      </c>
      <c r="G378" s="1">
        <f t="shared" si="49"/>
        <v>0.26009802264661147</v>
      </c>
      <c r="H378" s="1" t="str">
        <f t="shared" si="50"/>
        <v/>
      </c>
      <c r="I378" s="1" t="str">
        <f t="shared" si="51"/>
        <v/>
      </c>
      <c r="J378" s="1" t="str">
        <f t="shared" si="52"/>
        <v/>
      </c>
      <c r="K378" s="1" t="str">
        <f t="shared" si="53"/>
        <v/>
      </c>
      <c r="L378" s="1" t="str">
        <f t="shared" si="54"/>
        <v/>
      </c>
    </row>
    <row r="379" spans="1:12">
      <c r="A379" t="s">
        <v>304</v>
      </c>
      <c r="B379">
        <v>5</v>
      </c>
      <c r="C379" t="str">
        <f t="shared" si="48"/>
        <v>test.TileRenderor_5_</v>
      </c>
      <c r="D379">
        <v>9</v>
      </c>
      <c r="E379">
        <v>0.28173060672638162</v>
      </c>
      <c r="F379">
        <v>0.16000200000000001</v>
      </c>
      <c r="G379" s="1">
        <f t="shared" si="49"/>
        <v>0.28173060672638162</v>
      </c>
      <c r="H379" s="1" t="str">
        <f t="shared" si="50"/>
        <v/>
      </c>
      <c r="I379" s="1" t="str">
        <f t="shared" si="51"/>
        <v/>
      </c>
      <c r="J379" s="1" t="str">
        <f t="shared" si="52"/>
        <v/>
      </c>
      <c r="K379" s="1" t="str">
        <f t="shared" si="53"/>
        <v/>
      </c>
      <c r="L379" s="1" t="str">
        <f t="shared" si="54"/>
        <v/>
      </c>
    </row>
    <row r="380" spans="1:12">
      <c r="A380" t="s">
        <v>304</v>
      </c>
      <c r="B380">
        <v>5</v>
      </c>
      <c r="C380" t="str">
        <f t="shared" si="48"/>
        <v>test.TileRenderor_5_</v>
      </c>
      <c r="D380">
        <v>10</v>
      </c>
      <c r="E380">
        <v>0.28680074362007774</v>
      </c>
      <c r="F380">
        <v>0.16000399999999998</v>
      </c>
      <c r="G380" s="1">
        <f t="shared" si="49"/>
        <v>0.28680074362007774</v>
      </c>
      <c r="H380" s="1" t="str">
        <f t="shared" si="50"/>
        <v/>
      </c>
      <c r="I380" s="1" t="str">
        <f t="shared" si="51"/>
        <v/>
      </c>
      <c r="J380" s="1" t="str">
        <f t="shared" si="52"/>
        <v/>
      </c>
      <c r="K380" s="1" t="str">
        <f t="shared" si="53"/>
        <v/>
      </c>
      <c r="L380" s="1" t="str">
        <f t="shared" si="54"/>
        <v/>
      </c>
    </row>
    <row r="381" spans="1:12">
      <c r="A381" t="s">
        <v>304</v>
      </c>
      <c r="B381">
        <v>5</v>
      </c>
      <c r="C381" t="str">
        <f t="shared" si="48"/>
        <v>test.TileRenderor_5_</v>
      </c>
      <c r="D381">
        <v>1</v>
      </c>
      <c r="E381">
        <v>0.30851782998140947</v>
      </c>
      <c r="F381">
        <v>0.18</v>
      </c>
      <c r="G381" s="1">
        <f t="shared" si="49"/>
        <v>0.30851782998140947</v>
      </c>
      <c r="H381" s="1" t="str">
        <f t="shared" si="50"/>
        <v/>
      </c>
      <c r="I381" s="1" t="str">
        <f t="shared" si="51"/>
        <v/>
      </c>
      <c r="J381" s="1" t="str">
        <f t="shared" si="52"/>
        <v/>
      </c>
      <c r="K381" s="1" t="str">
        <f t="shared" si="53"/>
        <v/>
      </c>
      <c r="L381" s="1" t="str">
        <f t="shared" si="54"/>
        <v/>
      </c>
    </row>
    <row r="382" spans="1:12">
      <c r="A382" t="s">
        <v>304</v>
      </c>
      <c r="B382">
        <v>5</v>
      </c>
      <c r="C382" t="str">
        <f t="shared" si="48"/>
        <v>test.TileRenderor_5_</v>
      </c>
      <c r="D382">
        <v>2</v>
      </c>
      <c r="E382">
        <v>0.31358796687510565</v>
      </c>
      <c r="F382">
        <v>0.52</v>
      </c>
      <c r="G382" s="1" t="str">
        <f t="shared" si="49"/>
        <v/>
      </c>
      <c r="H382" s="1" t="str">
        <f t="shared" si="50"/>
        <v/>
      </c>
      <c r="I382" s="1">
        <f t="shared" si="51"/>
        <v>0.31358796687510565</v>
      </c>
      <c r="J382" s="1" t="str">
        <f t="shared" si="52"/>
        <v/>
      </c>
      <c r="K382" s="1" t="str">
        <f t="shared" si="53"/>
        <v/>
      </c>
      <c r="L382" s="1" t="str">
        <f t="shared" si="54"/>
        <v/>
      </c>
    </row>
    <row r="383" spans="1:12">
      <c r="A383" t="s">
        <v>304</v>
      </c>
      <c r="B383">
        <v>5</v>
      </c>
      <c r="C383" t="str">
        <f t="shared" si="48"/>
        <v>test.TileRenderor_5_</v>
      </c>
      <c r="D383">
        <v>3</v>
      </c>
      <c r="E383">
        <v>0.58914990704749026</v>
      </c>
      <c r="F383">
        <v>0.57999999999999996</v>
      </c>
      <c r="G383" s="1" t="str">
        <f t="shared" si="49"/>
        <v/>
      </c>
      <c r="H383" s="1" t="str">
        <f t="shared" si="50"/>
        <v/>
      </c>
      <c r="I383" s="1">
        <f t="shared" si="51"/>
        <v>0.58914990704749026</v>
      </c>
      <c r="J383" s="1" t="str">
        <f t="shared" si="52"/>
        <v/>
      </c>
      <c r="K383" s="1" t="str">
        <f t="shared" si="53"/>
        <v/>
      </c>
      <c r="L383" s="1" t="str">
        <f t="shared" si="54"/>
        <v/>
      </c>
    </row>
    <row r="384" spans="1:12">
      <c r="A384" t="s">
        <v>304</v>
      </c>
      <c r="B384">
        <v>5</v>
      </c>
      <c r="C384" t="str">
        <f t="shared" si="48"/>
        <v>test.TileRenderor_5_</v>
      </c>
      <c r="D384">
        <v>4</v>
      </c>
      <c r="E384">
        <v>0.79677201284434684</v>
      </c>
      <c r="F384">
        <v>0.62</v>
      </c>
      <c r="G384" s="1" t="str">
        <f t="shared" si="49"/>
        <v/>
      </c>
      <c r="H384" s="1" t="str">
        <f t="shared" si="50"/>
        <v/>
      </c>
      <c r="I384" s="1" t="str">
        <f t="shared" si="51"/>
        <v/>
      </c>
      <c r="J384" s="1">
        <f t="shared" si="52"/>
        <v>0.79677201284434684</v>
      </c>
      <c r="K384" s="1" t="str">
        <f t="shared" si="53"/>
        <v/>
      </c>
      <c r="L384" s="1" t="str">
        <f t="shared" si="54"/>
        <v/>
      </c>
    </row>
    <row r="385" spans="1:12">
      <c r="A385" t="s">
        <v>304</v>
      </c>
      <c r="B385">
        <v>5</v>
      </c>
      <c r="C385" t="str">
        <f t="shared" si="48"/>
        <v>test.TileRenderor_5_</v>
      </c>
      <c r="D385">
        <v>5</v>
      </c>
      <c r="E385">
        <v>0.79677201284434684</v>
      </c>
      <c r="F385">
        <v>0.62000199999999994</v>
      </c>
      <c r="G385" s="1" t="str">
        <f t="shared" si="49"/>
        <v/>
      </c>
      <c r="H385" s="1" t="str">
        <f t="shared" si="50"/>
        <v/>
      </c>
      <c r="I385" s="1" t="str">
        <f t="shared" si="51"/>
        <v/>
      </c>
      <c r="J385" s="1">
        <f t="shared" si="52"/>
        <v>0.79677201284434684</v>
      </c>
      <c r="K385" s="1" t="str">
        <f t="shared" si="53"/>
        <v/>
      </c>
      <c r="L385" s="1" t="str">
        <f t="shared" si="54"/>
        <v/>
      </c>
    </row>
    <row r="386" spans="1:12">
      <c r="A386" t="s">
        <v>304</v>
      </c>
      <c r="B386">
        <v>5</v>
      </c>
      <c r="C386" t="str">
        <f t="shared" si="48"/>
        <v>test.TileRenderor_5_</v>
      </c>
      <c r="D386">
        <v>6</v>
      </c>
      <c r="E386">
        <v>1</v>
      </c>
      <c r="F386">
        <v>0.62000396000000002</v>
      </c>
      <c r="G386" s="1" t="str">
        <f t="shared" si="49"/>
        <v/>
      </c>
      <c r="H386" s="1" t="str">
        <f t="shared" si="50"/>
        <v/>
      </c>
      <c r="I386" s="1" t="str">
        <f t="shared" si="51"/>
        <v/>
      </c>
      <c r="J386" s="1">
        <f t="shared" si="52"/>
        <v>1</v>
      </c>
      <c r="K386" s="1" t="str">
        <f t="shared" si="53"/>
        <v/>
      </c>
      <c r="L386" s="1" t="str">
        <f t="shared" si="54"/>
        <v/>
      </c>
    </row>
    <row r="387" spans="1:12">
      <c r="A387" t="s">
        <v>304</v>
      </c>
      <c r="B387">
        <v>5</v>
      </c>
      <c r="C387" t="str">
        <f t="shared" ref="C387:C450" si="55">CONCATENATE(A387, "_",B387,"_")</f>
        <v>test.TileRenderor_5_</v>
      </c>
      <c r="D387">
        <v>1</v>
      </c>
      <c r="E387">
        <v>1</v>
      </c>
      <c r="F387">
        <v>0.66</v>
      </c>
      <c r="G387" s="1" t="str">
        <f t="shared" ref="G387:G450" si="56">IF($F387 &lt;= 0.2,$E387,"")</f>
        <v/>
      </c>
      <c r="H387" s="1" t="str">
        <f t="shared" ref="H387:H450" si="57">IF(AND($F387 &gt; 0.2,$F387 &lt;= 0.4),$E387,"")</f>
        <v/>
      </c>
      <c r="I387" s="1" t="str">
        <f t="shared" ref="I387:I450" si="58">IF(AND($F387 &gt; 0.4,$F387 &lt;= 0.6),$E387,"")</f>
        <v/>
      </c>
      <c r="J387" s="1">
        <f t="shared" ref="J387:J450" si="59">IF(AND($F387 &gt; 0.6,$F387 &lt;= 0.8),$E387,"")</f>
        <v>1</v>
      </c>
      <c r="K387" s="1" t="str">
        <f t="shared" ref="K387:K450" si="60">IF(AND($F387 &gt; 0.8, $F387 &lt;=1.1),$E387,"")</f>
        <v/>
      </c>
      <c r="L387" s="1" t="str">
        <f t="shared" ref="L387:L450" si="61">IF(AND($F387 &gt; 1.1),$E387,"")</f>
        <v/>
      </c>
    </row>
    <row r="388" spans="1:12">
      <c r="A388" t="s">
        <v>304</v>
      </c>
      <c r="B388">
        <v>5</v>
      </c>
      <c r="C388" t="str">
        <f t="shared" si="55"/>
        <v>test.TileRenderor_5_</v>
      </c>
      <c r="D388">
        <v>2</v>
      </c>
      <c r="E388">
        <v>1</v>
      </c>
      <c r="F388">
        <v>0.72</v>
      </c>
      <c r="G388" s="1" t="str">
        <f t="shared" si="56"/>
        <v/>
      </c>
      <c r="H388" s="1" t="str">
        <f t="shared" si="57"/>
        <v/>
      </c>
      <c r="I388" s="1" t="str">
        <f t="shared" si="58"/>
        <v/>
      </c>
      <c r="J388" s="1">
        <f t="shared" si="59"/>
        <v>1</v>
      </c>
      <c r="K388" s="1" t="str">
        <f t="shared" si="60"/>
        <v/>
      </c>
      <c r="L388" s="1" t="str">
        <f t="shared" si="61"/>
        <v/>
      </c>
    </row>
    <row r="389" spans="1:12">
      <c r="A389" t="s">
        <v>304</v>
      </c>
      <c r="B389">
        <v>5</v>
      </c>
      <c r="C389" t="str">
        <f t="shared" si="55"/>
        <v>test.TileRenderor_5_</v>
      </c>
      <c r="D389">
        <v>3</v>
      </c>
      <c r="E389">
        <v>1</v>
      </c>
      <c r="F389">
        <v>1</v>
      </c>
      <c r="G389" s="1" t="str">
        <f t="shared" si="56"/>
        <v/>
      </c>
      <c r="H389" s="1" t="str">
        <f t="shared" si="57"/>
        <v/>
      </c>
      <c r="I389" s="1" t="str">
        <f t="shared" si="58"/>
        <v/>
      </c>
      <c r="J389" s="1" t="str">
        <f t="shared" si="59"/>
        <v/>
      </c>
      <c r="K389" s="1">
        <f t="shared" si="60"/>
        <v>1</v>
      </c>
      <c r="L389" s="1" t="str">
        <f t="shared" si="61"/>
        <v/>
      </c>
    </row>
    <row r="390" spans="1:12">
      <c r="A390" t="s">
        <v>304</v>
      </c>
      <c r="B390">
        <v>5</v>
      </c>
      <c r="C390" t="str">
        <f t="shared" si="55"/>
        <v>test.TileRenderor_5_</v>
      </c>
      <c r="D390">
        <v>4</v>
      </c>
      <c r="E390">
        <v>1</v>
      </c>
      <c r="F390">
        <v>1.2</v>
      </c>
      <c r="G390" s="1" t="str">
        <f t="shared" si="56"/>
        <v/>
      </c>
      <c r="H390" s="1" t="str">
        <f t="shared" si="57"/>
        <v/>
      </c>
      <c r="I390" s="1" t="str">
        <f t="shared" si="58"/>
        <v/>
      </c>
      <c r="J390" s="1" t="str">
        <f t="shared" si="59"/>
        <v/>
      </c>
      <c r="K390" s="1" t="str">
        <f t="shared" si="60"/>
        <v/>
      </c>
      <c r="L390" s="1">
        <f t="shared" si="61"/>
        <v>1</v>
      </c>
    </row>
    <row r="391" spans="1:12">
      <c r="A391" t="s">
        <v>304</v>
      </c>
      <c r="B391">
        <v>6</v>
      </c>
      <c r="C391" t="str">
        <f t="shared" si="55"/>
        <v>test.TileRenderor_6_</v>
      </c>
      <c r="D391">
        <v>5</v>
      </c>
      <c r="E391">
        <v>0.12760969527501978</v>
      </c>
      <c r="F391">
        <v>7.1476285905143627E-2</v>
      </c>
      <c r="G391" s="1">
        <f t="shared" si="56"/>
        <v>0.12760969527501978</v>
      </c>
      <c r="H391" s="1" t="str">
        <f t="shared" si="57"/>
        <v/>
      </c>
      <c r="I391" s="1" t="str">
        <f t="shared" si="58"/>
        <v/>
      </c>
      <c r="J391" s="1" t="str">
        <f t="shared" si="59"/>
        <v/>
      </c>
      <c r="K391" s="1" t="str">
        <f t="shared" si="60"/>
        <v/>
      </c>
      <c r="L391" s="1" t="str">
        <f t="shared" si="61"/>
        <v/>
      </c>
    </row>
    <row r="392" spans="1:12">
      <c r="A392" t="s">
        <v>304</v>
      </c>
      <c r="B392">
        <v>6</v>
      </c>
      <c r="C392" t="str">
        <f t="shared" si="55"/>
        <v>test.TileRenderor_6_</v>
      </c>
      <c r="D392">
        <v>6</v>
      </c>
      <c r="E392">
        <v>0.13775612779229787</v>
      </c>
      <c r="F392">
        <v>7.9492317969271878E-2</v>
      </c>
      <c r="G392" s="1">
        <f t="shared" si="56"/>
        <v>0.13775612779229787</v>
      </c>
      <c r="H392" s="1" t="str">
        <f t="shared" si="57"/>
        <v/>
      </c>
      <c r="I392" s="1" t="str">
        <f t="shared" si="58"/>
        <v/>
      </c>
      <c r="J392" s="1" t="str">
        <f t="shared" si="59"/>
        <v/>
      </c>
      <c r="K392" s="1" t="str">
        <f t="shared" si="60"/>
        <v/>
      </c>
      <c r="L392" s="1" t="str">
        <f t="shared" si="61"/>
        <v/>
      </c>
    </row>
    <row r="393" spans="1:12">
      <c r="A393" t="s">
        <v>304</v>
      </c>
      <c r="B393">
        <v>6</v>
      </c>
      <c r="C393" t="str">
        <f t="shared" si="55"/>
        <v>test.TileRenderor_6_</v>
      </c>
      <c r="D393">
        <v>7</v>
      </c>
      <c r="E393">
        <v>0.14181949642264935</v>
      </c>
      <c r="F393">
        <v>0.13026052104208416</v>
      </c>
      <c r="G393" s="1">
        <f t="shared" si="56"/>
        <v>0.14181949642264935</v>
      </c>
      <c r="H393" s="1" t="str">
        <f t="shared" si="57"/>
        <v/>
      </c>
      <c r="I393" s="1" t="str">
        <f t="shared" si="58"/>
        <v/>
      </c>
      <c r="J393" s="1" t="str">
        <f t="shared" si="59"/>
        <v/>
      </c>
      <c r="K393" s="1" t="str">
        <f t="shared" si="60"/>
        <v/>
      </c>
      <c r="L393" s="1" t="str">
        <f t="shared" si="61"/>
        <v/>
      </c>
    </row>
    <row r="394" spans="1:12">
      <c r="A394" t="s">
        <v>304</v>
      </c>
      <c r="B394">
        <v>6</v>
      </c>
      <c r="C394" t="str">
        <f t="shared" si="55"/>
        <v>test.TileRenderor_6_</v>
      </c>
      <c r="D394">
        <v>8</v>
      </c>
      <c r="E394">
        <v>0.19417294862596166</v>
      </c>
      <c r="F394">
        <v>0.23046092184368738</v>
      </c>
      <c r="G394" s="1" t="str">
        <f t="shared" si="56"/>
        <v/>
      </c>
      <c r="H394" s="1">
        <f t="shared" si="57"/>
        <v>0.19417294862596166</v>
      </c>
      <c r="I394" s="1" t="str">
        <f t="shared" si="58"/>
        <v/>
      </c>
      <c r="J394" s="1" t="str">
        <f t="shared" si="59"/>
        <v/>
      </c>
      <c r="K394" s="1" t="str">
        <f t="shared" si="60"/>
        <v/>
      </c>
      <c r="L394" s="1" t="str">
        <f t="shared" si="61"/>
        <v/>
      </c>
    </row>
    <row r="395" spans="1:12">
      <c r="A395" t="s">
        <v>304</v>
      </c>
      <c r="B395">
        <v>6</v>
      </c>
      <c r="C395" t="str">
        <f t="shared" si="55"/>
        <v>test.TileRenderor_6_</v>
      </c>
      <c r="D395">
        <v>9</v>
      </c>
      <c r="E395">
        <v>0.22862396963263679</v>
      </c>
      <c r="F395">
        <v>0.23580494321977288</v>
      </c>
      <c r="G395" s="1" t="str">
        <f t="shared" si="56"/>
        <v/>
      </c>
      <c r="H395" s="1">
        <f t="shared" si="57"/>
        <v>0.22862396963263679</v>
      </c>
      <c r="I395" s="1" t="str">
        <f t="shared" si="58"/>
        <v/>
      </c>
      <c r="J395" s="1" t="str">
        <f t="shared" si="59"/>
        <v/>
      </c>
      <c r="K395" s="1" t="str">
        <f t="shared" si="60"/>
        <v/>
      </c>
      <c r="L395" s="1" t="str">
        <f t="shared" si="61"/>
        <v/>
      </c>
    </row>
    <row r="396" spans="1:12">
      <c r="A396" t="s">
        <v>304</v>
      </c>
      <c r="B396">
        <v>6</v>
      </c>
      <c r="C396" t="str">
        <f t="shared" si="55"/>
        <v>test.TileRenderor_6_</v>
      </c>
      <c r="D396">
        <v>1</v>
      </c>
      <c r="E396">
        <v>0.24188940185664407</v>
      </c>
      <c r="F396">
        <v>0.24248496993987975</v>
      </c>
      <c r="G396" s="1" t="str">
        <f t="shared" si="56"/>
        <v/>
      </c>
      <c r="H396" s="1">
        <f t="shared" si="57"/>
        <v>0.24188940185664407</v>
      </c>
      <c r="I396" s="1" t="str">
        <f t="shared" si="58"/>
        <v/>
      </c>
      <c r="J396" s="1" t="str">
        <f t="shared" si="59"/>
        <v/>
      </c>
      <c r="K396" s="1" t="str">
        <f t="shared" si="60"/>
        <v/>
      </c>
      <c r="L396" s="1" t="str">
        <f t="shared" si="61"/>
        <v/>
      </c>
    </row>
    <row r="397" spans="1:12">
      <c r="A397" t="s">
        <v>304</v>
      </c>
      <c r="B397">
        <v>6</v>
      </c>
      <c r="C397" t="str">
        <f t="shared" si="55"/>
        <v>test.TileRenderor_6_</v>
      </c>
      <c r="D397">
        <v>2</v>
      </c>
      <c r="E397">
        <v>0.33035574303574028</v>
      </c>
      <c r="F397">
        <v>0.24582498329993319</v>
      </c>
      <c r="G397" s="1" t="str">
        <f t="shared" si="56"/>
        <v/>
      </c>
      <c r="H397" s="1">
        <f t="shared" si="57"/>
        <v>0.33035574303574028</v>
      </c>
      <c r="I397" s="1" t="str">
        <f t="shared" si="58"/>
        <v/>
      </c>
      <c r="J397" s="1" t="str">
        <f t="shared" si="59"/>
        <v/>
      </c>
      <c r="K397" s="1" t="str">
        <f t="shared" si="60"/>
        <v/>
      </c>
      <c r="L397" s="1" t="str">
        <f t="shared" si="61"/>
        <v/>
      </c>
    </row>
    <row r="398" spans="1:12">
      <c r="A398" t="s">
        <v>304</v>
      </c>
      <c r="B398">
        <v>6</v>
      </c>
      <c r="C398" t="str">
        <f t="shared" si="55"/>
        <v>test.TileRenderor_6_</v>
      </c>
      <c r="D398">
        <v>1</v>
      </c>
      <c r="E398">
        <v>0.35639413384585023</v>
      </c>
      <c r="F398">
        <v>0.26720106880427524</v>
      </c>
      <c r="G398" s="1" t="str">
        <f t="shared" si="56"/>
        <v/>
      </c>
      <c r="H398" s="1">
        <f t="shared" si="57"/>
        <v>0.35639413384585023</v>
      </c>
      <c r="I398" s="1" t="str">
        <f t="shared" si="58"/>
        <v/>
      </c>
      <c r="J398" s="1" t="str">
        <f t="shared" si="59"/>
        <v/>
      </c>
      <c r="K398" s="1" t="str">
        <f t="shared" si="60"/>
        <v/>
      </c>
      <c r="L398" s="1" t="str">
        <f t="shared" si="61"/>
        <v/>
      </c>
    </row>
    <row r="399" spans="1:12">
      <c r="A399" t="s">
        <v>304</v>
      </c>
      <c r="B399">
        <v>6</v>
      </c>
      <c r="C399" t="str">
        <f t="shared" si="55"/>
        <v>test.TileRenderor_6_</v>
      </c>
      <c r="D399">
        <v>2</v>
      </c>
      <c r="E399">
        <v>0.47602096056337506</v>
      </c>
      <c r="F399">
        <v>0.27321309285237139</v>
      </c>
      <c r="G399" s="1" t="str">
        <f t="shared" si="56"/>
        <v/>
      </c>
      <c r="H399" s="1">
        <f t="shared" si="57"/>
        <v>0.47602096056337506</v>
      </c>
      <c r="I399" s="1" t="str">
        <f t="shared" si="58"/>
        <v/>
      </c>
      <c r="J399" s="1" t="str">
        <f t="shared" si="59"/>
        <v/>
      </c>
      <c r="K399" s="1" t="str">
        <f t="shared" si="60"/>
        <v/>
      </c>
      <c r="L399" s="1" t="str">
        <f t="shared" si="61"/>
        <v/>
      </c>
    </row>
    <row r="400" spans="1:12">
      <c r="A400" t="s">
        <v>304</v>
      </c>
      <c r="B400">
        <v>6</v>
      </c>
      <c r="C400" t="str">
        <f t="shared" si="55"/>
        <v>test.TileRenderor_6_</v>
      </c>
      <c r="D400">
        <v>3</v>
      </c>
      <c r="E400">
        <v>0.70490684501467271</v>
      </c>
      <c r="F400">
        <v>0.28924515698062792</v>
      </c>
      <c r="G400" s="1" t="str">
        <f t="shared" si="56"/>
        <v/>
      </c>
      <c r="H400" s="1">
        <f t="shared" si="57"/>
        <v>0.70490684501467271</v>
      </c>
      <c r="I400" s="1" t="str">
        <f t="shared" si="58"/>
        <v/>
      </c>
      <c r="J400" s="1" t="str">
        <f t="shared" si="59"/>
        <v/>
      </c>
      <c r="K400" s="1" t="str">
        <f t="shared" si="60"/>
        <v/>
      </c>
      <c r="L400" s="1" t="str">
        <f t="shared" si="61"/>
        <v/>
      </c>
    </row>
    <row r="401" spans="1:12">
      <c r="A401" t="s">
        <v>304</v>
      </c>
      <c r="B401">
        <v>6</v>
      </c>
      <c r="C401" t="str">
        <f t="shared" si="55"/>
        <v>test.TileRenderor_6_</v>
      </c>
      <c r="D401">
        <v>4</v>
      </c>
      <c r="E401">
        <v>0.71771115960019261</v>
      </c>
      <c r="F401">
        <v>0.29124916499665998</v>
      </c>
      <c r="G401" s="1" t="str">
        <f t="shared" si="56"/>
        <v/>
      </c>
      <c r="H401" s="1">
        <f t="shared" si="57"/>
        <v>0.71771115960019261</v>
      </c>
      <c r="I401" s="1" t="str">
        <f t="shared" si="58"/>
        <v/>
      </c>
      <c r="J401" s="1" t="str">
        <f t="shared" si="59"/>
        <v/>
      </c>
      <c r="K401" s="1" t="str">
        <f t="shared" si="60"/>
        <v/>
      </c>
      <c r="L401" s="1" t="str">
        <f t="shared" si="61"/>
        <v/>
      </c>
    </row>
    <row r="402" spans="1:12">
      <c r="A402" t="s">
        <v>304</v>
      </c>
      <c r="B402">
        <v>6</v>
      </c>
      <c r="C402" t="str">
        <f t="shared" si="55"/>
        <v>test.TileRenderor_6_</v>
      </c>
      <c r="D402">
        <v>1</v>
      </c>
      <c r="E402">
        <v>0.93800365574063793</v>
      </c>
      <c r="F402">
        <v>0.29525718102872411</v>
      </c>
      <c r="G402" s="1" t="str">
        <f t="shared" si="56"/>
        <v/>
      </c>
      <c r="H402" s="1">
        <f t="shared" si="57"/>
        <v>0.93800365574063793</v>
      </c>
      <c r="I402" s="1" t="str">
        <f t="shared" si="58"/>
        <v/>
      </c>
      <c r="J402" s="1" t="str">
        <f t="shared" si="59"/>
        <v/>
      </c>
      <c r="K402" s="1" t="str">
        <f t="shared" si="60"/>
        <v/>
      </c>
      <c r="L402" s="1" t="str">
        <f t="shared" si="61"/>
        <v/>
      </c>
    </row>
    <row r="403" spans="1:12">
      <c r="A403" t="s">
        <v>304</v>
      </c>
      <c r="B403">
        <v>6</v>
      </c>
      <c r="C403" t="str">
        <f t="shared" si="55"/>
        <v>test.TileRenderor_6_</v>
      </c>
      <c r="D403">
        <v>2</v>
      </c>
      <c r="E403">
        <v>0.93829508208816204</v>
      </c>
      <c r="F403">
        <v>0.30193720774883098</v>
      </c>
      <c r="G403" s="1" t="str">
        <f t="shared" si="56"/>
        <v/>
      </c>
      <c r="H403" s="1">
        <f t="shared" si="57"/>
        <v>0.93829508208816204</v>
      </c>
      <c r="I403" s="1" t="str">
        <f t="shared" si="58"/>
        <v/>
      </c>
      <c r="J403" s="1" t="str">
        <f t="shared" si="59"/>
        <v/>
      </c>
      <c r="K403" s="1" t="str">
        <f t="shared" si="60"/>
        <v/>
      </c>
      <c r="L403" s="1" t="str">
        <f t="shared" si="61"/>
        <v/>
      </c>
    </row>
    <row r="404" spans="1:12">
      <c r="A404" t="s">
        <v>304</v>
      </c>
      <c r="B404">
        <v>6</v>
      </c>
      <c r="C404" t="str">
        <f t="shared" si="55"/>
        <v>test.TileRenderor_6_</v>
      </c>
      <c r="D404">
        <v>3</v>
      </c>
      <c r="E404">
        <v>0.98719568541448022</v>
      </c>
      <c r="F404">
        <v>0.30995323981295925</v>
      </c>
      <c r="G404" s="1" t="str">
        <f t="shared" si="56"/>
        <v/>
      </c>
      <c r="H404" s="1">
        <f t="shared" si="57"/>
        <v>0.98719568541448022</v>
      </c>
      <c r="I404" s="1" t="str">
        <f t="shared" si="58"/>
        <v/>
      </c>
      <c r="J404" s="1" t="str">
        <f t="shared" si="59"/>
        <v/>
      </c>
      <c r="K404" s="1" t="str">
        <f t="shared" si="60"/>
        <v/>
      </c>
      <c r="L404" s="1" t="str">
        <f t="shared" si="61"/>
        <v/>
      </c>
    </row>
    <row r="405" spans="1:12">
      <c r="A405" t="s">
        <v>304</v>
      </c>
      <c r="B405">
        <v>6</v>
      </c>
      <c r="C405" t="str">
        <f t="shared" si="55"/>
        <v>test.TileRenderor_6_</v>
      </c>
      <c r="D405">
        <v>4</v>
      </c>
      <c r="E405">
        <v>1</v>
      </c>
      <c r="F405">
        <v>0.32264529058116231</v>
      </c>
      <c r="G405" s="1" t="str">
        <f t="shared" si="56"/>
        <v/>
      </c>
      <c r="H405" s="1">
        <f t="shared" si="57"/>
        <v>1</v>
      </c>
      <c r="I405" s="1" t="str">
        <f t="shared" si="58"/>
        <v/>
      </c>
      <c r="J405" s="1" t="str">
        <f t="shared" si="59"/>
        <v/>
      </c>
      <c r="K405" s="1" t="str">
        <f t="shared" si="60"/>
        <v/>
      </c>
      <c r="L405" s="1" t="str">
        <f t="shared" si="61"/>
        <v/>
      </c>
    </row>
    <row r="406" spans="1:12">
      <c r="A406" t="s">
        <v>155</v>
      </c>
      <c r="B406">
        <v>9</v>
      </c>
      <c r="C406" t="str">
        <f t="shared" si="55"/>
        <v>test.TIFFFaxDecoder_9_</v>
      </c>
      <c r="D406">
        <v>5</v>
      </c>
      <c r="E406">
        <v>0.1864406779661017</v>
      </c>
      <c r="F406">
        <v>0.5</v>
      </c>
      <c r="G406" s="1" t="str">
        <f t="shared" si="56"/>
        <v/>
      </c>
      <c r="H406" s="1" t="str">
        <f t="shared" si="57"/>
        <v/>
      </c>
      <c r="I406" s="1">
        <f t="shared" si="58"/>
        <v>0.1864406779661017</v>
      </c>
      <c r="J406" s="1" t="str">
        <f t="shared" si="59"/>
        <v/>
      </c>
      <c r="K406" s="1" t="str">
        <f t="shared" si="60"/>
        <v/>
      </c>
      <c r="L406" s="1" t="str">
        <f t="shared" si="61"/>
        <v/>
      </c>
    </row>
    <row r="407" spans="1:12">
      <c r="A407" t="s">
        <v>155</v>
      </c>
      <c r="B407">
        <v>9</v>
      </c>
      <c r="C407" t="str">
        <f t="shared" si="55"/>
        <v>test.TIFFFaxDecoder_9_</v>
      </c>
      <c r="D407">
        <v>6</v>
      </c>
      <c r="E407">
        <v>0.23389830508474577</v>
      </c>
      <c r="F407">
        <v>0.50002500000000005</v>
      </c>
      <c r="G407" s="1" t="str">
        <f t="shared" si="56"/>
        <v/>
      </c>
      <c r="H407" s="1" t="str">
        <f t="shared" si="57"/>
        <v/>
      </c>
      <c r="I407" s="1">
        <f t="shared" si="58"/>
        <v>0.23389830508474577</v>
      </c>
      <c r="J407" s="1" t="str">
        <f t="shared" si="59"/>
        <v/>
      </c>
      <c r="K407" s="1" t="str">
        <f t="shared" si="60"/>
        <v/>
      </c>
      <c r="L407" s="1" t="str">
        <f t="shared" si="61"/>
        <v/>
      </c>
    </row>
    <row r="408" spans="1:12">
      <c r="A408" t="s">
        <v>155</v>
      </c>
      <c r="B408">
        <v>9</v>
      </c>
      <c r="C408" t="str">
        <f t="shared" si="55"/>
        <v>test.TIFFFaxDecoder_9_</v>
      </c>
      <c r="D408">
        <v>7</v>
      </c>
      <c r="E408">
        <v>0.49491525423728816</v>
      </c>
      <c r="F408">
        <v>0.50004994999999997</v>
      </c>
      <c r="G408" s="1" t="str">
        <f t="shared" si="56"/>
        <v/>
      </c>
      <c r="H408" s="1" t="str">
        <f t="shared" si="57"/>
        <v/>
      </c>
      <c r="I408" s="1">
        <f t="shared" si="58"/>
        <v>0.49491525423728816</v>
      </c>
      <c r="J408" s="1" t="str">
        <f t="shared" si="59"/>
        <v/>
      </c>
      <c r="K408" s="1" t="str">
        <f t="shared" si="60"/>
        <v/>
      </c>
      <c r="L408" s="1" t="str">
        <f t="shared" si="61"/>
        <v/>
      </c>
    </row>
    <row r="409" spans="1:12">
      <c r="A409" t="s">
        <v>155</v>
      </c>
      <c r="B409">
        <v>9</v>
      </c>
      <c r="C409" t="str">
        <f t="shared" si="55"/>
        <v>test.TIFFFaxDecoder_9_</v>
      </c>
      <c r="D409">
        <v>8</v>
      </c>
      <c r="E409">
        <v>0.51186440677966105</v>
      </c>
      <c r="F409">
        <v>0.50007492499999995</v>
      </c>
      <c r="G409" s="1" t="str">
        <f t="shared" si="56"/>
        <v/>
      </c>
      <c r="H409" s="1" t="str">
        <f t="shared" si="57"/>
        <v/>
      </c>
      <c r="I409" s="1">
        <f t="shared" si="58"/>
        <v>0.51186440677966105</v>
      </c>
      <c r="J409" s="1" t="str">
        <f t="shared" si="59"/>
        <v/>
      </c>
      <c r="K409" s="1" t="str">
        <f t="shared" si="60"/>
        <v/>
      </c>
      <c r="L409" s="1" t="str">
        <f t="shared" si="61"/>
        <v/>
      </c>
    </row>
    <row r="410" spans="1:12">
      <c r="A410" t="s">
        <v>155</v>
      </c>
      <c r="B410">
        <v>9</v>
      </c>
      <c r="C410" t="str">
        <f t="shared" si="55"/>
        <v>test.TIFFFaxDecoder_9_</v>
      </c>
      <c r="D410">
        <v>9</v>
      </c>
      <c r="E410">
        <v>0.52203389830508473</v>
      </c>
      <c r="F410">
        <v>0.50009990000000004</v>
      </c>
      <c r="G410" s="1" t="str">
        <f t="shared" si="56"/>
        <v/>
      </c>
      <c r="H410" s="1" t="str">
        <f t="shared" si="57"/>
        <v/>
      </c>
      <c r="I410" s="1">
        <f t="shared" si="58"/>
        <v>0.52203389830508473</v>
      </c>
      <c r="J410" s="1" t="str">
        <f t="shared" si="59"/>
        <v/>
      </c>
      <c r="K410" s="1" t="str">
        <f t="shared" si="60"/>
        <v/>
      </c>
      <c r="L410" s="1" t="str">
        <f t="shared" si="61"/>
        <v/>
      </c>
    </row>
    <row r="411" spans="1:12">
      <c r="A411" t="s">
        <v>155</v>
      </c>
      <c r="B411">
        <v>9</v>
      </c>
      <c r="C411" t="str">
        <f t="shared" si="55"/>
        <v>test.TIFFFaxDecoder_9_</v>
      </c>
      <c r="D411">
        <v>10</v>
      </c>
      <c r="E411">
        <v>0.52203389830508473</v>
      </c>
      <c r="F411">
        <v>0.50012487500000002</v>
      </c>
      <c r="G411" s="1" t="str">
        <f t="shared" si="56"/>
        <v/>
      </c>
      <c r="H411" s="1" t="str">
        <f t="shared" si="57"/>
        <v/>
      </c>
      <c r="I411" s="1">
        <f t="shared" si="58"/>
        <v>0.52203389830508473</v>
      </c>
      <c r="J411" s="1" t="str">
        <f t="shared" si="59"/>
        <v/>
      </c>
      <c r="K411" s="1" t="str">
        <f t="shared" si="60"/>
        <v/>
      </c>
      <c r="L411" s="1" t="str">
        <f t="shared" si="61"/>
        <v/>
      </c>
    </row>
    <row r="412" spans="1:12">
      <c r="A412" t="s">
        <v>155</v>
      </c>
      <c r="B412">
        <v>9</v>
      </c>
      <c r="C412" t="str">
        <f t="shared" si="55"/>
        <v>test.TIFFFaxDecoder_9_</v>
      </c>
      <c r="D412">
        <v>11</v>
      </c>
      <c r="E412">
        <v>0.52881355932203389</v>
      </c>
      <c r="F412">
        <v>0.75</v>
      </c>
      <c r="G412" s="1" t="str">
        <f t="shared" si="56"/>
        <v/>
      </c>
      <c r="H412" s="1" t="str">
        <f t="shared" si="57"/>
        <v/>
      </c>
      <c r="I412" s="1" t="str">
        <f t="shared" si="58"/>
        <v/>
      </c>
      <c r="J412" s="1">
        <f t="shared" si="59"/>
        <v>0.52881355932203389</v>
      </c>
      <c r="K412" s="1" t="str">
        <f t="shared" si="60"/>
        <v/>
      </c>
      <c r="L412" s="1" t="str">
        <f t="shared" si="61"/>
        <v/>
      </c>
    </row>
    <row r="413" spans="1:12">
      <c r="A413" t="s">
        <v>155</v>
      </c>
      <c r="B413">
        <v>9</v>
      </c>
      <c r="C413" t="str">
        <f t="shared" si="55"/>
        <v>test.TIFFFaxDecoder_9_</v>
      </c>
      <c r="D413">
        <v>1</v>
      </c>
      <c r="E413">
        <v>0.52881355932203389</v>
      </c>
      <c r="F413">
        <v>0.75002500000000005</v>
      </c>
      <c r="G413" s="1" t="str">
        <f t="shared" si="56"/>
        <v/>
      </c>
      <c r="H413" s="1" t="str">
        <f t="shared" si="57"/>
        <v/>
      </c>
      <c r="I413" s="1" t="str">
        <f t="shared" si="58"/>
        <v/>
      </c>
      <c r="J413" s="1">
        <f t="shared" si="59"/>
        <v>0.52881355932203389</v>
      </c>
      <c r="K413" s="1" t="str">
        <f t="shared" si="60"/>
        <v/>
      </c>
      <c r="L413" s="1" t="str">
        <f t="shared" si="61"/>
        <v/>
      </c>
    </row>
    <row r="414" spans="1:12">
      <c r="A414" t="s">
        <v>155</v>
      </c>
      <c r="B414">
        <v>9</v>
      </c>
      <c r="C414" t="str">
        <f t="shared" si="55"/>
        <v>test.TIFFFaxDecoder_9_</v>
      </c>
      <c r="D414">
        <v>2</v>
      </c>
      <c r="E414">
        <v>0.52881355932203389</v>
      </c>
      <c r="F414">
        <v>0.75004994999999997</v>
      </c>
      <c r="G414" s="1" t="str">
        <f t="shared" si="56"/>
        <v/>
      </c>
      <c r="H414" s="1" t="str">
        <f t="shared" si="57"/>
        <v/>
      </c>
      <c r="I414" s="1" t="str">
        <f t="shared" si="58"/>
        <v/>
      </c>
      <c r="J414" s="1">
        <f t="shared" si="59"/>
        <v>0.52881355932203389</v>
      </c>
      <c r="K414" s="1" t="str">
        <f t="shared" si="60"/>
        <v/>
      </c>
      <c r="L414" s="1" t="str">
        <f t="shared" si="61"/>
        <v/>
      </c>
    </row>
    <row r="415" spans="1:12">
      <c r="A415" t="s">
        <v>155</v>
      </c>
      <c r="B415">
        <v>9</v>
      </c>
      <c r="C415" t="str">
        <f t="shared" si="55"/>
        <v>test.TIFFFaxDecoder_9_</v>
      </c>
      <c r="D415">
        <v>3</v>
      </c>
      <c r="E415">
        <v>0.53898305084745768</v>
      </c>
      <c r="F415">
        <v>0.75007492499999995</v>
      </c>
      <c r="G415" s="1" t="str">
        <f t="shared" si="56"/>
        <v/>
      </c>
      <c r="H415" s="1" t="str">
        <f t="shared" si="57"/>
        <v/>
      </c>
      <c r="I415" s="1" t="str">
        <f t="shared" si="58"/>
        <v/>
      </c>
      <c r="J415" s="1">
        <f t="shared" si="59"/>
        <v>0.53898305084745768</v>
      </c>
      <c r="K415" s="1" t="str">
        <f t="shared" si="60"/>
        <v/>
      </c>
      <c r="L415" s="1" t="str">
        <f t="shared" si="61"/>
        <v/>
      </c>
    </row>
    <row r="416" spans="1:12">
      <c r="A416" t="s">
        <v>155</v>
      </c>
      <c r="B416">
        <v>9</v>
      </c>
      <c r="C416" t="str">
        <f t="shared" si="55"/>
        <v>test.TIFFFaxDecoder_9_</v>
      </c>
      <c r="D416">
        <v>4</v>
      </c>
      <c r="E416">
        <v>0.82711864406779656</v>
      </c>
      <c r="F416">
        <v>0.75009990000000004</v>
      </c>
      <c r="G416" s="1" t="str">
        <f t="shared" si="56"/>
        <v/>
      </c>
      <c r="H416" s="1" t="str">
        <f t="shared" si="57"/>
        <v/>
      </c>
      <c r="I416" s="1" t="str">
        <f t="shared" si="58"/>
        <v/>
      </c>
      <c r="J416" s="1">
        <f t="shared" si="59"/>
        <v>0.82711864406779656</v>
      </c>
      <c r="K416" s="1" t="str">
        <f t="shared" si="60"/>
        <v/>
      </c>
      <c r="L416" s="1" t="str">
        <f t="shared" si="61"/>
        <v/>
      </c>
    </row>
    <row r="417" spans="1:12">
      <c r="A417" t="s">
        <v>155</v>
      </c>
      <c r="B417">
        <v>9</v>
      </c>
      <c r="C417" t="str">
        <f t="shared" si="55"/>
        <v>test.TIFFFaxDecoder_9_</v>
      </c>
      <c r="D417">
        <v>1</v>
      </c>
      <c r="E417">
        <v>0.83050847457627119</v>
      </c>
      <c r="F417">
        <v>0.75012487500000002</v>
      </c>
      <c r="G417" s="1" t="str">
        <f t="shared" si="56"/>
        <v/>
      </c>
      <c r="H417" s="1" t="str">
        <f t="shared" si="57"/>
        <v/>
      </c>
      <c r="I417" s="1" t="str">
        <f t="shared" si="58"/>
        <v/>
      </c>
      <c r="J417" s="1">
        <f t="shared" si="59"/>
        <v>0.83050847457627119</v>
      </c>
      <c r="K417" s="1" t="str">
        <f t="shared" si="60"/>
        <v/>
      </c>
      <c r="L417" s="1" t="str">
        <f t="shared" si="61"/>
        <v/>
      </c>
    </row>
    <row r="418" spans="1:12">
      <c r="A418" t="s">
        <v>155</v>
      </c>
      <c r="B418">
        <v>9</v>
      </c>
      <c r="C418" t="str">
        <f t="shared" si="55"/>
        <v>test.TIFFFaxDecoder_9_</v>
      </c>
      <c r="D418">
        <v>2</v>
      </c>
      <c r="E418">
        <v>0.86440677966101698</v>
      </c>
      <c r="F418">
        <v>0.75014985000000001</v>
      </c>
      <c r="G418" s="1" t="str">
        <f t="shared" si="56"/>
        <v/>
      </c>
      <c r="H418" s="1" t="str">
        <f t="shared" si="57"/>
        <v/>
      </c>
      <c r="I418" s="1" t="str">
        <f t="shared" si="58"/>
        <v/>
      </c>
      <c r="J418" s="1">
        <f t="shared" si="59"/>
        <v>0.86440677966101698</v>
      </c>
      <c r="K418" s="1" t="str">
        <f t="shared" si="60"/>
        <v/>
      </c>
      <c r="L418" s="1" t="str">
        <f t="shared" si="61"/>
        <v/>
      </c>
    </row>
    <row r="419" spans="1:12">
      <c r="A419" t="s">
        <v>155</v>
      </c>
      <c r="B419">
        <v>9</v>
      </c>
      <c r="C419" t="str">
        <f t="shared" si="55"/>
        <v>test.TIFFFaxDecoder_9_</v>
      </c>
      <c r="D419">
        <v>3</v>
      </c>
      <c r="E419">
        <v>0.86440677966101698</v>
      </c>
      <c r="F419">
        <v>0.75017482499999999</v>
      </c>
      <c r="G419" s="1" t="str">
        <f t="shared" si="56"/>
        <v/>
      </c>
      <c r="H419" s="1" t="str">
        <f t="shared" si="57"/>
        <v/>
      </c>
      <c r="I419" s="1" t="str">
        <f t="shared" si="58"/>
        <v/>
      </c>
      <c r="J419" s="1">
        <f t="shared" si="59"/>
        <v>0.86440677966101698</v>
      </c>
      <c r="K419" s="1" t="str">
        <f t="shared" si="60"/>
        <v/>
      </c>
      <c r="L419" s="1" t="str">
        <f t="shared" si="61"/>
        <v/>
      </c>
    </row>
    <row r="420" spans="1:12">
      <c r="A420" t="s">
        <v>155</v>
      </c>
      <c r="B420">
        <v>9</v>
      </c>
      <c r="C420" t="str">
        <f t="shared" si="55"/>
        <v>test.TIFFFaxDecoder_9_</v>
      </c>
      <c r="D420">
        <v>4</v>
      </c>
      <c r="E420">
        <v>0.94237288135593222</v>
      </c>
      <c r="F420">
        <v>0.75019979999999997</v>
      </c>
      <c r="G420" s="1" t="str">
        <f t="shared" si="56"/>
        <v/>
      </c>
      <c r="H420" s="1" t="str">
        <f t="shared" si="57"/>
        <v/>
      </c>
      <c r="I420" s="1" t="str">
        <f t="shared" si="58"/>
        <v/>
      </c>
      <c r="J420" s="1">
        <f t="shared" si="59"/>
        <v>0.94237288135593222</v>
      </c>
      <c r="K420" s="1" t="str">
        <f t="shared" si="60"/>
        <v/>
      </c>
      <c r="L420" s="1" t="str">
        <f t="shared" si="61"/>
        <v/>
      </c>
    </row>
    <row r="421" spans="1:12">
      <c r="A421" t="s">
        <v>155</v>
      </c>
      <c r="B421">
        <v>9</v>
      </c>
      <c r="C421" t="str">
        <f t="shared" si="55"/>
        <v>test.TIFFFaxDecoder_9_</v>
      </c>
      <c r="D421">
        <v>1</v>
      </c>
      <c r="E421">
        <v>0.99322033898305084</v>
      </c>
      <c r="F421">
        <v>0.75022475</v>
      </c>
      <c r="G421" s="1" t="str">
        <f t="shared" si="56"/>
        <v/>
      </c>
      <c r="H421" s="1" t="str">
        <f t="shared" si="57"/>
        <v/>
      </c>
      <c r="I421" s="1" t="str">
        <f t="shared" si="58"/>
        <v/>
      </c>
      <c r="J421" s="1">
        <f t="shared" si="59"/>
        <v>0.99322033898305084</v>
      </c>
      <c r="K421" s="1" t="str">
        <f t="shared" si="60"/>
        <v/>
      </c>
      <c r="L421" s="1" t="str">
        <f t="shared" si="61"/>
        <v/>
      </c>
    </row>
    <row r="422" spans="1:12">
      <c r="A422" t="s">
        <v>155</v>
      </c>
      <c r="B422">
        <v>9</v>
      </c>
      <c r="C422" t="str">
        <f t="shared" si="55"/>
        <v>test.TIFFFaxDecoder_9_</v>
      </c>
      <c r="D422">
        <v>2</v>
      </c>
      <c r="E422">
        <v>1</v>
      </c>
      <c r="F422">
        <v>1</v>
      </c>
      <c r="G422" s="1" t="str">
        <f t="shared" si="56"/>
        <v/>
      </c>
      <c r="H422" s="1" t="str">
        <f t="shared" si="57"/>
        <v/>
      </c>
      <c r="I422" s="1" t="str">
        <f t="shared" si="58"/>
        <v/>
      </c>
      <c r="J422" s="1" t="str">
        <f t="shared" si="59"/>
        <v/>
      </c>
      <c r="K422" s="1">
        <f t="shared" si="60"/>
        <v>1</v>
      </c>
      <c r="L422" s="1" t="str">
        <f t="shared" si="61"/>
        <v/>
      </c>
    </row>
    <row r="423" spans="1:12">
      <c r="A423" t="s">
        <v>155</v>
      </c>
      <c r="B423">
        <v>9</v>
      </c>
      <c r="C423" t="str">
        <f t="shared" si="55"/>
        <v>test.TIFFFaxDecoder_9_</v>
      </c>
      <c r="D423">
        <v>1</v>
      </c>
      <c r="E423">
        <v>1</v>
      </c>
      <c r="F423">
        <v>1.0000249999999999</v>
      </c>
      <c r="G423" s="1" t="str">
        <f t="shared" si="56"/>
        <v/>
      </c>
      <c r="H423" s="1" t="str">
        <f t="shared" si="57"/>
        <v/>
      </c>
      <c r="I423" s="1" t="str">
        <f t="shared" si="58"/>
        <v/>
      </c>
      <c r="J423" s="1" t="str">
        <f t="shared" si="59"/>
        <v/>
      </c>
      <c r="K423" s="1">
        <f t="shared" si="60"/>
        <v>1</v>
      </c>
      <c r="L423" s="1" t="str">
        <f t="shared" si="61"/>
        <v/>
      </c>
    </row>
    <row r="424" spans="1:12">
      <c r="A424" t="s">
        <v>155</v>
      </c>
      <c r="B424">
        <v>10</v>
      </c>
      <c r="C424" t="str">
        <f t="shared" si="55"/>
        <v>test.TIFFFaxDecoder_10_</v>
      </c>
      <c r="D424">
        <v>2</v>
      </c>
      <c r="E424">
        <v>0.82958199356913187</v>
      </c>
      <c r="F424">
        <v>0.75</v>
      </c>
      <c r="G424" s="1" t="str">
        <f t="shared" si="56"/>
        <v/>
      </c>
      <c r="H424" s="1" t="str">
        <f t="shared" si="57"/>
        <v/>
      </c>
      <c r="I424" s="1" t="str">
        <f t="shared" si="58"/>
        <v/>
      </c>
      <c r="J424" s="1">
        <f t="shared" si="59"/>
        <v>0.82958199356913187</v>
      </c>
      <c r="K424" s="1" t="str">
        <f t="shared" si="60"/>
        <v/>
      </c>
      <c r="L424" s="1" t="str">
        <f t="shared" si="61"/>
        <v/>
      </c>
    </row>
    <row r="425" spans="1:12">
      <c r="A425" t="s">
        <v>155</v>
      </c>
      <c r="B425">
        <v>10</v>
      </c>
      <c r="C425" t="str">
        <f t="shared" si="55"/>
        <v>test.TIFFFaxDecoder_10_</v>
      </c>
      <c r="D425">
        <v>1</v>
      </c>
      <c r="E425">
        <v>0.99356913183279738</v>
      </c>
      <c r="F425">
        <v>1</v>
      </c>
      <c r="G425" s="1" t="str">
        <f t="shared" si="56"/>
        <v/>
      </c>
      <c r="H425" s="1" t="str">
        <f t="shared" si="57"/>
        <v/>
      </c>
      <c r="I425" s="1" t="str">
        <f t="shared" si="58"/>
        <v/>
      </c>
      <c r="J425" s="1" t="str">
        <f t="shared" si="59"/>
        <v/>
      </c>
      <c r="K425" s="1">
        <f t="shared" si="60"/>
        <v>0.99356913183279738</v>
      </c>
      <c r="L425" s="1" t="str">
        <f t="shared" si="61"/>
        <v/>
      </c>
    </row>
    <row r="426" spans="1:12">
      <c r="A426" t="s">
        <v>155</v>
      </c>
      <c r="B426">
        <v>10</v>
      </c>
      <c r="C426" t="str">
        <f t="shared" si="55"/>
        <v>test.TIFFFaxDecoder_10_</v>
      </c>
      <c r="D426">
        <v>2</v>
      </c>
      <c r="E426">
        <v>0.99356913183279738</v>
      </c>
      <c r="F426">
        <v>1.0000249999999999</v>
      </c>
      <c r="G426" s="1" t="str">
        <f t="shared" si="56"/>
        <v/>
      </c>
      <c r="H426" s="1" t="str">
        <f t="shared" si="57"/>
        <v/>
      </c>
      <c r="I426" s="1" t="str">
        <f t="shared" si="58"/>
        <v/>
      </c>
      <c r="J426" s="1" t="str">
        <f t="shared" si="59"/>
        <v/>
      </c>
      <c r="K426" s="1">
        <f t="shared" si="60"/>
        <v>0.99356913183279738</v>
      </c>
      <c r="L426" s="1" t="str">
        <f t="shared" si="61"/>
        <v/>
      </c>
    </row>
    <row r="427" spans="1:12">
      <c r="A427" t="s">
        <v>155</v>
      </c>
      <c r="B427">
        <v>10</v>
      </c>
      <c r="C427" t="str">
        <f t="shared" si="55"/>
        <v>test.TIFFFaxDecoder_10_</v>
      </c>
      <c r="D427">
        <v>3</v>
      </c>
      <c r="E427">
        <v>1</v>
      </c>
      <c r="F427">
        <v>1.0000500750000001</v>
      </c>
      <c r="G427" s="1" t="str">
        <f t="shared" si="56"/>
        <v/>
      </c>
      <c r="H427" s="1" t="str">
        <f t="shared" si="57"/>
        <v/>
      </c>
      <c r="I427" s="1" t="str">
        <f t="shared" si="58"/>
        <v/>
      </c>
      <c r="J427" s="1" t="str">
        <f t="shared" si="59"/>
        <v/>
      </c>
      <c r="K427" s="1">
        <f t="shared" si="60"/>
        <v>1</v>
      </c>
      <c r="L427" s="1" t="str">
        <f t="shared" si="61"/>
        <v/>
      </c>
    </row>
    <row r="428" spans="1:12">
      <c r="A428" t="s">
        <v>155</v>
      </c>
      <c r="B428">
        <v>11</v>
      </c>
      <c r="C428" t="str">
        <f t="shared" si="55"/>
        <v>test.TIFFFaxDecoder_11_</v>
      </c>
      <c r="D428">
        <v>4</v>
      </c>
      <c r="E428">
        <v>2.2157996146435453E-2</v>
      </c>
      <c r="F428">
        <v>0.3</v>
      </c>
      <c r="G428" s="1" t="str">
        <f t="shared" si="56"/>
        <v/>
      </c>
      <c r="H428" s="1">
        <f t="shared" si="57"/>
        <v>2.2157996146435453E-2</v>
      </c>
      <c r="I428" s="1" t="str">
        <f t="shared" si="58"/>
        <v/>
      </c>
      <c r="J428" s="1" t="str">
        <f t="shared" si="59"/>
        <v/>
      </c>
      <c r="K428" s="1" t="str">
        <f t="shared" si="60"/>
        <v/>
      </c>
      <c r="L428" s="1" t="str">
        <f t="shared" si="61"/>
        <v/>
      </c>
    </row>
    <row r="429" spans="1:12">
      <c r="A429" t="s">
        <v>155</v>
      </c>
      <c r="B429">
        <v>11</v>
      </c>
      <c r="C429" t="str">
        <f t="shared" si="55"/>
        <v>test.TIFFFaxDecoder_11_</v>
      </c>
      <c r="D429">
        <v>1</v>
      </c>
      <c r="E429">
        <v>0.20841361592806679</v>
      </c>
      <c r="F429">
        <v>0.4</v>
      </c>
      <c r="G429" s="1" t="str">
        <f t="shared" si="56"/>
        <v/>
      </c>
      <c r="H429" s="1">
        <f t="shared" si="57"/>
        <v>0.20841361592806679</v>
      </c>
      <c r="I429" s="1" t="str">
        <f t="shared" si="58"/>
        <v/>
      </c>
      <c r="J429" s="1" t="str">
        <f t="shared" si="59"/>
        <v/>
      </c>
      <c r="K429" s="1" t="str">
        <f t="shared" si="60"/>
        <v/>
      </c>
      <c r="L429" s="1" t="str">
        <f t="shared" si="61"/>
        <v/>
      </c>
    </row>
    <row r="430" spans="1:12">
      <c r="A430" t="s">
        <v>155</v>
      </c>
      <c r="B430">
        <v>11</v>
      </c>
      <c r="C430" t="str">
        <f t="shared" si="55"/>
        <v>test.TIFFFaxDecoder_11_</v>
      </c>
      <c r="D430">
        <v>2</v>
      </c>
      <c r="E430">
        <v>0.25626204238921002</v>
      </c>
      <c r="F430">
        <v>0.40000999999999998</v>
      </c>
      <c r="G430" s="1" t="str">
        <f t="shared" si="56"/>
        <v/>
      </c>
      <c r="H430" s="1" t="str">
        <f t="shared" si="57"/>
        <v/>
      </c>
      <c r="I430" s="1">
        <f t="shared" si="58"/>
        <v>0.25626204238921002</v>
      </c>
      <c r="J430" s="1" t="str">
        <f t="shared" si="59"/>
        <v/>
      </c>
      <c r="K430" s="1" t="str">
        <f t="shared" si="60"/>
        <v/>
      </c>
      <c r="L430" s="1" t="str">
        <f t="shared" si="61"/>
        <v/>
      </c>
    </row>
    <row r="431" spans="1:12">
      <c r="A431" t="s">
        <v>155</v>
      </c>
      <c r="B431">
        <v>11</v>
      </c>
      <c r="C431" t="str">
        <f t="shared" si="55"/>
        <v>test.TIFFFaxDecoder_11_</v>
      </c>
      <c r="D431">
        <v>3</v>
      </c>
      <c r="E431">
        <v>0.30667951188182402</v>
      </c>
      <c r="F431">
        <v>0.5</v>
      </c>
      <c r="G431" s="1" t="str">
        <f t="shared" si="56"/>
        <v/>
      </c>
      <c r="H431" s="1" t="str">
        <f t="shared" si="57"/>
        <v/>
      </c>
      <c r="I431" s="1">
        <f t="shared" si="58"/>
        <v>0.30667951188182402</v>
      </c>
      <c r="J431" s="1" t="str">
        <f t="shared" si="59"/>
        <v/>
      </c>
      <c r="K431" s="1" t="str">
        <f t="shared" si="60"/>
        <v/>
      </c>
      <c r="L431" s="1" t="str">
        <f t="shared" si="61"/>
        <v/>
      </c>
    </row>
    <row r="432" spans="1:12">
      <c r="A432" t="s">
        <v>155</v>
      </c>
      <c r="B432">
        <v>11</v>
      </c>
      <c r="C432" t="str">
        <f t="shared" si="55"/>
        <v>test.TIFFFaxDecoder_11_</v>
      </c>
      <c r="D432">
        <v>4</v>
      </c>
      <c r="E432">
        <v>0.37604367373153502</v>
      </c>
      <c r="F432">
        <v>0.50000999999999995</v>
      </c>
      <c r="G432" s="1" t="str">
        <f t="shared" si="56"/>
        <v/>
      </c>
      <c r="H432" s="1" t="str">
        <f t="shared" si="57"/>
        <v/>
      </c>
      <c r="I432" s="1">
        <f t="shared" si="58"/>
        <v>0.37604367373153502</v>
      </c>
      <c r="J432" s="1" t="str">
        <f t="shared" si="59"/>
        <v/>
      </c>
      <c r="K432" s="1" t="str">
        <f t="shared" si="60"/>
        <v/>
      </c>
      <c r="L432" s="1" t="str">
        <f t="shared" si="61"/>
        <v/>
      </c>
    </row>
    <row r="433" spans="1:12">
      <c r="A433" t="s">
        <v>155</v>
      </c>
      <c r="B433">
        <v>11</v>
      </c>
      <c r="C433" t="str">
        <f t="shared" si="55"/>
        <v>test.TIFFFaxDecoder_11_</v>
      </c>
      <c r="D433">
        <v>1</v>
      </c>
      <c r="E433">
        <v>0.52697495183044318</v>
      </c>
      <c r="F433">
        <v>0.50002003000000006</v>
      </c>
      <c r="G433" s="1" t="str">
        <f t="shared" si="56"/>
        <v/>
      </c>
      <c r="H433" s="1" t="str">
        <f t="shared" si="57"/>
        <v/>
      </c>
      <c r="I433" s="1">
        <f t="shared" si="58"/>
        <v>0.52697495183044318</v>
      </c>
      <c r="J433" s="1" t="str">
        <f t="shared" si="59"/>
        <v/>
      </c>
      <c r="K433" s="1" t="str">
        <f t="shared" si="60"/>
        <v/>
      </c>
      <c r="L433" s="1" t="str">
        <f t="shared" si="61"/>
        <v/>
      </c>
    </row>
    <row r="434" spans="1:12">
      <c r="A434" t="s">
        <v>155</v>
      </c>
      <c r="B434">
        <v>11</v>
      </c>
      <c r="C434" t="str">
        <f t="shared" si="55"/>
        <v>test.TIFFFaxDecoder_11_</v>
      </c>
      <c r="D434">
        <v>2</v>
      </c>
      <c r="E434">
        <v>0.52825947334617851</v>
      </c>
      <c r="F434">
        <v>0.50003004000000006</v>
      </c>
      <c r="G434" s="1" t="str">
        <f t="shared" si="56"/>
        <v/>
      </c>
      <c r="H434" s="1" t="str">
        <f t="shared" si="57"/>
        <v/>
      </c>
      <c r="I434" s="1">
        <f t="shared" si="58"/>
        <v>0.52825947334617851</v>
      </c>
      <c r="J434" s="1" t="str">
        <f t="shared" si="59"/>
        <v/>
      </c>
      <c r="K434" s="1" t="str">
        <f t="shared" si="60"/>
        <v/>
      </c>
      <c r="L434" s="1" t="str">
        <f t="shared" si="61"/>
        <v/>
      </c>
    </row>
    <row r="435" spans="1:12">
      <c r="A435" t="s">
        <v>155</v>
      </c>
      <c r="B435">
        <v>11</v>
      </c>
      <c r="C435" t="str">
        <f t="shared" si="55"/>
        <v>test.TIFFFaxDecoder_11_</v>
      </c>
      <c r="D435">
        <v>3</v>
      </c>
      <c r="E435">
        <v>0.60372511239563265</v>
      </c>
      <c r="F435">
        <v>0.50004004999999996</v>
      </c>
      <c r="G435" s="1" t="str">
        <f t="shared" si="56"/>
        <v/>
      </c>
      <c r="H435" s="1" t="str">
        <f t="shared" si="57"/>
        <v/>
      </c>
      <c r="I435" s="1">
        <f t="shared" si="58"/>
        <v>0.60372511239563265</v>
      </c>
      <c r="J435" s="1" t="str">
        <f t="shared" si="59"/>
        <v/>
      </c>
      <c r="K435" s="1" t="str">
        <f t="shared" si="60"/>
        <v/>
      </c>
      <c r="L435" s="1" t="str">
        <f t="shared" si="61"/>
        <v/>
      </c>
    </row>
    <row r="436" spans="1:12">
      <c r="A436" t="s">
        <v>155</v>
      </c>
      <c r="B436">
        <v>11</v>
      </c>
      <c r="C436" t="str">
        <f t="shared" si="55"/>
        <v>test.TIFFFaxDecoder_11_</v>
      </c>
      <c r="D436">
        <v>4</v>
      </c>
      <c r="E436">
        <v>0.60693641618497107</v>
      </c>
      <c r="F436">
        <v>0.50005007000000001</v>
      </c>
      <c r="G436" s="1" t="str">
        <f t="shared" si="56"/>
        <v/>
      </c>
      <c r="H436" s="1" t="str">
        <f t="shared" si="57"/>
        <v/>
      </c>
      <c r="I436" s="1">
        <f t="shared" si="58"/>
        <v>0.60693641618497107</v>
      </c>
      <c r="J436" s="1" t="str">
        <f t="shared" si="59"/>
        <v/>
      </c>
      <c r="K436" s="1" t="str">
        <f t="shared" si="60"/>
        <v/>
      </c>
      <c r="L436" s="1" t="str">
        <f t="shared" si="61"/>
        <v/>
      </c>
    </row>
    <row r="437" spans="1:12">
      <c r="A437" t="s">
        <v>155</v>
      </c>
      <c r="B437">
        <v>11</v>
      </c>
      <c r="C437" t="str">
        <f t="shared" si="55"/>
        <v>test.TIFFFaxDecoder_11_</v>
      </c>
      <c r="D437">
        <v>5</v>
      </c>
      <c r="E437">
        <v>0.61496467565831725</v>
      </c>
      <c r="F437">
        <v>0.50006010000000001</v>
      </c>
      <c r="G437" s="1" t="str">
        <f t="shared" si="56"/>
        <v/>
      </c>
      <c r="H437" s="1" t="str">
        <f t="shared" si="57"/>
        <v/>
      </c>
      <c r="I437" s="1">
        <f t="shared" si="58"/>
        <v>0.61496467565831725</v>
      </c>
      <c r="J437" s="1" t="str">
        <f t="shared" si="59"/>
        <v/>
      </c>
      <c r="K437" s="1" t="str">
        <f t="shared" si="60"/>
        <v/>
      </c>
      <c r="L437" s="1" t="str">
        <f t="shared" si="61"/>
        <v/>
      </c>
    </row>
    <row r="438" spans="1:12">
      <c r="A438" t="s">
        <v>155</v>
      </c>
      <c r="B438">
        <v>11</v>
      </c>
      <c r="C438" t="str">
        <f t="shared" si="55"/>
        <v>test.TIFFFaxDecoder_11_</v>
      </c>
      <c r="D438">
        <v>6</v>
      </c>
      <c r="E438">
        <v>0.75722543352601157</v>
      </c>
      <c r="F438">
        <v>0.6</v>
      </c>
      <c r="G438" s="1" t="str">
        <f t="shared" si="56"/>
        <v/>
      </c>
      <c r="H438" s="1" t="str">
        <f t="shared" si="57"/>
        <v/>
      </c>
      <c r="I438" s="1">
        <f t="shared" si="58"/>
        <v>0.75722543352601157</v>
      </c>
      <c r="J438" s="1" t="str">
        <f t="shared" si="59"/>
        <v/>
      </c>
      <c r="K438" s="1" t="str">
        <f t="shared" si="60"/>
        <v/>
      </c>
      <c r="L438" s="1" t="str">
        <f t="shared" si="61"/>
        <v/>
      </c>
    </row>
    <row r="439" spans="1:12">
      <c r="A439" t="s">
        <v>155</v>
      </c>
      <c r="B439">
        <v>11</v>
      </c>
      <c r="C439" t="str">
        <f t="shared" si="55"/>
        <v>test.TIFFFaxDecoder_11_</v>
      </c>
      <c r="D439">
        <v>7</v>
      </c>
      <c r="E439">
        <v>0.75722543352601157</v>
      </c>
      <c r="F439">
        <v>0.60000999999999993</v>
      </c>
      <c r="G439" s="1" t="str">
        <f t="shared" si="56"/>
        <v/>
      </c>
      <c r="H439" s="1" t="str">
        <f t="shared" si="57"/>
        <v/>
      </c>
      <c r="I439" s="1" t="str">
        <f t="shared" si="58"/>
        <v/>
      </c>
      <c r="J439" s="1">
        <f t="shared" si="59"/>
        <v>0.75722543352601157</v>
      </c>
      <c r="K439" s="1" t="str">
        <f t="shared" si="60"/>
        <v/>
      </c>
      <c r="L439" s="1" t="str">
        <f t="shared" si="61"/>
        <v/>
      </c>
    </row>
    <row r="440" spans="1:12">
      <c r="A440" t="s">
        <v>155</v>
      </c>
      <c r="B440">
        <v>11</v>
      </c>
      <c r="C440" t="str">
        <f t="shared" si="55"/>
        <v>test.TIFFFaxDecoder_11_</v>
      </c>
      <c r="D440">
        <v>8</v>
      </c>
      <c r="E440">
        <v>0.92485549132947975</v>
      </c>
      <c r="F440">
        <v>0.60002003000000004</v>
      </c>
      <c r="G440" s="1" t="str">
        <f t="shared" si="56"/>
        <v/>
      </c>
      <c r="H440" s="1" t="str">
        <f t="shared" si="57"/>
        <v/>
      </c>
      <c r="I440" s="1" t="str">
        <f t="shared" si="58"/>
        <v/>
      </c>
      <c r="J440" s="1">
        <f t="shared" si="59"/>
        <v>0.92485549132947975</v>
      </c>
      <c r="K440" s="1" t="str">
        <f t="shared" si="60"/>
        <v/>
      </c>
      <c r="L440" s="1" t="str">
        <f t="shared" si="61"/>
        <v/>
      </c>
    </row>
    <row r="441" spans="1:12">
      <c r="A441" t="s">
        <v>155</v>
      </c>
      <c r="B441">
        <v>11</v>
      </c>
      <c r="C441" t="str">
        <f t="shared" si="55"/>
        <v>test.TIFFFaxDecoder_11_</v>
      </c>
      <c r="D441">
        <v>1</v>
      </c>
      <c r="E441">
        <v>0.96339113680154143</v>
      </c>
      <c r="F441">
        <v>0.60003004000000004</v>
      </c>
      <c r="G441" s="1" t="str">
        <f t="shared" si="56"/>
        <v/>
      </c>
      <c r="H441" s="1" t="str">
        <f t="shared" si="57"/>
        <v/>
      </c>
      <c r="I441" s="1" t="str">
        <f t="shared" si="58"/>
        <v/>
      </c>
      <c r="J441" s="1">
        <f t="shared" si="59"/>
        <v>0.96339113680154143</v>
      </c>
      <c r="K441" s="1" t="str">
        <f t="shared" si="60"/>
        <v/>
      </c>
      <c r="L441" s="1" t="str">
        <f t="shared" si="61"/>
        <v/>
      </c>
    </row>
    <row r="442" spans="1:12">
      <c r="A442" t="s">
        <v>155</v>
      </c>
      <c r="B442">
        <v>11</v>
      </c>
      <c r="C442" t="str">
        <f t="shared" si="55"/>
        <v>test.TIFFFaxDecoder_11_</v>
      </c>
      <c r="D442">
        <v>2</v>
      </c>
      <c r="E442">
        <v>0.97109826589595372</v>
      </c>
      <c r="F442">
        <v>0.60004004999999994</v>
      </c>
      <c r="G442" s="1" t="str">
        <f t="shared" si="56"/>
        <v/>
      </c>
      <c r="H442" s="1" t="str">
        <f t="shared" si="57"/>
        <v/>
      </c>
      <c r="I442" s="1" t="str">
        <f t="shared" si="58"/>
        <v/>
      </c>
      <c r="J442" s="1">
        <f t="shared" si="59"/>
        <v>0.97109826589595372</v>
      </c>
      <c r="K442" s="1" t="str">
        <f t="shared" si="60"/>
        <v/>
      </c>
      <c r="L442" s="1" t="str">
        <f t="shared" si="61"/>
        <v/>
      </c>
    </row>
    <row r="443" spans="1:12">
      <c r="A443" t="s">
        <v>155</v>
      </c>
      <c r="B443">
        <v>11</v>
      </c>
      <c r="C443" t="str">
        <f t="shared" si="55"/>
        <v>test.TIFFFaxDecoder_11_</v>
      </c>
      <c r="D443">
        <v>3</v>
      </c>
      <c r="E443">
        <v>0.97430956968529225</v>
      </c>
      <c r="F443">
        <v>0.60005006999999999</v>
      </c>
      <c r="G443" s="1" t="str">
        <f t="shared" si="56"/>
        <v/>
      </c>
      <c r="H443" s="1" t="str">
        <f t="shared" si="57"/>
        <v/>
      </c>
      <c r="I443" s="1" t="str">
        <f t="shared" si="58"/>
        <v/>
      </c>
      <c r="J443" s="1">
        <f t="shared" si="59"/>
        <v>0.97430956968529225</v>
      </c>
      <c r="K443" s="1" t="str">
        <f t="shared" si="60"/>
        <v/>
      </c>
      <c r="L443" s="1" t="str">
        <f t="shared" si="61"/>
        <v/>
      </c>
    </row>
    <row r="444" spans="1:12">
      <c r="A444" t="s">
        <v>155</v>
      </c>
      <c r="B444">
        <v>11</v>
      </c>
      <c r="C444" t="str">
        <f t="shared" si="55"/>
        <v>test.TIFFFaxDecoder_11_</v>
      </c>
      <c r="D444">
        <v>4</v>
      </c>
      <c r="E444">
        <v>0.99197174052665382</v>
      </c>
      <c r="F444">
        <v>0.60006009999999999</v>
      </c>
      <c r="G444" s="1" t="str">
        <f t="shared" si="56"/>
        <v/>
      </c>
      <c r="H444" s="1" t="str">
        <f t="shared" si="57"/>
        <v/>
      </c>
      <c r="I444" s="1" t="str">
        <f t="shared" si="58"/>
        <v/>
      </c>
      <c r="J444" s="1">
        <f t="shared" si="59"/>
        <v>0.99197174052665382</v>
      </c>
      <c r="K444" s="1" t="str">
        <f t="shared" si="60"/>
        <v/>
      </c>
      <c r="L444" s="1" t="str">
        <f t="shared" si="61"/>
        <v/>
      </c>
    </row>
    <row r="445" spans="1:12">
      <c r="A445" t="s">
        <v>155</v>
      </c>
      <c r="B445">
        <v>11</v>
      </c>
      <c r="C445" t="str">
        <f t="shared" si="55"/>
        <v>test.TIFFFaxDecoder_11_</v>
      </c>
      <c r="D445">
        <v>5</v>
      </c>
      <c r="E445">
        <v>0.99197174052665382</v>
      </c>
      <c r="F445">
        <v>0.7</v>
      </c>
      <c r="G445" s="1" t="str">
        <f t="shared" si="56"/>
        <v/>
      </c>
      <c r="H445" s="1" t="str">
        <f t="shared" si="57"/>
        <v/>
      </c>
      <c r="I445" s="1" t="str">
        <f t="shared" si="58"/>
        <v/>
      </c>
      <c r="J445" s="1">
        <f t="shared" si="59"/>
        <v>0.99197174052665382</v>
      </c>
      <c r="K445" s="1" t="str">
        <f t="shared" si="60"/>
        <v/>
      </c>
      <c r="L445" s="1" t="str">
        <f t="shared" si="61"/>
        <v/>
      </c>
    </row>
    <row r="446" spans="1:12">
      <c r="A446" t="s">
        <v>155</v>
      </c>
      <c r="B446">
        <v>11</v>
      </c>
      <c r="C446" t="str">
        <f t="shared" si="55"/>
        <v>test.TIFFFaxDecoder_11_</v>
      </c>
      <c r="D446">
        <v>1</v>
      </c>
      <c r="E446">
        <v>1</v>
      </c>
      <c r="F446">
        <v>0.9</v>
      </c>
      <c r="G446" s="1" t="str">
        <f t="shared" si="56"/>
        <v/>
      </c>
      <c r="H446" s="1" t="str">
        <f t="shared" si="57"/>
        <v/>
      </c>
      <c r="I446" s="1" t="str">
        <f t="shared" si="58"/>
        <v/>
      </c>
      <c r="J446" s="1" t="str">
        <f t="shared" si="59"/>
        <v/>
      </c>
      <c r="K446" s="1">
        <f t="shared" si="60"/>
        <v>1</v>
      </c>
      <c r="L446" s="1" t="str">
        <f t="shared" si="61"/>
        <v/>
      </c>
    </row>
    <row r="447" spans="1:12">
      <c r="A447" t="s">
        <v>155</v>
      </c>
      <c r="B447">
        <v>12</v>
      </c>
      <c r="C447" t="str">
        <f t="shared" si="55"/>
        <v>test.TIFFFaxDecoder_12_</v>
      </c>
      <c r="D447">
        <v>2</v>
      </c>
      <c r="E447">
        <v>4.7422680412371132E-2</v>
      </c>
      <c r="F447">
        <v>0.2857142857142857</v>
      </c>
      <c r="G447" s="1" t="str">
        <f t="shared" si="56"/>
        <v/>
      </c>
      <c r="H447" s="1">
        <f t="shared" si="57"/>
        <v>4.7422680412371132E-2</v>
      </c>
      <c r="I447" s="1" t="str">
        <f t="shared" si="58"/>
        <v/>
      </c>
      <c r="J447" s="1" t="str">
        <f t="shared" si="59"/>
        <v/>
      </c>
      <c r="K447" s="1" t="str">
        <f t="shared" si="60"/>
        <v/>
      </c>
      <c r="L447" s="1" t="str">
        <f t="shared" si="61"/>
        <v/>
      </c>
    </row>
    <row r="448" spans="1:12">
      <c r="A448" t="s">
        <v>155</v>
      </c>
      <c r="B448">
        <v>12</v>
      </c>
      <c r="C448" t="str">
        <f t="shared" si="55"/>
        <v>test.TIFFFaxDecoder_12_</v>
      </c>
      <c r="D448">
        <v>3</v>
      </c>
      <c r="E448">
        <v>0.40687285223367697</v>
      </c>
      <c r="F448">
        <v>0.5714285714285714</v>
      </c>
      <c r="G448" s="1" t="str">
        <f t="shared" si="56"/>
        <v/>
      </c>
      <c r="H448" s="1" t="str">
        <f t="shared" si="57"/>
        <v/>
      </c>
      <c r="I448" s="1">
        <f t="shared" si="58"/>
        <v>0.40687285223367697</v>
      </c>
      <c r="J448" s="1" t="str">
        <f t="shared" si="59"/>
        <v/>
      </c>
      <c r="K448" s="1" t="str">
        <f t="shared" si="60"/>
        <v/>
      </c>
      <c r="L448" s="1" t="str">
        <f t="shared" si="61"/>
        <v/>
      </c>
    </row>
    <row r="449" spans="1:12">
      <c r="A449" t="s">
        <v>155</v>
      </c>
      <c r="B449">
        <v>12</v>
      </c>
      <c r="C449" t="str">
        <f t="shared" si="55"/>
        <v>test.TIFFFaxDecoder_12_</v>
      </c>
      <c r="D449">
        <v>4</v>
      </c>
      <c r="E449">
        <v>0.45017182130584193</v>
      </c>
      <c r="F449">
        <v>0.57144285714285714</v>
      </c>
      <c r="G449" s="1" t="str">
        <f t="shared" si="56"/>
        <v/>
      </c>
      <c r="H449" s="1" t="str">
        <f t="shared" si="57"/>
        <v/>
      </c>
      <c r="I449" s="1">
        <f t="shared" si="58"/>
        <v>0.45017182130584193</v>
      </c>
      <c r="J449" s="1" t="str">
        <f t="shared" si="59"/>
        <v/>
      </c>
      <c r="K449" s="1" t="str">
        <f t="shared" si="60"/>
        <v/>
      </c>
      <c r="L449" s="1" t="str">
        <f t="shared" si="61"/>
        <v/>
      </c>
    </row>
    <row r="450" spans="1:12">
      <c r="A450" t="s">
        <v>155</v>
      </c>
      <c r="B450">
        <v>12</v>
      </c>
      <c r="C450" t="str">
        <f t="shared" si="55"/>
        <v>test.TIFFFaxDecoder_12_</v>
      </c>
      <c r="D450">
        <v>5</v>
      </c>
      <c r="E450">
        <v>0.5065292096219931</v>
      </c>
      <c r="F450">
        <v>0.57145718571428572</v>
      </c>
      <c r="G450" s="1" t="str">
        <f t="shared" si="56"/>
        <v/>
      </c>
      <c r="H450" s="1" t="str">
        <f t="shared" si="57"/>
        <v/>
      </c>
      <c r="I450" s="1">
        <f t="shared" si="58"/>
        <v>0.5065292096219931</v>
      </c>
      <c r="J450" s="1" t="str">
        <f t="shared" si="59"/>
        <v/>
      </c>
      <c r="K450" s="1" t="str">
        <f t="shared" si="60"/>
        <v/>
      </c>
      <c r="L450" s="1" t="str">
        <f t="shared" si="61"/>
        <v/>
      </c>
    </row>
    <row r="451" spans="1:12">
      <c r="A451" t="s">
        <v>155</v>
      </c>
      <c r="B451">
        <v>12</v>
      </c>
      <c r="C451" t="str">
        <f t="shared" ref="C451:C472" si="62">CONCATENATE(A451, "_",B451,"_")</f>
        <v>test.TIFFFaxDecoder_12_</v>
      </c>
      <c r="D451">
        <v>1</v>
      </c>
      <c r="E451">
        <v>0.7305841924398625</v>
      </c>
      <c r="F451">
        <v>0.57147148571428574</v>
      </c>
      <c r="G451" s="1" t="str">
        <f t="shared" ref="G451:G472" si="63">IF($F451 &lt;= 0.2,$E451,"")</f>
        <v/>
      </c>
      <c r="H451" s="1" t="str">
        <f t="shared" ref="H451:H472" si="64">IF(AND($F451 &gt; 0.2,$F451 &lt;= 0.4),$E451,"")</f>
        <v/>
      </c>
      <c r="I451" s="1">
        <f t="shared" ref="I451:I472" si="65">IF(AND($F451 &gt; 0.4,$F451 &lt;= 0.6),$E451,"")</f>
        <v>0.7305841924398625</v>
      </c>
      <c r="J451" s="1" t="str">
        <f t="shared" ref="J451:J472" si="66">IF(AND($F451 &gt; 0.6,$F451 &lt;= 0.8),$E451,"")</f>
        <v/>
      </c>
      <c r="K451" s="1" t="str">
        <f t="shared" ref="K451:K472" si="67">IF(AND($F451 &gt; 0.8, $F451 &lt;=1.1),$E451,"")</f>
        <v/>
      </c>
      <c r="L451" s="1" t="str">
        <f t="shared" ref="L451:L472" si="68">IF(AND($F451 &gt; 1.1),$E451,"")</f>
        <v/>
      </c>
    </row>
    <row r="452" spans="1:12">
      <c r="A452" t="s">
        <v>155</v>
      </c>
      <c r="B452">
        <v>12</v>
      </c>
      <c r="C452" t="str">
        <f t="shared" si="62"/>
        <v>test.TIFFFaxDecoder_12_</v>
      </c>
      <c r="D452">
        <v>2</v>
      </c>
      <c r="E452">
        <v>0.78213058419243986</v>
      </c>
      <c r="F452">
        <v>0.57148578571428565</v>
      </c>
      <c r="G452" s="1" t="str">
        <f t="shared" si="63"/>
        <v/>
      </c>
      <c r="H452" s="1" t="str">
        <f t="shared" si="64"/>
        <v/>
      </c>
      <c r="I452" s="1">
        <f t="shared" si="65"/>
        <v>0.78213058419243986</v>
      </c>
      <c r="J452" s="1" t="str">
        <f t="shared" si="66"/>
        <v/>
      </c>
      <c r="K452" s="1" t="str">
        <f t="shared" si="67"/>
        <v/>
      </c>
      <c r="L452" s="1" t="str">
        <f t="shared" si="68"/>
        <v/>
      </c>
    </row>
    <row r="453" spans="1:12">
      <c r="A453" t="s">
        <v>155</v>
      </c>
      <c r="B453">
        <v>12</v>
      </c>
      <c r="C453" t="str">
        <f t="shared" si="62"/>
        <v>test.TIFFFaxDecoder_12_</v>
      </c>
      <c r="D453">
        <v>3</v>
      </c>
      <c r="E453">
        <v>0.92783505154639179</v>
      </c>
      <c r="F453">
        <v>0.7142857142857143</v>
      </c>
      <c r="G453" s="1" t="str">
        <f t="shared" si="63"/>
        <v/>
      </c>
      <c r="H453" s="1" t="str">
        <f t="shared" si="64"/>
        <v/>
      </c>
      <c r="I453" s="1" t="str">
        <f t="shared" si="65"/>
        <v/>
      </c>
      <c r="J453" s="1">
        <f t="shared" si="66"/>
        <v>0.92783505154639179</v>
      </c>
      <c r="K453" s="1" t="str">
        <f t="shared" si="67"/>
        <v/>
      </c>
      <c r="L453" s="1" t="str">
        <f t="shared" si="68"/>
        <v/>
      </c>
    </row>
    <row r="454" spans="1:12">
      <c r="A454" t="s">
        <v>155</v>
      </c>
      <c r="B454">
        <v>12</v>
      </c>
      <c r="C454" t="str">
        <f t="shared" si="62"/>
        <v>test.TIFFFaxDecoder_12_</v>
      </c>
      <c r="D454">
        <v>1</v>
      </c>
      <c r="E454">
        <v>0.97938144329896903</v>
      </c>
      <c r="F454">
        <v>0.71429999999999993</v>
      </c>
      <c r="G454" s="1" t="str">
        <f t="shared" si="63"/>
        <v/>
      </c>
      <c r="H454" s="1" t="str">
        <f t="shared" si="64"/>
        <v/>
      </c>
      <c r="I454" s="1" t="str">
        <f t="shared" si="65"/>
        <v/>
      </c>
      <c r="J454" s="1">
        <f t="shared" si="66"/>
        <v>0.97938144329896903</v>
      </c>
      <c r="K454" s="1" t="str">
        <f t="shared" si="67"/>
        <v/>
      </c>
      <c r="L454" s="1" t="str">
        <f t="shared" si="68"/>
        <v/>
      </c>
    </row>
    <row r="455" spans="1:12">
      <c r="A455" t="s">
        <v>155</v>
      </c>
      <c r="B455">
        <v>12</v>
      </c>
      <c r="C455" t="str">
        <f t="shared" si="62"/>
        <v>test.TIFFFaxDecoder_12_</v>
      </c>
      <c r="D455">
        <v>2</v>
      </c>
      <c r="E455">
        <v>1</v>
      </c>
      <c r="F455">
        <v>0.8571428571428571</v>
      </c>
      <c r="G455" s="1" t="str">
        <f t="shared" si="63"/>
        <v/>
      </c>
      <c r="H455" s="1" t="str">
        <f t="shared" si="64"/>
        <v/>
      </c>
      <c r="I455" s="1" t="str">
        <f t="shared" si="65"/>
        <v/>
      </c>
      <c r="J455" s="1" t="str">
        <f t="shared" si="66"/>
        <v/>
      </c>
      <c r="K455" s="1">
        <f t="shared" si="67"/>
        <v>1</v>
      </c>
      <c r="L455" s="1" t="str">
        <f t="shared" si="68"/>
        <v/>
      </c>
    </row>
    <row r="456" spans="1:12">
      <c r="A456" t="s">
        <v>155</v>
      </c>
      <c r="B456">
        <v>13</v>
      </c>
      <c r="C456" t="str">
        <f t="shared" si="62"/>
        <v>test.TIFFFaxDecoder_13_</v>
      </c>
      <c r="D456">
        <v>3</v>
      </c>
      <c r="E456">
        <v>0.32142857142857145</v>
      </c>
      <c r="F456">
        <v>1</v>
      </c>
      <c r="G456" s="1" t="str">
        <f t="shared" si="63"/>
        <v/>
      </c>
      <c r="H456" s="1" t="str">
        <f t="shared" si="64"/>
        <v/>
      </c>
      <c r="I456" s="1" t="str">
        <f t="shared" si="65"/>
        <v/>
      </c>
      <c r="J456" s="1" t="str">
        <f t="shared" si="66"/>
        <v/>
      </c>
      <c r="K456" s="1">
        <f t="shared" si="67"/>
        <v>0.32142857142857145</v>
      </c>
      <c r="L456" s="1" t="str">
        <f t="shared" si="68"/>
        <v/>
      </c>
    </row>
    <row r="457" spans="1:12">
      <c r="A457" t="s">
        <v>155</v>
      </c>
      <c r="B457">
        <v>13</v>
      </c>
      <c r="C457" t="str">
        <f t="shared" si="62"/>
        <v>test.TIFFFaxDecoder_13_</v>
      </c>
      <c r="D457">
        <v>4</v>
      </c>
      <c r="E457">
        <v>1</v>
      </c>
      <c r="F457">
        <v>1.0000500000000001</v>
      </c>
      <c r="G457" s="1" t="str">
        <f t="shared" si="63"/>
        <v/>
      </c>
      <c r="H457" s="1" t="str">
        <f t="shared" si="64"/>
        <v/>
      </c>
      <c r="I457" s="1" t="str">
        <f t="shared" si="65"/>
        <v/>
      </c>
      <c r="J457" s="1" t="str">
        <f t="shared" si="66"/>
        <v/>
      </c>
      <c r="K457" s="1">
        <f t="shared" si="67"/>
        <v>1</v>
      </c>
      <c r="L457" s="1" t="str">
        <f t="shared" si="68"/>
        <v/>
      </c>
    </row>
    <row r="458" spans="1:12">
      <c r="A458" t="s">
        <v>199</v>
      </c>
      <c r="B458">
        <v>2</v>
      </c>
      <c r="C458" t="str">
        <f t="shared" si="62"/>
        <v>test.TIFFFaxEncoder_2_</v>
      </c>
      <c r="D458">
        <v>5</v>
      </c>
      <c r="E458">
        <v>1.5432098765432098E-2</v>
      </c>
      <c r="F458">
        <v>0.25</v>
      </c>
      <c r="G458" s="1" t="str">
        <f t="shared" si="63"/>
        <v/>
      </c>
      <c r="H458" s="1">
        <f t="shared" si="64"/>
        <v>1.5432098765432098E-2</v>
      </c>
      <c r="I458" s="1" t="str">
        <f t="shared" si="65"/>
        <v/>
      </c>
      <c r="J458" s="1" t="str">
        <f t="shared" si="66"/>
        <v/>
      </c>
      <c r="K458" s="1" t="str">
        <f t="shared" si="67"/>
        <v/>
      </c>
      <c r="L458" s="1" t="str">
        <f t="shared" si="68"/>
        <v/>
      </c>
    </row>
    <row r="459" spans="1:12">
      <c r="A459" t="s">
        <v>199</v>
      </c>
      <c r="B459">
        <v>2</v>
      </c>
      <c r="C459" t="str">
        <f t="shared" si="62"/>
        <v>test.TIFFFaxEncoder_2_</v>
      </c>
      <c r="D459">
        <v>6</v>
      </c>
      <c r="E459">
        <v>0.58950617283950613</v>
      </c>
      <c r="F459">
        <v>0.625</v>
      </c>
      <c r="G459" s="1" t="str">
        <f t="shared" si="63"/>
        <v/>
      </c>
      <c r="H459" s="1" t="str">
        <f t="shared" si="64"/>
        <v/>
      </c>
      <c r="I459" s="1" t="str">
        <f t="shared" si="65"/>
        <v/>
      </c>
      <c r="J459" s="1">
        <f t="shared" si="66"/>
        <v>0.58950617283950613</v>
      </c>
      <c r="K459" s="1" t="str">
        <f t="shared" si="67"/>
        <v/>
      </c>
      <c r="L459" s="1" t="str">
        <f t="shared" si="68"/>
        <v/>
      </c>
    </row>
    <row r="460" spans="1:12">
      <c r="A460" t="s">
        <v>199</v>
      </c>
      <c r="B460">
        <v>2</v>
      </c>
      <c r="C460" t="str">
        <f t="shared" si="62"/>
        <v>test.TIFFFaxEncoder_2_</v>
      </c>
      <c r="D460">
        <v>7</v>
      </c>
      <c r="E460">
        <v>0.73919753086419748</v>
      </c>
      <c r="F460">
        <v>0.62501249999999997</v>
      </c>
      <c r="G460" s="1" t="str">
        <f t="shared" si="63"/>
        <v/>
      </c>
      <c r="H460" s="1" t="str">
        <f t="shared" si="64"/>
        <v/>
      </c>
      <c r="I460" s="1" t="str">
        <f t="shared" si="65"/>
        <v/>
      </c>
      <c r="J460" s="1">
        <f t="shared" si="66"/>
        <v>0.73919753086419748</v>
      </c>
      <c r="K460" s="1" t="str">
        <f t="shared" si="67"/>
        <v/>
      </c>
      <c r="L460" s="1" t="str">
        <f t="shared" si="68"/>
        <v/>
      </c>
    </row>
    <row r="461" spans="1:12">
      <c r="A461" t="s">
        <v>199</v>
      </c>
      <c r="B461">
        <v>2</v>
      </c>
      <c r="C461" t="str">
        <f t="shared" si="62"/>
        <v>test.TIFFFaxEncoder_2_</v>
      </c>
      <c r="D461">
        <v>8</v>
      </c>
      <c r="E461">
        <v>0.75694444444444442</v>
      </c>
      <c r="F461">
        <v>0.62502503750000005</v>
      </c>
      <c r="G461" s="1" t="str">
        <f t="shared" si="63"/>
        <v/>
      </c>
      <c r="H461" s="1" t="str">
        <f t="shared" si="64"/>
        <v/>
      </c>
      <c r="I461" s="1" t="str">
        <f t="shared" si="65"/>
        <v/>
      </c>
      <c r="J461" s="1">
        <f t="shared" si="66"/>
        <v>0.75694444444444442</v>
      </c>
      <c r="K461" s="1" t="str">
        <f t="shared" si="67"/>
        <v/>
      </c>
      <c r="L461" s="1" t="str">
        <f t="shared" si="68"/>
        <v/>
      </c>
    </row>
    <row r="462" spans="1:12">
      <c r="A462" t="s">
        <v>199</v>
      </c>
      <c r="B462">
        <v>2</v>
      </c>
      <c r="C462" t="str">
        <f t="shared" si="62"/>
        <v>test.TIFFFaxEncoder_2_</v>
      </c>
      <c r="D462">
        <v>9</v>
      </c>
      <c r="E462">
        <v>0.97685185185185186</v>
      </c>
      <c r="F462">
        <v>0.75</v>
      </c>
      <c r="G462" s="1" t="str">
        <f t="shared" si="63"/>
        <v/>
      </c>
      <c r="H462" s="1" t="str">
        <f t="shared" si="64"/>
        <v/>
      </c>
      <c r="I462" s="1" t="str">
        <f t="shared" si="65"/>
        <v/>
      </c>
      <c r="J462" s="1">
        <f t="shared" si="66"/>
        <v>0.97685185185185186</v>
      </c>
      <c r="K462" s="1" t="str">
        <f t="shared" si="67"/>
        <v/>
      </c>
      <c r="L462" s="1" t="str">
        <f t="shared" si="68"/>
        <v/>
      </c>
    </row>
    <row r="463" spans="1:12">
      <c r="A463" t="s">
        <v>199</v>
      </c>
      <c r="B463">
        <v>2</v>
      </c>
      <c r="C463" t="str">
        <f t="shared" si="62"/>
        <v>test.TIFFFaxEncoder_2_</v>
      </c>
      <c r="D463">
        <v>10</v>
      </c>
      <c r="E463">
        <v>0.99614197530864201</v>
      </c>
      <c r="F463">
        <v>0.75001249999999997</v>
      </c>
      <c r="G463" s="1" t="str">
        <f t="shared" si="63"/>
        <v/>
      </c>
      <c r="H463" s="1" t="str">
        <f t="shared" si="64"/>
        <v/>
      </c>
      <c r="I463" s="1" t="str">
        <f t="shared" si="65"/>
        <v/>
      </c>
      <c r="J463" s="1">
        <f t="shared" si="66"/>
        <v>0.99614197530864201</v>
      </c>
      <c r="K463" s="1" t="str">
        <f t="shared" si="67"/>
        <v/>
      </c>
      <c r="L463" s="1" t="str">
        <f t="shared" si="68"/>
        <v/>
      </c>
    </row>
    <row r="464" spans="1:12">
      <c r="A464" t="s">
        <v>199</v>
      </c>
      <c r="B464">
        <v>2</v>
      </c>
      <c r="C464" t="str">
        <f t="shared" si="62"/>
        <v>test.TIFFFaxEncoder_2_</v>
      </c>
      <c r="D464">
        <v>11</v>
      </c>
      <c r="E464">
        <v>1</v>
      </c>
      <c r="F464">
        <v>0.875</v>
      </c>
      <c r="G464" s="1" t="str">
        <f t="shared" si="63"/>
        <v/>
      </c>
      <c r="H464" s="1" t="str">
        <f t="shared" si="64"/>
        <v/>
      </c>
      <c r="I464" s="1" t="str">
        <f t="shared" si="65"/>
        <v/>
      </c>
      <c r="J464" s="1" t="str">
        <f t="shared" si="66"/>
        <v/>
      </c>
      <c r="K464" s="1">
        <f t="shared" si="67"/>
        <v>1</v>
      </c>
      <c r="L464" s="1" t="str">
        <f t="shared" si="68"/>
        <v/>
      </c>
    </row>
    <row r="465" spans="1:12">
      <c r="A465" t="s">
        <v>199</v>
      </c>
      <c r="B465">
        <v>6</v>
      </c>
      <c r="C465" t="str">
        <f t="shared" si="62"/>
        <v>test.TIFFFaxEncoder_6_</v>
      </c>
      <c r="D465">
        <v>12</v>
      </c>
      <c r="E465">
        <v>0.69818913480885314</v>
      </c>
      <c r="F465">
        <v>0.8</v>
      </c>
      <c r="G465" s="1" t="str">
        <f t="shared" si="63"/>
        <v/>
      </c>
      <c r="H465" s="1" t="str">
        <f t="shared" si="64"/>
        <v/>
      </c>
      <c r="I465" s="1" t="str">
        <f t="shared" si="65"/>
        <v/>
      </c>
      <c r="J465" s="1">
        <f t="shared" si="66"/>
        <v>0.69818913480885314</v>
      </c>
      <c r="K465" s="1" t="str">
        <f t="shared" si="67"/>
        <v/>
      </c>
      <c r="L465" s="1" t="str">
        <f t="shared" si="68"/>
        <v/>
      </c>
    </row>
    <row r="466" spans="1:12">
      <c r="A466" t="s">
        <v>199</v>
      </c>
      <c r="B466">
        <v>6</v>
      </c>
      <c r="C466" t="str">
        <f t="shared" si="62"/>
        <v>test.TIFFFaxEncoder_6_</v>
      </c>
      <c r="D466">
        <v>13</v>
      </c>
      <c r="E466">
        <v>0.94969818913480886</v>
      </c>
      <c r="F466">
        <v>0.80001999999999995</v>
      </c>
      <c r="G466" s="1" t="str">
        <f t="shared" si="63"/>
        <v/>
      </c>
      <c r="H466" s="1" t="str">
        <f t="shared" si="64"/>
        <v/>
      </c>
      <c r="I466" s="1" t="str">
        <f t="shared" si="65"/>
        <v/>
      </c>
      <c r="J466" s="1" t="str">
        <f t="shared" si="66"/>
        <v/>
      </c>
      <c r="K466" s="1">
        <f t="shared" si="67"/>
        <v>0.94969818913480886</v>
      </c>
      <c r="L466" s="1" t="str">
        <f t="shared" si="68"/>
        <v/>
      </c>
    </row>
    <row r="467" spans="1:12">
      <c r="A467" t="s">
        <v>199</v>
      </c>
      <c r="B467">
        <v>6</v>
      </c>
      <c r="C467" t="str">
        <f t="shared" si="62"/>
        <v>test.TIFFFaxEncoder_6_</v>
      </c>
      <c r="D467">
        <v>14</v>
      </c>
      <c r="E467">
        <v>0.94969818913480886</v>
      </c>
      <c r="F467">
        <v>0.80004006000000005</v>
      </c>
      <c r="G467" s="1" t="str">
        <f t="shared" si="63"/>
        <v/>
      </c>
      <c r="H467" s="1" t="str">
        <f t="shared" si="64"/>
        <v/>
      </c>
      <c r="I467" s="1" t="str">
        <f t="shared" si="65"/>
        <v/>
      </c>
      <c r="J467" s="1" t="str">
        <f t="shared" si="66"/>
        <v/>
      </c>
      <c r="K467" s="1">
        <f t="shared" si="67"/>
        <v>0.94969818913480886</v>
      </c>
      <c r="L467" s="1" t="str">
        <f t="shared" si="68"/>
        <v/>
      </c>
    </row>
    <row r="468" spans="1:12">
      <c r="A468" t="s">
        <v>199</v>
      </c>
      <c r="B468">
        <v>6</v>
      </c>
      <c r="C468" t="str">
        <f t="shared" si="62"/>
        <v>test.TIFFFaxEncoder_6_</v>
      </c>
      <c r="D468">
        <v>15</v>
      </c>
      <c r="E468">
        <v>1</v>
      </c>
      <c r="F468">
        <v>0.80006008000000006</v>
      </c>
      <c r="G468" s="1" t="str">
        <f t="shared" si="63"/>
        <v/>
      </c>
      <c r="H468" s="1" t="str">
        <f t="shared" si="64"/>
        <v/>
      </c>
      <c r="I468" s="1" t="str">
        <f t="shared" si="65"/>
        <v/>
      </c>
      <c r="J468" s="1" t="str">
        <f t="shared" si="66"/>
        <v/>
      </c>
      <c r="K468" s="1">
        <f t="shared" si="67"/>
        <v>1</v>
      </c>
      <c r="L468" s="1" t="str">
        <f t="shared" si="68"/>
        <v/>
      </c>
    </row>
    <row r="469" spans="1:12">
      <c r="A469" t="s">
        <v>199</v>
      </c>
      <c r="B469">
        <v>6</v>
      </c>
      <c r="C469" t="str">
        <f t="shared" si="62"/>
        <v>test.TIFFFaxEncoder_6_</v>
      </c>
      <c r="D469">
        <v>16</v>
      </c>
      <c r="E469">
        <v>1</v>
      </c>
      <c r="F469">
        <v>1.2</v>
      </c>
      <c r="G469" s="1" t="str">
        <f t="shared" si="63"/>
        <v/>
      </c>
      <c r="H469" s="1" t="str">
        <f t="shared" si="64"/>
        <v/>
      </c>
      <c r="I469" s="1" t="str">
        <f t="shared" si="65"/>
        <v/>
      </c>
      <c r="J469" s="1" t="str">
        <f t="shared" si="66"/>
        <v/>
      </c>
      <c r="K469" s="1" t="str">
        <f t="shared" si="67"/>
        <v/>
      </c>
      <c r="L469" s="1">
        <f t="shared" si="68"/>
        <v>1</v>
      </c>
    </row>
    <row r="470" spans="1:12">
      <c r="A470" t="s">
        <v>199</v>
      </c>
      <c r="B470">
        <v>6</v>
      </c>
      <c r="C470" t="str">
        <f t="shared" si="62"/>
        <v>test.TIFFFaxEncoder_6_</v>
      </c>
      <c r="D470">
        <v>17</v>
      </c>
      <c r="E470">
        <v>1</v>
      </c>
      <c r="F470">
        <v>1.4</v>
      </c>
      <c r="G470" s="1" t="str">
        <f t="shared" si="63"/>
        <v/>
      </c>
      <c r="H470" s="1" t="str">
        <f t="shared" si="64"/>
        <v/>
      </c>
      <c r="I470" s="1" t="str">
        <f t="shared" si="65"/>
        <v/>
      </c>
      <c r="J470" s="1" t="str">
        <f t="shared" si="66"/>
        <v/>
      </c>
      <c r="K470" s="1" t="str">
        <f t="shared" si="67"/>
        <v/>
      </c>
      <c r="L470" s="1">
        <f t="shared" si="68"/>
        <v>1</v>
      </c>
    </row>
    <row r="471" spans="1:12">
      <c r="A471" t="s">
        <v>199</v>
      </c>
      <c r="B471">
        <v>8</v>
      </c>
      <c r="C471" t="str">
        <f t="shared" si="62"/>
        <v>test.TIFFFaxEncoder_8_</v>
      </c>
      <c r="D471">
        <v>18</v>
      </c>
      <c r="E471">
        <v>0.86578449905482047</v>
      </c>
      <c r="F471">
        <v>1.25</v>
      </c>
      <c r="G471" s="1" t="str">
        <f t="shared" si="63"/>
        <v/>
      </c>
      <c r="H471" s="1" t="str">
        <f t="shared" si="64"/>
        <v/>
      </c>
      <c r="I471" s="1" t="str">
        <f t="shared" si="65"/>
        <v/>
      </c>
      <c r="J471" s="1" t="str">
        <f t="shared" si="66"/>
        <v/>
      </c>
      <c r="K471" s="1" t="str">
        <f t="shared" si="67"/>
        <v/>
      </c>
      <c r="L471" s="1">
        <f t="shared" si="68"/>
        <v>0.86578449905482047</v>
      </c>
    </row>
    <row r="472" spans="1:12">
      <c r="A472" t="s">
        <v>199</v>
      </c>
      <c r="B472">
        <v>8</v>
      </c>
      <c r="C472" t="str">
        <f t="shared" si="62"/>
        <v>test.TIFFFaxEncoder_8_</v>
      </c>
      <c r="D472">
        <v>1</v>
      </c>
      <c r="E472">
        <v>1</v>
      </c>
      <c r="F472">
        <v>1.2500249999999999</v>
      </c>
      <c r="G472" s="1" t="str">
        <f t="shared" si="63"/>
        <v/>
      </c>
      <c r="H472" s="1" t="str">
        <f t="shared" si="64"/>
        <v/>
      </c>
      <c r="I472" s="1" t="str">
        <f t="shared" si="65"/>
        <v/>
      </c>
      <c r="J472" s="1" t="str">
        <f t="shared" si="66"/>
        <v/>
      </c>
      <c r="K472" s="1" t="str">
        <f t="shared" si="67"/>
        <v/>
      </c>
      <c r="L472" s="1">
        <f t="shared" si="68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2"/>
  <sheetViews>
    <sheetView topLeftCell="A5" workbookViewId="0">
      <selection activeCell="I2" sqref="I2:I472"/>
    </sheetView>
  </sheetViews>
  <sheetFormatPr baseColWidth="10" defaultRowHeight="15" x14ac:dyDescent="0"/>
  <cols>
    <col min="1" max="1" width="25.33203125" bestFit="1" customWidth="1"/>
    <col min="8" max="8" width="4.6640625" bestFit="1" customWidth="1"/>
  </cols>
  <sheetData>
    <row r="1" spans="1:10">
      <c r="A1" t="s">
        <v>204</v>
      </c>
      <c r="B1" t="s">
        <v>205</v>
      </c>
      <c r="C1" t="s">
        <v>286</v>
      </c>
      <c r="D1" s="4" t="s">
        <v>287</v>
      </c>
      <c r="E1" s="4" t="s">
        <v>288</v>
      </c>
      <c r="F1" s="4" t="s">
        <v>222</v>
      </c>
      <c r="G1" s="4" t="s">
        <v>289</v>
      </c>
      <c r="H1" s="4" t="s">
        <v>290</v>
      </c>
      <c r="I1" s="4" t="s">
        <v>291</v>
      </c>
    </row>
    <row r="2" spans="1:10">
      <c r="A2" t="s">
        <v>4</v>
      </c>
      <c r="B2">
        <v>1</v>
      </c>
      <c r="C2">
        <v>1</v>
      </c>
      <c r="D2">
        <v>44</v>
      </c>
      <c r="E2">
        <v>0</v>
      </c>
      <c r="F2">
        <v>7</v>
      </c>
      <c r="G2">
        <v>0</v>
      </c>
      <c r="H2">
        <v>51</v>
      </c>
      <c r="I2" s="1">
        <f>D2/H2</f>
        <v>0.86274509803921573</v>
      </c>
      <c r="J2" t="str">
        <f>IF(I2&gt;1,"!","")</f>
        <v/>
      </c>
    </row>
    <row r="3" spans="1:10">
      <c r="A3" t="s">
        <v>4</v>
      </c>
      <c r="B3">
        <v>1</v>
      </c>
      <c r="C3">
        <v>2</v>
      </c>
      <c r="D3">
        <v>46</v>
      </c>
      <c r="E3">
        <v>0</v>
      </c>
      <c r="F3">
        <v>5</v>
      </c>
      <c r="G3">
        <v>0</v>
      </c>
      <c r="H3">
        <v>51</v>
      </c>
      <c r="I3" s="1">
        <f t="shared" ref="I3:I66" si="0">D3/H3</f>
        <v>0.90196078431372551</v>
      </c>
      <c r="J3" t="str">
        <f t="shared" ref="J3:J66" si="1">IF(I3&gt;1,"!","")</f>
        <v/>
      </c>
    </row>
    <row r="4" spans="1:10">
      <c r="A4" t="s">
        <v>4</v>
      </c>
      <c r="B4">
        <v>1</v>
      </c>
      <c r="C4">
        <v>3</v>
      </c>
      <c r="D4">
        <v>51</v>
      </c>
      <c r="E4">
        <v>0</v>
      </c>
      <c r="F4">
        <v>0</v>
      </c>
      <c r="G4">
        <v>0</v>
      </c>
      <c r="H4">
        <v>51</v>
      </c>
      <c r="I4" s="1">
        <f t="shared" si="0"/>
        <v>1</v>
      </c>
      <c r="J4" t="str">
        <f t="shared" si="1"/>
        <v/>
      </c>
    </row>
    <row r="5" spans="1:10">
      <c r="A5" t="s">
        <v>4</v>
      </c>
      <c r="B5">
        <v>1</v>
      </c>
      <c r="C5">
        <v>4</v>
      </c>
      <c r="D5">
        <v>51</v>
      </c>
      <c r="E5">
        <v>0</v>
      </c>
      <c r="F5">
        <v>0</v>
      </c>
      <c r="G5">
        <v>0</v>
      </c>
      <c r="H5">
        <v>51</v>
      </c>
      <c r="I5" s="1">
        <f t="shared" si="0"/>
        <v>1</v>
      </c>
      <c r="J5" t="str">
        <f t="shared" si="1"/>
        <v/>
      </c>
    </row>
    <row r="6" spans="1:10">
      <c r="A6" t="s">
        <v>4</v>
      </c>
      <c r="B6">
        <v>1</v>
      </c>
      <c r="C6">
        <v>5</v>
      </c>
      <c r="D6">
        <v>51</v>
      </c>
      <c r="E6">
        <v>0</v>
      </c>
      <c r="F6">
        <v>0</v>
      </c>
      <c r="G6">
        <v>0</v>
      </c>
      <c r="H6">
        <v>51</v>
      </c>
      <c r="I6" s="1">
        <f t="shared" si="0"/>
        <v>1</v>
      </c>
      <c r="J6" t="str">
        <f t="shared" si="1"/>
        <v/>
      </c>
    </row>
    <row r="7" spans="1:10">
      <c r="A7" t="s">
        <v>4</v>
      </c>
      <c r="B7">
        <v>1</v>
      </c>
      <c r="C7">
        <v>6</v>
      </c>
      <c r="D7">
        <v>51</v>
      </c>
      <c r="E7">
        <v>0</v>
      </c>
      <c r="F7">
        <v>0</v>
      </c>
      <c r="G7">
        <v>0</v>
      </c>
      <c r="H7">
        <v>51</v>
      </c>
      <c r="I7" s="1">
        <f t="shared" si="0"/>
        <v>1</v>
      </c>
      <c r="J7" t="str">
        <f t="shared" si="1"/>
        <v/>
      </c>
    </row>
    <row r="8" spans="1:10">
      <c r="A8" t="s">
        <v>4</v>
      </c>
      <c r="B8">
        <v>1</v>
      </c>
      <c r="C8">
        <v>7</v>
      </c>
      <c r="D8">
        <v>51</v>
      </c>
      <c r="E8">
        <v>0</v>
      </c>
      <c r="F8">
        <v>0</v>
      </c>
      <c r="G8">
        <v>0</v>
      </c>
      <c r="H8">
        <v>51</v>
      </c>
      <c r="I8" s="1">
        <f t="shared" si="0"/>
        <v>1</v>
      </c>
      <c r="J8" t="str">
        <f t="shared" si="1"/>
        <v/>
      </c>
    </row>
    <row r="9" spans="1:10">
      <c r="A9" t="s">
        <v>4</v>
      </c>
      <c r="B9">
        <v>1</v>
      </c>
      <c r="C9">
        <v>8</v>
      </c>
      <c r="D9">
        <v>51</v>
      </c>
      <c r="E9">
        <v>0</v>
      </c>
      <c r="F9">
        <v>0</v>
      </c>
      <c r="G9">
        <v>0</v>
      </c>
      <c r="H9">
        <v>51</v>
      </c>
      <c r="I9" s="1">
        <f t="shared" si="0"/>
        <v>1</v>
      </c>
      <c r="J9" t="str">
        <f t="shared" si="1"/>
        <v/>
      </c>
    </row>
    <row r="10" spans="1:10">
      <c r="A10" t="s">
        <v>4</v>
      </c>
      <c r="B10">
        <v>2</v>
      </c>
      <c r="C10">
        <v>1</v>
      </c>
      <c r="D10">
        <v>11</v>
      </c>
      <c r="E10">
        <v>0</v>
      </c>
      <c r="F10">
        <v>2</v>
      </c>
      <c r="G10">
        <v>0</v>
      </c>
      <c r="H10">
        <v>33</v>
      </c>
      <c r="I10" s="1">
        <f t="shared" si="0"/>
        <v>0.33333333333333331</v>
      </c>
      <c r="J10" t="str">
        <f t="shared" si="1"/>
        <v/>
      </c>
    </row>
    <row r="11" spans="1:10">
      <c r="A11" t="s">
        <v>4</v>
      </c>
      <c r="B11">
        <v>2</v>
      </c>
      <c r="C11">
        <v>2</v>
      </c>
      <c r="D11">
        <v>19</v>
      </c>
      <c r="E11">
        <v>0</v>
      </c>
      <c r="F11">
        <v>3</v>
      </c>
      <c r="G11">
        <v>0</v>
      </c>
      <c r="H11">
        <v>33</v>
      </c>
      <c r="I11" s="1">
        <f t="shared" si="0"/>
        <v>0.5757575757575758</v>
      </c>
      <c r="J11" t="str">
        <f t="shared" si="1"/>
        <v/>
      </c>
    </row>
    <row r="12" spans="1:10">
      <c r="A12" t="s">
        <v>4</v>
      </c>
      <c r="B12">
        <v>2</v>
      </c>
      <c r="C12">
        <v>3</v>
      </c>
      <c r="D12">
        <v>20</v>
      </c>
      <c r="E12">
        <v>0</v>
      </c>
      <c r="F12">
        <v>2</v>
      </c>
      <c r="G12">
        <v>0</v>
      </c>
      <c r="H12">
        <v>33</v>
      </c>
      <c r="I12" s="1">
        <f t="shared" si="0"/>
        <v>0.60606060606060608</v>
      </c>
      <c r="J12" t="str">
        <f t="shared" si="1"/>
        <v/>
      </c>
    </row>
    <row r="13" spans="1:10">
      <c r="A13" t="s">
        <v>4</v>
      </c>
      <c r="B13">
        <v>2</v>
      </c>
      <c r="C13">
        <v>4</v>
      </c>
      <c r="D13">
        <v>26</v>
      </c>
      <c r="E13">
        <v>0</v>
      </c>
      <c r="F13">
        <v>3</v>
      </c>
      <c r="G13">
        <v>0</v>
      </c>
      <c r="H13">
        <v>33</v>
      </c>
      <c r="I13" s="1">
        <f t="shared" si="0"/>
        <v>0.78787878787878785</v>
      </c>
      <c r="J13" t="str">
        <f t="shared" si="1"/>
        <v/>
      </c>
    </row>
    <row r="14" spans="1:10">
      <c r="A14" t="s">
        <v>4</v>
      </c>
      <c r="B14">
        <v>2</v>
      </c>
      <c r="C14">
        <v>5</v>
      </c>
      <c r="D14">
        <v>26</v>
      </c>
      <c r="E14">
        <v>0</v>
      </c>
      <c r="F14">
        <v>3</v>
      </c>
      <c r="G14">
        <v>0</v>
      </c>
      <c r="H14">
        <v>33</v>
      </c>
      <c r="I14" s="1">
        <f t="shared" si="0"/>
        <v>0.78787878787878785</v>
      </c>
      <c r="J14" t="str">
        <f t="shared" si="1"/>
        <v/>
      </c>
    </row>
    <row r="15" spans="1:10">
      <c r="A15" t="s">
        <v>4</v>
      </c>
      <c r="B15">
        <v>2</v>
      </c>
      <c r="C15">
        <v>6</v>
      </c>
      <c r="D15">
        <v>27</v>
      </c>
      <c r="E15">
        <v>0</v>
      </c>
      <c r="F15">
        <v>2</v>
      </c>
      <c r="G15">
        <v>0</v>
      </c>
      <c r="H15">
        <v>33</v>
      </c>
      <c r="I15" s="1">
        <f t="shared" si="0"/>
        <v>0.81818181818181823</v>
      </c>
      <c r="J15" t="str">
        <f t="shared" si="1"/>
        <v/>
      </c>
    </row>
    <row r="16" spans="1:10">
      <c r="A16" t="s">
        <v>4</v>
      </c>
      <c r="B16">
        <v>2</v>
      </c>
      <c r="C16">
        <v>7</v>
      </c>
      <c r="D16">
        <v>32</v>
      </c>
      <c r="E16">
        <v>0</v>
      </c>
      <c r="F16">
        <v>1</v>
      </c>
      <c r="G16">
        <v>0</v>
      </c>
      <c r="H16">
        <v>33</v>
      </c>
      <c r="I16" s="1">
        <f t="shared" si="0"/>
        <v>0.96969696969696972</v>
      </c>
      <c r="J16" t="str">
        <f t="shared" si="1"/>
        <v/>
      </c>
    </row>
    <row r="17" spans="1:10">
      <c r="A17" t="s">
        <v>4</v>
      </c>
      <c r="B17">
        <v>2</v>
      </c>
      <c r="C17">
        <v>8</v>
      </c>
      <c r="D17">
        <v>32</v>
      </c>
      <c r="E17">
        <v>0</v>
      </c>
      <c r="F17">
        <v>1</v>
      </c>
      <c r="G17">
        <v>0</v>
      </c>
      <c r="H17">
        <v>33</v>
      </c>
      <c r="I17" s="1">
        <f t="shared" si="0"/>
        <v>0.96969696969696972</v>
      </c>
      <c r="J17" t="str">
        <f t="shared" si="1"/>
        <v/>
      </c>
    </row>
    <row r="18" spans="1:10">
      <c r="A18" t="s">
        <v>4</v>
      </c>
      <c r="B18">
        <v>2</v>
      </c>
      <c r="C18">
        <v>9</v>
      </c>
      <c r="D18">
        <v>33</v>
      </c>
      <c r="E18">
        <v>0</v>
      </c>
      <c r="F18">
        <v>0</v>
      </c>
      <c r="G18">
        <v>0</v>
      </c>
      <c r="H18">
        <v>33</v>
      </c>
      <c r="I18" s="1">
        <f t="shared" si="0"/>
        <v>1</v>
      </c>
      <c r="J18" t="str">
        <f t="shared" si="1"/>
        <v/>
      </c>
    </row>
    <row r="19" spans="1:10">
      <c r="A19" t="s">
        <v>4</v>
      </c>
      <c r="B19">
        <v>2</v>
      </c>
      <c r="C19">
        <v>10</v>
      </c>
      <c r="D19">
        <v>33</v>
      </c>
      <c r="E19">
        <v>0</v>
      </c>
      <c r="F19">
        <v>0</v>
      </c>
      <c r="G19">
        <v>0</v>
      </c>
      <c r="H19">
        <v>33</v>
      </c>
      <c r="I19" s="1">
        <f t="shared" si="0"/>
        <v>1</v>
      </c>
      <c r="J19" t="str">
        <f t="shared" si="1"/>
        <v/>
      </c>
    </row>
    <row r="20" spans="1:10">
      <c r="A20" t="s">
        <v>4</v>
      </c>
      <c r="B20">
        <v>2</v>
      </c>
      <c r="C20">
        <v>11</v>
      </c>
      <c r="D20">
        <v>33</v>
      </c>
      <c r="E20">
        <v>0</v>
      </c>
      <c r="F20">
        <v>0</v>
      </c>
      <c r="G20">
        <v>0</v>
      </c>
      <c r="H20">
        <v>33</v>
      </c>
      <c r="I20" s="1">
        <f t="shared" si="0"/>
        <v>1</v>
      </c>
      <c r="J20" t="str">
        <f t="shared" si="1"/>
        <v/>
      </c>
    </row>
    <row r="21" spans="1:10">
      <c r="A21" t="s">
        <v>4</v>
      </c>
      <c r="B21">
        <v>2</v>
      </c>
      <c r="C21">
        <v>12</v>
      </c>
      <c r="D21">
        <v>33</v>
      </c>
      <c r="E21">
        <v>0</v>
      </c>
      <c r="F21">
        <v>0</v>
      </c>
      <c r="G21">
        <v>0</v>
      </c>
      <c r="H21">
        <v>33</v>
      </c>
      <c r="I21" s="1">
        <f t="shared" si="0"/>
        <v>1</v>
      </c>
      <c r="J21" t="str">
        <f t="shared" si="1"/>
        <v/>
      </c>
    </row>
    <row r="22" spans="1:10">
      <c r="A22" t="s">
        <v>4</v>
      </c>
      <c r="B22">
        <v>2</v>
      </c>
      <c r="C22">
        <v>13</v>
      </c>
      <c r="D22">
        <v>33</v>
      </c>
      <c r="E22">
        <v>0</v>
      </c>
      <c r="F22">
        <v>0</v>
      </c>
      <c r="G22">
        <v>0</v>
      </c>
      <c r="H22">
        <v>33</v>
      </c>
      <c r="I22" s="1">
        <f t="shared" si="0"/>
        <v>1</v>
      </c>
      <c r="J22" t="str">
        <f t="shared" si="1"/>
        <v/>
      </c>
    </row>
    <row r="23" spans="1:10">
      <c r="A23" t="s">
        <v>4</v>
      </c>
      <c r="B23">
        <v>2</v>
      </c>
      <c r="C23">
        <v>14</v>
      </c>
      <c r="D23">
        <v>33</v>
      </c>
      <c r="E23">
        <v>0</v>
      </c>
      <c r="F23">
        <v>0</v>
      </c>
      <c r="G23">
        <v>0</v>
      </c>
      <c r="H23">
        <v>33</v>
      </c>
      <c r="I23" s="1">
        <f t="shared" si="0"/>
        <v>1</v>
      </c>
      <c r="J23" t="str">
        <f t="shared" si="1"/>
        <v/>
      </c>
    </row>
    <row r="24" spans="1:10">
      <c r="A24" t="s">
        <v>4</v>
      </c>
      <c r="B24">
        <v>2</v>
      </c>
      <c r="C24">
        <v>15</v>
      </c>
      <c r="D24">
        <v>33</v>
      </c>
      <c r="E24">
        <v>0</v>
      </c>
      <c r="F24">
        <v>0</v>
      </c>
      <c r="G24">
        <v>0</v>
      </c>
      <c r="H24">
        <v>33</v>
      </c>
      <c r="I24" s="1">
        <f t="shared" si="0"/>
        <v>1</v>
      </c>
      <c r="J24" t="str">
        <f t="shared" si="1"/>
        <v/>
      </c>
    </row>
    <row r="25" spans="1:10">
      <c r="A25" t="s">
        <v>4</v>
      </c>
      <c r="B25">
        <v>6</v>
      </c>
      <c r="C25">
        <v>1</v>
      </c>
      <c r="D25">
        <v>2</v>
      </c>
      <c r="E25">
        <v>0</v>
      </c>
      <c r="F25">
        <v>1</v>
      </c>
      <c r="G25">
        <v>0</v>
      </c>
      <c r="H25">
        <v>18</v>
      </c>
      <c r="I25" s="1">
        <f t="shared" si="0"/>
        <v>0.1111111111111111</v>
      </c>
      <c r="J25" t="str">
        <f t="shared" si="1"/>
        <v/>
      </c>
    </row>
    <row r="26" spans="1:10">
      <c r="A26" t="s">
        <v>4</v>
      </c>
      <c r="B26">
        <v>6</v>
      </c>
      <c r="C26">
        <v>2</v>
      </c>
      <c r="D26">
        <v>5</v>
      </c>
      <c r="E26">
        <v>0</v>
      </c>
      <c r="F26">
        <v>1</v>
      </c>
      <c r="G26">
        <v>0</v>
      </c>
      <c r="H26">
        <v>18</v>
      </c>
      <c r="I26" s="1">
        <f t="shared" si="0"/>
        <v>0.27777777777777779</v>
      </c>
      <c r="J26" t="str">
        <f t="shared" si="1"/>
        <v/>
      </c>
    </row>
    <row r="27" spans="1:10">
      <c r="A27" t="s">
        <v>4</v>
      </c>
      <c r="B27">
        <v>6</v>
      </c>
      <c r="C27">
        <v>3</v>
      </c>
      <c r="D27">
        <v>11</v>
      </c>
      <c r="E27">
        <v>0</v>
      </c>
      <c r="F27">
        <v>2</v>
      </c>
      <c r="G27">
        <v>0</v>
      </c>
      <c r="H27">
        <v>18</v>
      </c>
      <c r="I27" s="1">
        <f t="shared" si="0"/>
        <v>0.61111111111111116</v>
      </c>
      <c r="J27" t="str">
        <f t="shared" si="1"/>
        <v/>
      </c>
    </row>
    <row r="28" spans="1:10">
      <c r="A28" t="s">
        <v>4</v>
      </c>
      <c r="B28">
        <v>6</v>
      </c>
      <c r="C28">
        <v>4</v>
      </c>
      <c r="D28">
        <v>16</v>
      </c>
      <c r="E28">
        <v>0</v>
      </c>
      <c r="F28">
        <v>2</v>
      </c>
      <c r="G28">
        <v>0</v>
      </c>
      <c r="H28">
        <v>18</v>
      </c>
      <c r="I28" s="1">
        <f t="shared" si="0"/>
        <v>0.88888888888888884</v>
      </c>
      <c r="J28" t="str">
        <f t="shared" si="1"/>
        <v/>
      </c>
    </row>
    <row r="29" spans="1:10">
      <c r="A29" t="s">
        <v>4</v>
      </c>
      <c r="B29">
        <v>6</v>
      </c>
      <c r="C29">
        <v>5</v>
      </c>
      <c r="D29">
        <v>18</v>
      </c>
      <c r="E29">
        <v>0</v>
      </c>
      <c r="F29">
        <v>0</v>
      </c>
      <c r="G29">
        <v>0</v>
      </c>
      <c r="H29">
        <v>18</v>
      </c>
      <c r="I29" s="1">
        <f t="shared" si="0"/>
        <v>1</v>
      </c>
      <c r="J29" t="str">
        <f t="shared" si="1"/>
        <v/>
      </c>
    </row>
    <row r="30" spans="1:10">
      <c r="A30" t="s">
        <v>4</v>
      </c>
      <c r="B30">
        <v>9</v>
      </c>
      <c r="C30">
        <v>1</v>
      </c>
      <c r="D30">
        <v>3</v>
      </c>
      <c r="E30">
        <v>0</v>
      </c>
      <c r="F30">
        <v>0</v>
      </c>
      <c r="G30">
        <v>0</v>
      </c>
      <c r="H30">
        <v>46</v>
      </c>
      <c r="I30" s="1">
        <f t="shared" si="0"/>
        <v>6.5217391304347824E-2</v>
      </c>
      <c r="J30" t="str">
        <f t="shared" si="1"/>
        <v/>
      </c>
    </row>
    <row r="31" spans="1:10">
      <c r="A31" t="s">
        <v>4</v>
      </c>
      <c r="B31">
        <v>9</v>
      </c>
      <c r="C31">
        <v>2</v>
      </c>
      <c r="D31">
        <v>3</v>
      </c>
      <c r="E31">
        <v>0</v>
      </c>
      <c r="F31">
        <v>0</v>
      </c>
      <c r="G31">
        <v>0</v>
      </c>
      <c r="H31">
        <v>46</v>
      </c>
      <c r="I31" s="1">
        <f t="shared" si="0"/>
        <v>6.5217391304347824E-2</v>
      </c>
      <c r="J31" t="str">
        <f t="shared" si="1"/>
        <v/>
      </c>
    </row>
    <row r="32" spans="1:10">
      <c r="A32" t="s">
        <v>4</v>
      </c>
      <c r="B32">
        <v>9</v>
      </c>
      <c r="C32">
        <v>3</v>
      </c>
      <c r="D32">
        <v>3</v>
      </c>
      <c r="E32">
        <v>0</v>
      </c>
      <c r="F32">
        <v>0</v>
      </c>
      <c r="G32">
        <v>0</v>
      </c>
      <c r="H32">
        <v>46</v>
      </c>
      <c r="I32" s="1">
        <f t="shared" si="0"/>
        <v>6.5217391304347824E-2</v>
      </c>
      <c r="J32" t="str">
        <f t="shared" si="1"/>
        <v/>
      </c>
    </row>
    <row r="33" spans="1:10">
      <c r="A33" t="s">
        <v>4</v>
      </c>
      <c r="B33">
        <v>9</v>
      </c>
      <c r="C33">
        <v>4</v>
      </c>
      <c r="D33">
        <v>7</v>
      </c>
      <c r="E33">
        <v>0</v>
      </c>
      <c r="F33">
        <v>1</v>
      </c>
      <c r="G33">
        <v>0</v>
      </c>
      <c r="H33">
        <v>46</v>
      </c>
      <c r="I33" s="1">
        <f t="shared" si="0"/>
        <v>0.15217391304347827</v>
      </c>
      <c r="J33" t="str">
        <f t="shared" si="1"/>
        <v/>
      </c>
    </row>
    <row r="34" spans="1:10">
      <c r="A34" t="s">
        <v>4</v>
      </c>
      <c r="B34">
        <v>9</v>
      </c>
      <c r="C34">
        <v>5</v>
      </c>
      <c r="D34">
        <v>11</v>
      </c>
      <c r="E34">
        <v>0</v>
      </c>
      <c r="F34">
        <v>0</v>
      </c>
      <c r="G34">
        <v>0</v>
      </c>
      <c r="H34">
        <v>46</v>
      </c>
      <c r="I34" s="1">
        <f t="shared" si="0"/>
        <v>0.2391304347826087</v>
      </c>
      <c r="J34" t="str">
        <f t="shared" si="1"/>
        <v/>
      </c>
    </row>
    <row r="35" spans="1:10">
      <c r="A35" t="s">
        <v>4</v>
      </c>
      <c r="B35">
        <v>9</v>
      </c>
      <c r="C35">
        <v>6</v>
      </c>
      <c r="D35">
        <v>23</v>
      </c>
      <c r="E35">
        <v>0</v>
      </c>
      <c r="F35">
        <v>2</v>
      </c>
      <c r="G35">
        <v>0</v>
      </c>
      <c r="H35">
        <v>46</v>
      </c>
      <c r="I35" s="1">
        <f t="shared" si="0"/>
        <v>0.5</v>
      </c>
      <c r="J35" t="str">
        <f t="shared" si="1"/>
        <v/>
      </c>
    </row>
    <row r="36" spans="1:10">
      <c r="A36" t="s">
        <v>4</v>
      </c>
      <c r="B36">
        <v>9</v>
      </c>
      <c r="C36">
        <v>7</v>
      </c>
      <c r="D36">
        <v>35</v>
      </c>
      <c r="E36">
        <v>0</v>
      </c>
      <c r="F36">
        <v>1</v>
      </c>
      <c r="G36">
        <v>0</v>
      </c>
      <c r="H36">
        <v>46</v>
      </c>
      <c r="I36" s="1">
        <f t="shared" si="0"/>
        <v>0.76086956521739135</v>
      </c>
      <c r="J36" t="str">
        <f t="shared" si="1"/>
        <v/>
      </c>
    </row>
    <row r="37" spans="1:10">
      <c r="A37" t="s">
        <v>4</v>
      </c>
      <c r="B37">
        <v>9</v>
      </c>
      <c r="C37">
        <v>8</v>
      </c>
      <c r="D37">
        <v>42</v>
      </c>
      <c r="E37">
        <v>0</v>
      </c>
      <c r="F37">
        <v>1</v>
      </c>
      <c r="G37">
        <v>0</v>
      </c>
      <c r="H37">
        <v>46</v>
      </c>
      <c r="I37" s="1">
        <f t="shared" si="0"/>
        <v>0.91304347826086951</v>
      </c>
      <c r="J37" t="str">
        <f t="shared" si="1"/>
        <v/>
      </c>
    </row>
    <row r="38" spans="1:10">
      <c r="A38" t="s">
        <v>4</v>
      </c>
      <c r="B38">
        <v>9</v>
      </c>
      <c r="C38">
        <v>9</v>
      </c>
      <c r="D38">
        <v>46</v>
      </c>
      <c r="E38">
        <v>0</v>
      </c>
      <c r="F38">
        <v>0</v>
      </c>
      <c r="G38">
        <v>0</v>
      </c>
      <c r="H38">
        <v>46</v>
      </c>
      <c r="I38" s="1">
        <f t="shared" si="0"/>
        <v>1</v>
      </c>
      <c r="J38" t="str">
        <f t="shared" si="1"/>
        <v/>
      </c>
    </row>
    <row r="39" spans="1:10">
      <c r="A39" t="s">
        <v>4</v>
      </c>
      <c r="B39">
        <v>9</v>
      </c>
      <c r="C39">
        <v>10</v>
      </c>
      <c r="D39">
        <v>46</v>
      </c>
      <c r="E39">
        <v>0</v>
      </c>
      <c r="F39">
        <v>0</v>
      </c>
      <c r="G39">
        <v>0</v>
      </c>
      <c r="H39">
        <v>46</v>
      </c>
      <c r="I39" s="1">
        <f t="shared" si="0"/>
        <v>1</v>
      </c>
      <c r="J39" t="str">
        <f t="shared" si="1"/>
        <v/>
      </c>
    </row>
    <row r="40" spans="1:10">
      <c r="A40" t="s">
        <v>32</v>
      </c>
      <c r="B40">
        <v>2</v>
      </c>
      <c r="C40">
        <v>1</v>
      </c>
      <c r="D40">
        <v>6</v>
      </c>
      <c r="E40">
        <v>0</v>
      </c>
      <c r="F40">
        <v>2</v>
      </c>
      <c r="G40">
        <v>0</v>
      </c>
      <c r="H40">
        <v>31</v>
      </c>
      <c r="I40" s="1">
        <f t="shared" si="0"/>
        <v>0.19354838709677419</v>
      </c>
      <c r="J40" t="str">
        <f t="shared" si="1"/>
        <v/>
      </c>
    </row>
    <row r="41" spans="1:10">
      <c r="A41" t="s">
        <v>32</v>
      </c>
      <c r="B41">
        <v>2</v>
      </c>
      <c r="C41">
        <v>2</v>
      </c>
      <c r="D41">
        <v>17</v>
      </c>
      <c r="E41">
        <v>0</v>
      </c>
      <c r="F41">
        <v>3</v>
      </c>
      <c r="G41">
        <v>0</v>
      </c>
      <c r="H41">
        <v>31</v>
      </c>
      <c r="I41" s="1">
        <f t="shared" si="0"/>
        <v>0.54838709677419351</v>
      </c>
      <c r="J41" t="str">
        <f t="shared" si="1"/>
        <v/>
      </c>
    </row>
    <row r="42" spans="1:10">
      <c r="A42" t="s">
        <v>32</v>
      </c>
      <c r="B42">
        <v>2</v>
      </c>
      <c r="C42">
        <v>3</v>
      </c>
      <c r="D42">
        <v>29</v>
      </c>
      <c r="E42">
        <v>0</v>
      </c>
      <c r="F42">
        <v>2</v>
      </c>
      <c r="G42">
        <v>0</v>
      </c>
      <c r="H42">
        <v>31</v>
      </c>
      <c r="I42" s="1">
        <f t="shared" si="0"/>
        <v>0.93548387096774188</v>
      </c>
      <c r="J42" t="str">
        <f t="shared" si="1"/>
        <v/>
      </c>
    </row>
    <row r="43" spans="1:10">
      <c r="A43" t="s">
        <v>32</v>
      </c>
      <c r="B43">
        <v>2</v>
      </c>
      <c r="C43">
        <v>4</v>
      </c>
      <c r="D43">
        <v>31</v>
      </c>
      <c r="E43">
        <v>0</v>
      </c>
      <c r="F43">
        <v>0</v>
      </c>
      <c r="G43">
        <v>0</v>
      </c>
      <c r="H43">
        <v>31</v>
      </c>
      <c r="I43" s="1">
        <f t="shared" si="0"/>
        <v>1</v>
      </c>
      <c r="J43" t="str">
        <f t="shared" si="1"/>
        <v/>
      </c>
    </row>
    <row r="44" spans="1:10">
      <c r="A44" t="s">
        <v>32</v>
      </c>
      <c r="B44">
        <v>4</v>
      </c>
      <c r="C44">
        <v>1</v>
      </c>
      <c r="D44">
        <v>6</v>
      </c>
      <c r="E44">
        <v>0</v>
      </c>
      <c r="F44">
        <v>2</v>
      </c>
      <c r="G44">
        <v>0</v>
      </c>
      <c r="H44">
        <v>31</v>
      </c>
      <c r="I44" s="1">
        <f t="shared" si="0"/>
        <v>0.19354838709677419</v>
      </c>
      <c r="J44" t="str">
        <f t="shared" si="1"/>
        <v/>
      </c>
    </row>
    <row r="45" spans="1:10">
      <c r="A45" t="s">
        <v>32</v>
      </c>
      <c r="B45">
        <v>4</v>
      </c>
      <c r="C45">
        <v>2</v>
      </c>
      <c r="D45">
        <v>17</v>
      </c>
      <c r="E45">
        <v>0</v>
      </c>
      <c r="F45">
        <v>3</v>
      </c>
      <c r="G45">
        <v>0</v>
      </c>
      <c r="H45">
        <v>31</v>
      </c>
      <c r="I45" s="1">
        <f t="shared" si="0"/>
        <v>0.54838709677419351</v>
      </c>
      <c r="J45" t="str">
        <f t="shared" si="1"/>
        <v/>
      </c>
    </row>
    <row r="46" spans="1:10">
      <c r="A46" t="s">
        <v>32</v>
      </c>
      <c r="B46">
        <v>4</v>
      </c>
      <c r="C46">
        <v>3</v>
      </c>
      <c r="D46">
        <v>29</v>
      </c>
      <c r="E46">
        <v>0</v>
      </c>
      <c r="F46">
        <v>2</v>
      </c>
      <c r="G46">
        <v>0</v>
      </c>
      <c r="H46">
        <v>31</v>
      </c>
      <c r="I46" s="1">
        <f t="shared" si="0"/>
        <v>0.93548387096774188</v>
      </c>
      <c r="J46" t="str">
        <f t="shared" si="1"/>
        <v/>
      </c>
    </row>
    <row r="47" spans="1:10">
      <c r="A47" t="s">
        <v>32</v>
      </c>
      <c r="B47">
        <v>4</v>
      </c>
      <c r="C47">
        <v>4</v>
      </c>
      <c r="D47">
        <v>31</v>
      </c>
      <c r="E47">
        <v>0</v>
      </c>
      <c r="F47">
        <v>0</v>
      </c>
      <c r="G47">
        <v>0</v>
      </c>
      <c r="H47">
        <v>31</v>
      </c>
      <c r="I47" s="1">
        <f t="shared" si="0"/>
        <v>1</v>
      </c>
      <c r="J47" t="str">
        <f t="shared" si="1"/>
        <v/>
      </c>
    </row>
    <row r="48" spans="1:10">
      <c r="A48" t="s">
        <v>32</v>
      </c>
      <c r="B48">
        <v>13</v>
      </c>
      <c r="C48">
        <v>1</v>
      </c>
      <c r="D48">
        <v>7</v>
      </c>
      <c r="E48">
        <v>0</v>
      </c>
      <c r="F48">
        <v>1</v>
      </c>
      <c r="G48">
        <v>0</v>
      </c>
      <c r="H48">
        <v>8</v>
      </c>
      <c r="I48" s="1">
        <f t="shared" si="0"/>
        <v>0.875</v>
      </c>
      <c r="J48" t="str">
        <f t="shared" si="1"/>
        <v/>
      </c>
    </row>
    <row r="49" spans="1:10">
      <c r="A49" t="s">
        <v>32</v>
      </c>
      <c r="B49">
        <v>13</v>
      </c>
      <c r="C49">
        <v>2</v>
      </c>
      <c r="D49">
        <v>8</v>
      </c>
      <c r="E49">
        <v>0</v>
      </c>
      <c r="F49">
        <v>0</v>
      </c>
      <c r="G49">
        <v>0</v>
      </c>
      <c r="H49">
        <v>8</v>
      </c>
      <c r="I49" s="1">
        <f t="shared" si="0"/>
        <v>1</v>
      </c>
      <c r="J49" t="str">
        <f t="shared" si="1"/>
        <v/>
      </c>
    </row>
    <row r="50" spans="1:10">
      <c r="A50" t="s">
        <v>32</v>
      </c>
      <c r="B50">
        <v>16</v>
      </c>
      <c r="C50">
        <v>1</v>
      </c>
      <c r="D50">
        <v>3</v>
      </c>
      <c r="E50">
        <v>0</v>
      </c>
      <c r="F50">
        <v>0</v>
      </c>
      <c r="G50">
        <v>0</v>
      </c>
      <c r="H50">
        <v>183</v>
      </c>
      <c r="I50" s="1">
        <f t="shared" si="0"/>
        <v>1.6393442622950821E-2</v>
      </c>
      <c r="J50" t="str">
        <f t="shared" si="1"/>
        <v/>
      </c>
    </row>
    <row r="51" spans="1:10">
      <c r="A51" t="s">
        <v>32</v>
      </c>
      <c r="B51">
        <v>16</v>
      </c>
      <c r="C51">
        <v>2</v>
      </c>
      <c r="D51">
        <v>6</v>
      </c>
      <c r="E51">
        <v>0</v>
      </c>
      <c r="F51">
        <v>1</v>
      </c>
      <c r="G51">
        <v>0</v>
      </c>
      <c r="H51">
        <v>183</v>
      </c>
      <c r="I51" s="1">
        <f t="shared" si="0"/>
        <v>3.2786885245901641E-2</v>
      </c>
      <c r="J51" t="str">
        <f t="shared" si="1"/>
        <v/>
      </c>
    </row>
    <row r="52" spans="1:10">
      <c r="A52" t="s">
        <v>32</v>
      </c>
      <c r="B52">
        <v>16</v>
      </c>
      <c r="C52">
        <v>3</v>
      </c>
      <c r="D52">
        <v>149</v>
      </c>
      <c r="E52">
        <v>0</v>
      </c>
      <c r="F52">
        <v>1</v>
      </c>
      <c r="G52">
        <v>0</v>
      </c>
      <c r="H52">
        <v>183</v>
      </c>
      <c r="I52" s="1">
        <f t="shared" si="0"/>
        <v>0.81420765027322406</v>
      </c>
      <c r="J52" t="str">
        <f t="shared" si="1"/>
        <v/>
      </c>
    </row>
    <row r="53" spans="1:10">
      <c r="A53" t="s">
        <v>32</v>
      </c>
      <c r="B53">
        <v>16</v>
      </c>
      <c r="C53">
        <v>4</v>
      </c>
      <c r="D53">
        <v>183</v>
      </c>
      <c r="E53">
        <v>0</v>
      </c>
      <c r="F53">
        <v>0</v>
      </c>
      <c r="G53">
        <v>0</v>
      </c>
      <c r="H53">
        <v>183</v>
      </c>
      <c r="I53" s="1">
        <f t="shared" si="0"/>
        <v>1</v>
      </c>
      <c r="J53" t="str">
        <f t="shared" si="1"/>
        <v/>
      </c>
    </row>
    <row r="54" spans="1:10">
      <c r="A54" t="s">
        <v>32</v>
      </c>
      <c r="B54">
        <v>18</v>
      </c>
      <c r="C54">
        <v>1</v>
      </c>
      <c r="D54">
        <v>3</v>
      </c>
      <c r="E54">
        <v>0</v>
      </c>
      <c r="F54">
        <v>1</v>
      </c>
      <c r="G54">
        <v>0</v>
      </c>
      <c r="H54">
        <v>141</v>
      </c>
      <c r="I54" s="1">
        <f t="shared" si="0"/>
        <v>2.1276595744680851E-2</v>
      </c>
      <c r="J54" t="str">
        <f t="shared" si="1"/>
        <v/>
      </c>
    </row>
    <row r="55" spans="1:10">
      <c r="A55" t="s">
        <v>32</v>
      </c>
      <c r="B55">
        <v>18</v>
      </c>
      <c r="C55">
        <v>2</v>
      </c>
      <c r="D55">
        <v>6</v>
      </c>
      <c r="E55">
        <v>0</v>
      </c>
      <c r="F55">
        <v>1</v>
      </c>
      <c r="G55">
        <v>0</v>
      </c>
      <c r="H55">
        <v>141</v>
      </c>
      <c r="I55" s="1">
        <f t="shared" si="0"/>
        <v>4.2553191489361701E-2</v>
      </c>
      <c r="J55" t="str">
        <f t="shared" si="1"/>
        <v/>
      </c>
    </row>
    <row r="56" spans="1:10">
      <c r="A56" t="s">
        <v>32</v>
      </c>
      <c r="B56">
        <v>18</v>
      </c>
      <c r="C56">
        <v>3</v>
      </c>
      <c r="D56">
        <v>17</v>
      </c>
      <c r="E56">
        <v>0</v>
      </c>
      <c r="F56">
        <v>1</v>
      </c>
      <c r="G56">
        <v>0</v>
      </c>
      <c r="H56">
        <v>141</v>
      </c>
      <c r="I56" s="1">
        <f t="shared" si="0"/>
        <v>0.12056737588652482</v>
      </c>
      <c r="J56" t="str">
        <f t="shared" si="1"/>
        <v/>
      </c>
    </row>
    <row r="57" spans="1:10">
      <c r="A57" t="s">
        <v>32</v>
      </c>
      <c r="B57">
        <v>18</v>
      </c>
      <c r="C57">
        <v>4</v>
      </c>
      <c r="D57">
        <v>23</v>
      </c>
      <c r="E57">
        <v>0</v>
      </c>
      <c r="F57">
        <v>1</v>
      </c>
      <c r="G57">
        <v>0</v>
      </c>
      <c r="H57">
        <v>141</v>
      </c>
      <c r="I57" s="1">
        <f t="shared" si="0"/>
        <v>0.16312056737588654</v>
      </c>
      <c r="J57" t="str">
        <f t="shared" si="1"/>
        <v/>
      </c>
    </row>
    <row r="58" spans="1:10">
      <c r="A58" t="s">
        <v>32</v>
      </c>
      <c r="B58">
        <v>18</v>
      </c>
      <c r="C58">
        <v>5</v>
      </c>
      <c r="D58">
        <v>35</v>
      </c>
      <c r="E58">
        <v>0</v>
      </c>
      <c r="F58">
        <v>5</v>
      </c>
      <c r="G58">
        <v>0</v>
      </c>
      <c r="H58">
        <v>141</v>
      </c>
      <c r="I58" s="1">
        <f t="shared" si="0"/>
        <v>0.24822695035460993</v>
      </c>
      <c r="J58" t="str">
        <f t="shared" si="1"/>
        <v/>
      </c>
    </row>
    <row r="59" spans="1:10">
      <c r="A59" t="s">
        <v>32</v>
      </c>
      <c r="B59">
        <v>18</v>
      </c>
      <c r="C59">
        <v>6</v>
      </c>
      <c r="D59">
        <v>38</v>
      </c>
      <c r="E59">
        <v>0</v>
      </c>
      <c r="F59">
        <v>5</v>
      </c>
      <c r="G59">
        <v>0</v>
      </c>
      <c r="H59">
        <v>141</v>
      </c>
      <c r="I59" s="1">
        <f t="shared" si="0"/>
        <v>0.26950354609929078</v>
      </c>
      <c r="J59" t="str">
        <f t="shared" si="1"/>
        <v/>
      </c>
    </row>
    <row r="60" spans="1:10">
      <c r="A60" t="s">
        <v>32</v>
      </c>
      <c r="B60">
        <v>18</v>
      </c>
      <c r="C60">
        <v>7</v>
      </c>
      <c r="D60">
        <v>43</v>
      </c>
      <c r="E60">
        <v>0</v>
      </c>
      <c r="F60">
        <v>6</v>
      </c>
      <c r="G60">
        <v>0</v>
      </c>
      <c r="H60">
        <v>141</v>
      </c>
      <c r="I60" s="1">
        <f t="shared" si="0"/>
        <v>0.30496453900709219</v>
      </c>
      <c r="J60" t="str">
        <f t="shared" si="1"/>
        <v/>
      </c>
    </row>
    <row r="61" spans="1:10">
      <c r="A61" t="s">
        <v>32</v>
      </c>
      <c r="B61">
        <v>18</v>
      </c>
      <c r="C61">
        <v>8</v>
      </c>
      <c r="D61">
        <v>44</v>
      </c>
      <c r="E61">
        <v>0</v>
      </c>
      <c r="F61">
        <v>5</v>
      </c>
      <c r="G61">
        <v>0</v>
      </c>
      <c r="H61">
        <v>141</v>
      </c>
      <c r="I61" s="1">
        <f t="shared" si="0"/>
        <v>0.31205673758865249</v>
      </c>
      <c r="J61" t="str">
        <f t="shared" si="1"/>
        <v/>
      </c>
    </row>
    <row r="62" spans="1:10">
      <c r="A62" t="s">
        <v>32</v>
      </c>
      <c r="B62">
        <v>18</v>
      </c>
      <c r="C62">
        <v>9</v>
      </c>
      <c r="D62">
        <v>47</v>
      </c>
      <c r="E62">
        <v>0</v>
      </c>
      <c r="F62">
        <v>4</v>
      </c>
      <c r="G62">
        <v>0</v>
      </c>
      <c r="H62">
        <v>141</v>
      </c>
      <c r="I62" s="1">
        <f t="shared" si="0"/>
        <v>0.33333333333333331</v>
      </c>
      <c r="J62" t="str">
        <f t="shared" si="1"/>
        <v/>
      </c>
    </row>
    <row r="63" spans="1:10">
      <c r="A63" t="s">
        <v>32</v>
      </c>
      <c r="B63">
        <v>18</v>
      </c>
      <c r="C63">
        <v>10</v>
      </c>
      <c r="D63">
        <v>51</v>
      </c>
      <c r="E63">
        <v>0</v>
      </c>
      <c r="F63">
        <v>4</v>
      </c>
      <c r="G63">
        <v>0</v>
      </c>
      <c r="H63">
        <v>141</v>
      </c>
      <c r="I63" s="1">
        <f t="shared" si="0"/>
        <v>0.36170212765957449</v>
      </c>
      <c r="J63" t="str">
        <f t="shared" si="1"/>
        <v/>
      </c>
    </row>
    <row r="64" spans="1:10">
      <c r="A64" t="s">
        <v>32</v>
      </c>
      <c r="B64">
        <v>18</v>
      </c>
      <c r="C64">
        <v>11</v>
      </c>
      <c r="D64">
        <v>51</v>
      </c>
      <c r="E64">
        <v>0</v>
      </c>
      <c r="F64">
        <v>4</v>
      </c>
      <c r="G64">
        <v>0</v>
      </c>
      <c r="H64">
        <v>141</v>
      </c>
      <c r="I64" s="1">
        <f t="shared" si="0"/>
        <v>0.36170212765957449</v>
      </c>
      <c r="J64" t="str">
        <f t="shared" si="1"/>
        <v/>
      </c>
    </row>
    <row r="65" spans="1:10">
      <c r="A65" t="s">
        <v>32</v>
      </c>
      <c r="B65">
        <v>18</v>
      </c>
      <c r="C65">
        <v>12</v>
      </c>
      <c r="D65">
        <v>51</v>
      </c>
      <c r="E65">
        <v>0</v>
      </c>
      <c r="F65">
        <v>4</v>
      </c>
      <c r="G65">
        <v>0</v>
      </c>
      <c r="H65">
        <v>141</v>
      </c>
      <c r="I65" s="1">
        <f t="shared" si="0"/>
        <v>0.36170212765957449</v>
      </c>
      <c r="J65" t="str">
        <f t="shared" si="1"/>
        <v/>
      </c>
    </row>
    <row r="66" spans="1:10">
      <c r="A66" t="s">
        <v>32</v>
      </c>
      <c r="B66">
        <v>18</v>
      </c>
      <c r="C66">
        <v>13</v>
      </c>
      <c r="D66">
        <v>51</v>
      </c>
      <c r="E66">
        <v>0</v>
      </c>
      <c r="F66">
        <v>4</v>
      </c>
      <c r="G66">
        <v>0</v>
      </c>
      <c r="H66">
        <v>141</v>
      </c>
      <c r="I66" s="1">
        <f t="shared" si="0"/>
        <v>0.36170212765957449</v>
      </c>
      <c r="J66" t="str">
        <f t="shared" si="1"/>
        <v/>
      </c>
    </row>
    <row r="67" spans="1:10">
      <c r="A67" t="s">
        <v>32</v>
      </c>
      <c r="B67">
        <v>18</v>
      </c>
      <c r="C67">
        <v>14</v>
      </c>
      <c r="D67">
        <v>51</v>
      </c>
      <c r="E67">
        <v>0</v>
      </c>
      <c r="F67">
        <v>4</v>
      </c>
      <c r="G67">
        <v>0</v>
      </c>
      <c r="H67">
        <v>141</v>
      </c>
      <c r="I67" s="1">
        <f t="shared" ref="I67:I130" si="2">D67/H67</f>
        <v>0.36170212765957449</v>
      </c>
      <c r="J67" t="str">
        <f t="shared" ref="J67:J130" si="3">IF(I67&gt;1,"!","")</f>
        <v/>
      </c>
    </row>
    <row r="68" spans="1:10">
      <c r="A68" t="s">
        <v>32</v>
      </c>
      <c r="B68">
        <v>18</v>
      </c>
      <c r="C68">
        <v>15</v>
      </c>
      <c r="D68">
        <v>51</v>
      </c>
      <c r="E68">
        <v>0</v>
      </c>
      <c r="F68">
        <v>4</v>
      </c>
      <c r="G68">
        <v>0</v>
      </c>
      <c r="H68">
        <v>141</v>
      </c>
      <c r="I68" s="1">
        <f t="shared" si="2"/>
        <v>0.36170212765957449</v>
      </c>
      <c r="J68" t="str">
        <f t="shared" si="3"/>
        <v/>
      </c>
    </row>
    <row r="69" spans="1:10">
      <c r="A69" t="s">
        <v>32</v>
      </c>
      <c r="B69">
        <v>18</v>
      </c>
      <c r="C69">
        <v>16</v>
      </c>
      <c r="D69">
        <v>51</v>
      </c>
      <c r="E69">
        <v>0</v>
      </c>
      <c r="F69">
        <v>4</v>
      </c>
      <c r="G69">
        <v>0</v>
      </c>
      <c r="H69">
        <v>141</v>
      </c>
      <c r="I69" s="1">
        <f t="shared" si="2"/>
        <v>0.36170212765957449</v>
      </c>
      <c r="J69" t="str">
        <f t="shared" si="3"/>
        <v/>
      </c>
    </row>
    <row r="70" spans="1:10">
      <c r="A70" t="s">
        <v>32</v>
      </c>
      <c r="B70">
        <v>18</v>
      </c>
      <c r="C70">
        <v>17</v>
      </c>
      <c r="D70">
        <v>51</v>
      </c>
      <c r="E70">
        <v>0</v>
      </c>
      <c r="F70">
        <v>4</v>
      </c>
      <c r="G70">
        <v>0</v>
      </c>
      <c r="H70">
        <v>141</v>
      </c>
      <c r="I70" s="1">
        <f t="shared" si="2"/>
        <v>0.36170212765957449</v>
      </c>
      <c r="J70" t="str">
        <f t="shared" si="3"/>
        <v/>
      </c>
    </row>
    <row r="71" spans="1:10">
      <c r="A71" t="s">
        <v>32</v>
      </c>
      <c r="B71">
        <v>18</v>
      </c>
      <c r="C71">
        <v>18</v>
      </c>
      <c r="D71">
        <v>51</v>
      </c>
      <c r="E71">
        <v>0</v>
      </c>
      <c r="F71">
        <v>4</v>
      </c>
      <c r="G71">
        <v>0</v>
      </c>
      <c r="H71">
        <v>141</v>
      </c>
      <c r="I71" s="1">
        <f t="shared" si="2"/>
        <v>0.36170212765957449</v>
      </c>
      <c r="J71" t="str">
        <f t="shared" si="3"/>
        <v/>
      </c>
    </row>
    <row r="72" spans="1:10">
      <c r="A72" t="s">
        <v>32</v>
      </c>
      <c r="B72">
        <v>18</v>
      </c>
      <c r="C72">
        <v>19</v>
      </c>
      <c r="D72">
        <v>109</v>
      </c>
      <c r="E72">
        <v>0</v>
      </c>
      <c r="F72">
        <v>3</v>
      </c>
      <c r="G72">
        <v>0</v>
      </c>
      <c r="H72">
        <v>141</v>
      </c>
      <c r="I72" s="1">
        <f t="shared" si="2"/>
        <v>0.77304964539007093</v>
      </c>
      <c r="J72" t="str">
        <f t="shared" si="3"/>
        <v/>
      </c>
    </row>
    <row r="73" spans="1:10">
      <c r="A73" t="s">
        <v>32</v>
      </c>
      <c r="B73">
        <v>18</v>
      </c>
      <c r="C73">
        <v>20</v>
      </c>
      <c r="D73">
        <v>122</v>
      </c>
      <c r="E73">
        <v>0</v>
      </c>
      <c r="F73">
        <v>2</v>
      </c>
      <c r="G73">
        <v>0</v>
      </c>
      <c r="H73">
        <v>141</v>
      </c>
      <c r="I73" s="1">
        <f t="shared" si="2"/>
        <v>0.86524822695035464</v>
      </c>
      <c r="J73" t="str">
        <f t="shared" si="3"/>
        <v/>
      </c>
    </row>
    <row r="74" spans="1:10">
      <c r="A74" t="s">
        <v>32</v>
      </c>
      <c r="B74">
        <v>18</v>
      </c>
      <c r="C74">
        <v>21</v>
      </c>
      <c r="D74">
        <v>141</v>
      </c>
      <c r="E74">
        <v>0</v>
      </c>
      <c r="F74">
        <v>0</v>
      </c>
      <c r="G74">
        <v>0</v>
      </c>
      <c r="H74">
        <v>141</v>
      </c>
      <c r="I74" s="1">
        <f t="shared" si="2"/>
        <v>1</v>
      </c>
      <c r="J74" t="str">
        <f t="shared" si="3"/>
        <v/>
      </c>
    </row>
    <row r="75" spans="1:10">
      <c r="A75" t="s">
        <v>32</v>
      </c>
      <c r="B75">
        <v>18</v>
      </c>
      <c r="C75">
        <v>22</v>
      </c>
      <c r="D75">
        <v>141</v>
      </c>
      <c r="E75">
        <v>0</v>
      </c>
      <c r="F75">
        <v>0</v>
      </c>
      <c r="G75">
        <v>0</v>
      </c>
      <c r="H75">
        <v>141</v>
      </c>
      <c r="I75" s="1">
        <f t="shared" si="2"/>
        <v>1</v>
      </c>
      <c r="J75" t="str">
        <f t="shared" si="3"/>
        <v/>
      </c>
    </row>
    <row r="76" spans="1:10">
      <c r="A76" t="s">
        <v>32</v>
      </c>
      <c r="B76">
        <v>18</v>
      </c>
      <c r="C76">
        <v>23</v>
      </c>
      <c r="D76">
        <v>141</v>
      </c>
      <c r="E76">
        <v>0</v>
      </c>
      <c r="F76">
        <v>0</v>
      </c>
      <c r="G76">
        <v>0</v>
      </c>
      <c r="H76">
        <v>141</v>
      </c>
      <c r="I76" s="1">
        <f t="shared" si="2"/>
        <v>1</v>
      </c>
      <c r="J76" t="str">
        <f t="shared" si="3"/>
        <v/>
      </c>
    </row>
    <row r="77" spans="1:10">
      <c r="A77" t="s">
        <v>32</v>
      </c>
      <c r="B77">
        <v>18</v>
      </c>
      <c r="C77">
        <v>24</v>
      </c>
      <c r="D77">
        <v>141</v>
      </c>
      <c r="E77">
        <v>0</v>
      </c>
      <c r="F77">
        <v>0</v>
      </c>
      <c r="G77">
        <v>0</v>
      </c>
      <c r="H77">
        <v>141</v>
      </c>
      <c r="I77" s="1">
        <f t="shared" si="2"/>
        <v>1</v>
      </c>
      <c r="J77" t="str">
        <f t="shared" si="3"/>
        <v/>
      </c>
    </row>
    <row r="78" spans="1:10">
      <c r="A78" t="s">
        <v>32</v>
      </c>
      <c r="B78">
        <v>18</v>
      </c>
      <c r="C78">
        <v>25</v>
      </c>
      <c r="D78">
        <v>141</v>
      </c>
      <c r="E78">
        <v>0</v>
      </c>
      <c r="F78">
        <v>0</v>
      </c>
      <c r="G78">
        <v>0</v>
      </c>
      <c r="H78">
        <v>141</v>
      </c>
      <c r="I78" s="1">
        <f t="shared" si="2"/>
        <v>1</v>
      </c>
      <c r="J78" t="str">
        <f t="shared" si="3"/>
        <v/>
      </c>
    </row>
    <row r="79" spans="1:10">
      <c r="A79" t="s">
        <v>32</v>
      </c>
      <c r="B79">
        <v>19</v>
      </c>
      <c r="C79">
        <v>1</v>
      </c>
      <c r="D79">
        <v>3</v>
      </c>
      <c r="E79">
        <v>0</v>
      </c>
      <c r="F79">
        <v>1</v>
      </c>
      <c r="G79">
        <v>0</v>
      </c>
      <c r="H79">
        <v>127</v>
      </c>
      <c r="I79" s="1">
        <f t="shared" si="2"/>
        <v>2.3622047244094488E-2</v>
      </c>
      <c r="J79" t="str">
        <f t="shared" si="3"/>
        <v/>
      </c>
    </row>
    <row r="80" spans="1:10">
      <c r="A80" t="s">
        <v>32</v>
      </c>
      <c r="B80">
        <v>19</v>
      </c>
      <c r="C80">
        <v>2</v>
      </c>
      <c r="D80">
        <v>6</v>
      </c>
      <c r="E80">
        <v>0</v>
      </c>
      <c r="F80">
        <v>1</v>
      </c>
      <c r="G80">
        <v>0</v>
      </c>
      <c r="H80">
        <v>127</v>
      </c>
      <c r="I80" s="1">
        <f t="shared" si="2"/>
        <v>4.7244094488188976E-2</v>
      </c>
      <c r="J80" t="str">
        <f t="shared" si="3"/>
        <v/>
      </c>
    </row>
    <row r="81" spans="1:10">
      <c r="A81" t="s">
        <v>32</v>
      </c>
      <c r="B81">
        <v>19</v>
      </c>
      <c r="C81">
        <v>3</v>
      </c>
      <c r="D81">
        <v>61</v>
      </c>
      <c r="E81">
        <v>0</v>
      </c>
      <c r="F81">
        <v>1</v>
      </c>
      <c r="G81">
        <v>0</v>
      </c>
      <c r="H81">
        <v>127</v>
      </c>
      <c r="I81" s="1">
        <f t="shared" si="2"/>
        <v>0.48031496062992124</v>
      </c>
      <c r="J81" t="str">
        <f t="shared" si="3"/>
        <v/>
      </c>
    </row>
    <row r="82" spans="1:10">
      <c r="A82" t="s">
        <v>32</v>
      </c>
      <c r="B82">
        <v>19</v>
      </c>
      <c r="C82">
        <v>4</v>
      </c>
      <c r="D82">
        <v>78</v>
      </c>
      <c r="E82">
        <v>0</v>
      </c>
      <c r="F82">
        <v>6</v>
      </c>
      <c r="G82">
        <v>0</v>
      </c>
      <c r="H82">
        <v>127</v>
      </c>
      <c r="I82" s="1">
        <f t="shared" si="2"/>
        <v>0.61417322834645671</v>
      </c>
      <c r="J82" t="str">
        <f t="shared" si="3"/>
        <v/>
      </c>
    </row>
    <row r="83" spans="1:10">
      <c r="A83" t="s">
        <v>32</v>
      </c>
      <c r="B83">
        <v>19</v>
      </c>
      <c r="C83">
        <v>5</v>
      </c>
      <c r="D83">
        <v>81</v>
      </c>
      <c r="E83">
        <v>0</v>
      </c>
      <c r="F83">
        <v>5</v>
      </c>
      <c r="G83">
        <v>0</v>
      </c>
      <c r="H83">
        <v>127</v>
      </c>
      <c r="I83" s="1">
        <f t="shared" si="2"/>
        <v>0.63779527559055116</v>
      </c>
      <c r="J83" t="str">
        <f t="shared" si="3"/>
        <v/>
      </c>
    </row>
    <row r="84" spans="1:10">
      <c r="A84" t="s">
        <v>32</v>
      </c>
      <c r="B84">
        <v>19</v>
      </c>
      <c r="C84">
        <v>6</v>
      </c>
      <c r="D84">
        <v>97</v>
      </c>
      <c r="E84">
        <v>0</v>
      </c>
      <c r="F84">
        <v>5</v>
      </c>
      <c r="G84">
        <v>0</v>
      </c>
      <c r="H84">
        <v>127</v>
      </c>
      <c r="I84" s="1">
        <f t="shared" si="2"/>
        <v>0.76377952755905509</v>
      </c>
      <c r="J84" t="str">
        <f t="shared" si="3"/>
        <v/>
      </c>
    </row>
    <row r="85" spans="1:10">
      <c r="A85" t="s">
        <v>32</v>
      </c>
      <c r="B85">
        <v>19</v>
      </c>
      <c r="C85">
        <v>7</v>
      </c>
      <c r="D85">
        <v>103</v>
      </c>
      <c r="E85">
        <v>0</v>
      </c>
      <c r="F85">
        <v>6</v>
      </c>
      <c r="G85">
        <v>0</v>
      </c>
      <c r="H85">
        <v>127</v>
      </c>
      <c r="I85" s="1">
        <f t="shared" si="2"/>
        <v>0.8110236220472441</v>
      </c>
      <c r="J85" t="str">
        <f t="shared" si="3"/>
        <v/>
      </c>
    </row>
    <row r="86" spans="1:10">
      <c r="A86" t="s">
        <v>32</v>
      </c>
      <c r="B86">
        <v>19</v>
      </c>
      <c r="C86">
        <v>8</v>
      </c>
      <c r="D86">
        <v>108</v>
      </c>
      <c r="E86">
        <v>0</v>
      </c>
      <c r="F86">
        <v>7</v>
      </c>
      <c r="G86">
        <v>0</v>
      </c>
      <c r="H86">
        <v>127</v>
      </c>
      <c r="I86" s="1">
        <f t="shared" si="2"/>
        <v>0.85039370078740162</v>
      </c>
      <c r="J86" t="str">
        <f t="shared" si="3"/>
        <v/>
      </c>
    </row>
    <row r="87" spans="1:10">
      <c r="A87" t="s">
        <v>32</v>
      </c>
      <c r="B87">
        <v>19</v>
      </c>
      <c r="C87">
        <v>9</v>
      </c>
      <c r="D87">
        <v>109</v>
      </c>
      <c r="E87">
        <v>0</v>
      </c>
      <c r="F87">
        <v>6</v>
      </c>
      <c r="G87">
        <v>0</v>
      </c>
      <c r="H87">
        <v>127</v>
      </c>
      <c r="I87" s="1">
        <f t="shared" si="2"/>
        <v>0.8582677165354331</v>
      </c>
      <c r="J87" t="str">
        <f t="shared" si="3"/>
        <v/>
      </c>
    </row>
    <row r="88" spans="1:10">
      <c r="A88" t="s">
        <v>32</v>
      </c>
      <c r="B88">
        <v>19</v>
      </c>
      <c r="C88">
        <v>10</v>
      </c>
      <c r="D88">
        <v>110</v>
      </c>
      <c r="E88">
        <v>0</v>
      </c>
      <c r="F88">
        <v>5</v>
      </c>
      <c r="G88">
        <v>0</v>
      </c>
      <c r="H88">
        <v>127</v>
      </c>
      <c r="I88" s="1">
        <f t="shared" si="2"/>
        <v>0.86614173228346458</v>
      </c>
      <c r="J88" t="str">
        <f t="shared" si="3"/>
        <v/>
      </c>
    </row>
    <row r="89" spans="1:10">
      <c r="A89" t="s">
        <v>32</v>
      </c>
      <c r="B89">
        <v>19</v>
      </c>
      <c r="C89">
        <v>11</v>
      </c>
      <c r="D89">
        <v>115</v>
      </c>
      <c r="E89">
        <v>0</v>
      </c>
      <c r="F89">
        <v>3</v>
      </c>
      <c r="G89">
        <v>0</v>
      </c>
      <c r="H89">
        <v>127</v>
      </c>
      <c r="I89" s="1">
        <f t="shared" si="2"/>
        <v>0.90551181102362199</v>
      </c>
      <c r="J89" t="str">
        <f t="shared" si="3"/>
        <v/>
      </c>
    </row>
    <row r="90" spans="1:10">
      <c r="A90" t="s">
        <v>32</v>
      </c>
      <c r="B90">
        <v>19</v>
      </c>
      <c r="C90">
        <v>12</v>
      </c>
      <c r="D90">
        <v>115</v>
      </c>
      <c r="E90">
        <v>0</v>
      </c>
      <c r="F90">
        <v>3</v>
      </c>
      <c r="G90">
        <v>0</v>
      </c>
      <c r="H90">
        <v>127</v>
      </c>
      <c r="I90" s="1">
        <f t="shared" si="2"/>
        <v>0.90551181102362199</v>
      </c>
      <c r="J90" t="str">
        <f t="shared" si="3"/>
        <v/>
      </c>
    </row>
    <row r="91" spans="1:10">
      <c r="A91" t="s">
        <v>32</v>
      </c>
      <c r="B91">
        <v>19</v>
      </c>
      <c r="C91">
        <v>13</v>
      </c>
      <c r="D91">
        <v>115</v>
      </c>
      <c r="E91">
        <v>0</v>
      </c>
      <c r="F91">
        <v>3</v>
      </c>
      <c r="G91">
        <v>0</v>
      </c>
      <c r="H91">
        <v>127</v>
      </c>
      <c r="I91" s="1">
        <f t="shared" si="2"/>
        <v>0.90551181102362199</v>
      </c>
      <c r="J91" t="str">
        <f t="shared" si="3"/>
        <v/>
      </c>
    </row>
    <row r="92" spans="1:10">
      <c r="A92" t="s">
        <v>32</v>
      </c>
      <c r="B92">
        <v>19</v>
      </c>
      <c r="C92">
        <v>14</v>
      </c>
      <c r="D92">
        <v>115</v>
      </c>
      <c r="E92">
        <v>0</v>
      </c>
      <c r="F92">
        <v>3</v>
      </c>
      <c r="G92">
        <v>0</v>
      </c>
      <c r="H92">
        <v>127</v>
      </c>
      <c r="I92" s="1">
        <f t="shared" si="2"/>
        <v>0.90551181102362199</v>
      </c>
      <c r="J92" t="str">
        <f t="shared" si="3"/>
        <v/>
      </c>
    </row>
    <row r="93" spans="1:10">
      <c r="A93" t="s">
        <v>32</v>
      </c>
      <c r="B93">
        <v>19</v>
      </c>
      <c r="C93">
        <v>15</v>
      </c>
      <c r="D93">
        <v>115</v>
      </c>
      <c r="E93">
        <v>0</v>
      </c>
      <c r="F93">
        <v>3</v>
      </c>
      <c r="G93">
        <v>0</v>
      </c>
      <c r="H93">
        <v>127</v>
      </c>
      <c r="I93" s="1">
        <f t="shared" si="2"/>
        <v>0.90551181102362199</v>
      </c>
      <c r="J93" t="str">
        <f t="shared" si="3"/>
        <v/>
      </c>
    </row>
    <row r="94" spans="1:10">
      <c r="A94" t="s">
        <v>32</v>
      </c>
      <c r="B94">
        <v>19</v>
      </c>
      <c r="C94">
        <v>16</v>
      </c>
      <c r="D94">
        <v>115</v>
      </c>
      <c r="E94">
        <v>0</v>
      </c>
      <c r="F94">
        <v>3</v>
      </c>
      <c r="G94">
        <v>0</v>
      </c>
      <c r="H94">
        <v>127</v>
      </c>
      <c r="I94" s="1">
        <f t="shared" si="2"/>
        <v>0.90551181102362199</v>
      </c>
      <c r="J94" t="str">
        <f t="shared" si="3"/>
        <v/>
      </c>
    </row>
    <row r="95" spans="1:10">
      <c r="A95" t="s">
        <v>32</v>
      </c>
      <c r="B95">
        <v>19</v>
      </c>
      <c r="C95">
        <v>17</v>
      </c>
      <c r="D95">
        <v>115</v>
      </c>
      <c r="E95">
        <v>0</v>
      </c>
      <c r="F95">
        <v>3</v>
      </c>
      <c r="G95">
        <v>0</v>
      </c>
      <c r="H95">
        <v>127</v>
      </c>
      <c r="I95" s="1">
        <f t="shared" si="2"/>
        <v>0.90551181102362199</v>
      </c>
      <c r="J95" t="str">
        <f t="shared" si="3"/>
        <v/>
      </c>
    </row>
    <row r="96" spans="1:10">
      <c r="A96" t="s">
        <v>32</v>
      </c>
      <c r="B96">
        <v>19</v>
      </c>
      <c r="C96">
        <v>18</v>
      </c>
      <c r="D96">
        <v>126</v>
      </c>
      <c r="E96">
        <v>0</v>
      </c>
      <c r="F96">
        <v>1</v>
      </c>
      <c r="G96">
        <v>0</v>
      </c>
      <c r="H96">
        <v>127</v>
      </c>
      <c r="I96" s="1">
        <f t="shared" si="2"/>
        <v>0.99212598425196852</v>
      </c>
      <c r="J96" t="str">
        <f t="shared" si="3"/>
        <v/>
      </c>
    </row>
    <row r="97" spans="1:10">
      <c r="A97" t="s">
        <v>32</v>
      </c>
      <c r="B97">
        <v>19</v>
      </c>
      <c r="C97">
        <v>19</v>
      </c>
      <c r="D97">
        <v>126</v>
      </c>
      <c r="E97">
        <v>0</v>
      </c>
      <c r="F97">
        <v>1</v>
      </c>
      <c r="G97">
        <v>0</v>
      </c>
      <c r="H97">
        <v>127</v>
      </c>
      <c r="I97" s="1">
        <f t="shared" si="2"/>
        <v>0.99212598425196852</v>
      </c>
      <c r="J97" t="str">
        <f t="shared" si="3"/>
        <v/>
      </c>
    </row>
    <row r="98" spans="1:10">
      <c r="A98" t="s">
        <v>32</v>
      </c>
      <c r="B98">
        <v>19</v>
      </c>
      <c r="C98">
        <v>20</v>
      </c>
      <c r="D98">
        <v>126</v>
      </c>
      <c r="E98">
        <v>0</v>
      </c>
      <c r="F98">
        <v>1</v>
      </c>
      <c r="G98">
        <v>0</v>
      </c>
      <c r="H98">
        <v>127</v>
      </c>
      <c r="I98" s="1">
        <f t="shared" si="2"/>
        <v>0.99212598425196852</v>
      </c>
      <c r="J98" t="str">
        <f t="shared" si="3"/>
        <v/>
      </c>
    </row>
    <row r="99" spans="1:10">
      <c r="A99" t="s">
        <v>32</v>
      </c>
      <c r="B99">
        <v>19</v>
      </c>
      <c r="C99">
        <v>21</v>
      </c>
      <c r="D99">
        <v>126</v>
      </c>
      <c r="E99">
        <v>0</v>
      </c>
      <c r="F99">
        <v>1</v>
      </c>
      <c r="G99">
        <v>0</v>
      </c>
      <c r="H99">
        <v>127</v>
      </c>
      <c r="I99" s="1">
        <f t="shared" si="2"/>
        <v>0.99212598425196852</v>
      </c>
      <c r="J99" t="str">
        <f t="shared" si="3"/>
        <v/>
      </c>
    </row>
    <row r="100" spans="1:10">
      <c r="A100" t="s">
        <v>32</v>
      </c>
      <c r="B100">
        <v>19</v>
      </c>
      <c r="C100">
        <v>22</v>
      </c>
      <c r="D100">
        <v>126</v>
      </c>
      <c r="E100">
        <v>0</v>
      </c>
      <c r="F100">
        <v>1</v>
      </c>
      <c r="G100">
        <v>0</v>
      </c>
      <c r="H100">
        <v>127</v>
      </c>
      <c r="I100" s="1">
        <f t="shared" si="2"/>
        <v>0.99212598425196852</v>
      </c>
      <c r="J100" t="str">
        <f t="shared" si="3"/>
        <v/>
      </c>
    </row>
    <row r="101" spans="1:10">
      <c r="A101" t="s">
        <v>32</v>
      </c>
      <c r="B101">
        <v>19</v>
      </c>
      <c r="C101">
        <v>23</v>
      </c>
      <c r="D101">
        <v>126</v>
      </c>
      <c r="E101">
        <v>0</v>
      </c>
      <c r="F101">
        <v>1</v>
      </c>
      <c r="G101">
        <v>0</v>
      </c>
      <c r="H101">
        <v>127</v>
      </c>
      <c r="I101" s="1">
        <f t="shared" si="2"/>
        <v>0.99212598425196852</v>
      </c>
      <c r="J101" t="str">
        <f t="shared" si="3"/>
        <v/>
      </c>
    </row>
    <row r="102" spans="1:10">
      <c r="A102" t="s">
        <v>32</v>
      </c>
      <c r="B102">
        <v>19</v>
      </c>
      <c r="C102">
        <v>24</v>
      </c>
      <c r="D102">
        <v>127</v>
      </c>
      <c r="E102">
        <v>0</v>
      </c>
      <c r="F102">
        <v>0</v>
      </c>
      <c r="G102">
        <v>0</v>
      </c>
      <c r="H102">
        <v>127</v>
      </c>
      <c r="I102" s="1">
        <f t="shared" si="2"/>
        <v>1</v>
      </c>
      <c r="J102" t="str">
        <f t="shared" si="3"/>
        <v/>
      </c>
    </row>
    <row r="103" spans="1:10">
      <c r="A103" t="s">
        <v>32</v>
      </c>
      <c r="B103">
        <v>19</v>
      </c>
      <c r="C103">
        <v>25</v>
      </c>
      <c r="D103">
        <v>127</v>
      </c>
      <c r="E103">
        <v>0</v>
      </c>
      <c r="F103">
        <v>0</v>
      </c>
      <c r="G103">
        <v>0</v>
      </c>
      <c r="H103">
        <v>127</v>
      </c>
      <c r="I103" s="1">
        <f t="shared" si="2"/>
        <v>1</v>
      </c>
      <c r="J103" t="str">
        <f t="shared" si="3"/>
        <v/>
      </c>
    </row>
    <row r="104" spans="1:10">
      <c r="A104" t="s">
        <v>32</v>
      </c>
      <c r="B104">
        <v>20</v>
      </c>
      <c r="C104">
        <v>1</v>
      </c>
      <c r="D104">
        <v>58</v>
      </c>
      <c r="E104">
        <v>0</v>
      </c>
      <c r="F104">
        <v>5</v>
      </c>
      <c r="G104">
        <v>0</v>
      </c>
      <c r="H104">
        <v>106</v>
      </c>
      <c r="I104" s="1">
        <f t="shared" si="2"/>
        <v>0.54716981132075471</v>
      </c>
      <c r="J104" t="str">
        <f t="shared" si="3"/>
        <v/>
      </c>
    </row>
    <row r="105" spans="1:10">
      <c r="A105" t="s">
        <v>32</v>
      </c>
      <c r="B105">
        <v>20</v>
      </c>
      <c r="C105">
        <v>2</v>
      </c>
      <c r="D105">
        <v>64</v>
      </c>
      <c r="E105">
        <v>0</v>
      </c>
      <c r="F105">
        <v>4</v>
      </c>
      <c r="G105">
        <v>0</v>
      </c>
      <c r="H105">
        <v>106</v>
      </c>
      <c r="I105" s="1">
        <f t="shared" si="2"/>
        <v>0.60377358490566035</v>
      </c>
      <c r="J105" t="str">
        <f t="shared" si="3"/>
        <v/>
      </c>
    </row>
    <row r="106" spans="1:10">
      <c r="A106" t="s">
        <v>32</v>
      </c>
      <c r="B106">
        <v>20</v>
      </c>
      <c r="C106">
        <v>3</v>
      </c>
      <c r="D106">
        <v>64</v>
      </c>
      <c r="E106">
        <v>0</v>
      </c>
      <c r="F106">
        <v>4</v>
      </c>
      <c r="G106">
        <v>0</v>
      </c>
      <c r="H106">
        <v>106</v>
      </c>
      <c r="I106" s="1">
        <f t="shared" si="2"/>
        <v>0.60377358490566035</v>
      </c>
      <c r="J106" t="str">
        <f t="shared" si="3"/>
        <v/>
      </c>
    </row>
    <row r="107" spans="1:10">
      <c r="A107" t="s">
        <v>32</v>
      </c>
      <c r="B107">
        <v>20</v>
      </c>
      <c r="C107">
        <v>4</v>
      </c>
      <c r="D107">
        <v>68</v>
      </c>
      <c r="E107">
        <v>0</v>
      </c>
      <c r="F107">
        <v>4</v>
      </c>
      <c r="G107">
        <v>0</v>
      </c>
      <c r="H107">
        <v>106</v>
      </c>
      <c r="I107" s="1">
        <f t="shared" si="2"/>
        <v>0.64150943396226412</v>
      </c>
      <c r="J107" t="str">
        <f t="shared" si="3"/>
        <v/>
      </c>
    </row>
    <row r="108" spans="1:10">
      <c r="A108" t="s">
        <v>32</v>
      </c>
      <c r="B108">
        <v>20</v>
      </c>
      <c r="C108">
        <v>5</v>
      </c>
      <c r="D108">
        <v>71</v>
      </c>
      <c r="E108">
        <v>0</v>
      </c>
      <c r="F108">
        <v>4</v>
      </c>
      <c r="G108">
        <v>0</v>
      </c>
      <c r="H108">
        <v>106</v>
      </c>
      <c r="I108" s="1">
        <f t="shared" si="2"/>
        <v>0.66981132075471694</v>
      </c>
      <c r="J108" t="str">
        <f t="shared" si="3"/>
        <v/>
      </c>
    </row>
    <row r="109" spans="1:10">
      <c r="A109" t="s">
        <v>32</v>
      </c>
      <c r="B109">
        <v>20</v>
      </c>
      <c r="C109">
        <v>6</v>
      </c>
      <c r="D109">
        <v>71</v>
      </c>
      <c r="E109">
        <v>0</v>
      </c>
      <c r="F109">
        <v>4</v>
      </c>
      <c r="G109">
        <v>0</v>
      </c>
      <c r="H109">
        <v>106</v>
      </c>
      <c r="I109" s="1">
        <f t="shared" si="2"/>
        <v>0.66981132075471694</v>
      </c>
      <c r="J109" t="str">
        <f t="shared" si="3"/>
        <v/>
      </c>
    </row>
    <row r="110" spans="1:10">
      <c r="A110" t="s">
        <v>32</v>
      </c>
      <c r="B110">
        <v>20</v>
      </c>
      <c r="C110">
        <v>7</v>
      </c>
      <c r="D110">
        <v>74</v>
      </c>
      <c r="E110">
        <v>0</v>
      </c>
      <c r="F110">
        <v>4</v>
      </c>
      <c r="G110">
        <v>0</v>
      </c>
      <c r="H110">
        <v>106</v>
      </c>
      <c r="I110" s="1">
        <f t="shared" si="2"/>
        <v>0.69811320754716977</v>
      </c>
      <c r="J110" t="str">
        <f t="shared" si="3"/>
        <v/>
      </c>
    </row>
    <row r="111" spans="1:10">
      <c r="A111" t="s">
        <v>32</v>
      </c>
      <c r="B111">
        <v>20</v>
      </c>
      <c r="C111">
        <v>8</v>
      </c>
      <c r="D111">
        <v>74</v>
      </c>
      <c r="E111">
        <v>0</v>
      </c>
      <c r="F111">
        <v>4</v>
      </c>
      <c r="G111">
        <v>0</v>
      </c>
      <c r="H111">
        <v>106</v>
      </c>
      <c r="I111" s="1">
        <f t="shared" si="2"/>
        <v>0.69811320754716977</v>
      </c>
      <c r="J111" t="str">
        <f t="shared" si="3"/>
        <v/>
      </c>
    </row>
    <row r="112" spans="1:10">
      <c r="A112" t="s">
        <v>32</v>
      </c>
      <c r="B112">
        <v>20</v>
      </c>
      <c r="C112">
        <v>9</v>
      </c>
      <c r="D112">
        <v>74</v>
      </c>
      <c r="E112">
        <v>0</v>
      </c>
      <c r="F112">
        <v>4</v>
      </c>
      <c r="G112">
        <v>0</v>
      </c>
      <c r="H112">
        <v>106</v>
      </c>
      <c r="I112" s="1">
        <f t="shared" si="2"/>
        <v>0.69811320754716977</v>
      </c>
      <c r="J112" t="str">
        <f t="shared" si="3"/>
        <v/>
      </c>
    </row>
    <row r="113" spans="1:10">
      <c r="A113" t="s">
        <v>32</v>
      </c>
      <c r="B113">
        <v>20</v>
      </c>
      <c r="C113">
        <v>10</v>
      </c>
      <c r="D113">
        <v>74</v>
      </c>
      <c r="E113">
        <v>0</v>
      </c>
      <c r="F113">
        <v>4</v>
      </c>
      <c r="G113">
        <v>0</v>
      </c>
      <c r="H113">
        <v>106</v>
      </c>
      <c r="I113" s="1">
        <f t="shared" si="2"/>
        <v>0.69811320754716977</v>
      </c>
      <c r="J113" t="str">
        <f t="shared" si="3"/>
        <v/>
      </c>
    </row>
    <row r="114" spans="1:10">
      <c r="A114" t="s">
        <v>32</v>
      </c>
      <c r="B114">
        <v>20</v>
      </c>
      <c r="C114">
        <v>11</v>
      </c>
      <c r="D114">
        <v>74</v>
      </c>
      <c r="E114">
        <v>0</v>
      </c>
      <c r="F114">
        <v>4</v>
      </c>
      <c r="G114">
        <v>0</v>
      </c>
      <c r="H114">
        <v>106</v>
      </c>
      <c r="I114" s="1">
        <f t="shared" si="2"/>
        <v>0.69811320754716977</v>
      </c>
      <c r="J114" t="str">
        <f t="shared" si="3"/>
        <v/>
      </c>
    </row>
    <row r="115" spans="1:10">
      <c r="A115" t="s">
        <v>32</v>
      </c>
      <c r="B115">
        <v>20</v>
      </c>
      <c r="C115">
        <v>12</v>
      </c>
      <c r="D115">
        <v>74</v>
      </c>
      <c r="E115">
        <v>0</v>
      </c>
      <c r="F115">
        <v>4</v>
      </c>
      <c r="G115">
        <v>0</v>
      </c>
      <c r="H115">
        <v>106</v>
      </c>
      <c r="I115" s="1">
        <f t="shared" si="2"/>
        <v>0.69811320754716977</v>
      </c>
      <c r="J115" t="str">
        <f t="shared" si="3"/>
        <v/>
      </c>
    </row>
    <row r="116" spans="1:10">
      <c r="A116" t="s">
        <v>32</v>
      </c>
      <c r="B116">
        <v>20</v>
      </c>
      <c r="C116">
        <v>13</v>
      </c>
      <c r="D116">
        <v>85</v>
      </c>
      <c r="E116">
        <v>0</v>
      </c>
      <c r="F116">
        <v>3</v>
      </c>
      <c r="G116">
        <v>0</v>
      </c>
      <c r="H116">
        <v>106</v>
      </c>
      <c r="I116" s="1">
        <f t="shared" si="2"/>
        <v>0.80188679245283023</v>
      </c>
      <c r="J116" t="str">
        <f t="shared" si="3"/>
        <v/>
      </c>
    </row>
    <row r="117" spans="1:10">
      <c r="A117" t="s">
        <v>32</v>
      </c>
      <c r="B117">
        <v>20</v>
      </c>
      <c r="C117">
        <v>14</v>
      </c>
      <c r="D117">
        <v>85</v>
      </c>
      <c r="E117">
        <v>0</v>
      </c>
      <c r="F117">
        <v>3</v>
      </c>
      <c r="G117">
        <v>0</v>
      </c>
      <c r="H117">
        <v>106</v>
      </c>
      <c r="I117" s="1">
        <f t="shared" si="2"/>
        <v>0.80188679245283023</v>
      </c>
      <c r="J117" t="str">
        <f t="shared" si="3"/>
        <v/>
      </c>
    </row>
    <row r="118" spans="1:10">
      <c r="A118" t="s">
        <v>32</v>
      </c>
      <c r="B118">
        <v>20</v>
      </c>
      <c r="C118">
        <v>15</v>
      </c>
      <c r="D118">
        <v>85</v>
      </c>
      <c r="E118">
        <v>0</v>
      </c>
      <c r="F118">
        <v>3</v>
      </c>
      <c r="G118">
        <v>0</v>
      </c>
      <c r="H118">
        <v>106</v>
      </c>
      <c r="I118" s="1">
        <f t="shared" si="2"/>
        <v>0.80188679245283023</v>
      </c>
      <c r="J118" t="str">
        <f t="shared" si="3"/>
        <v/>
      </c>
    </row>
    <row r="119" spans="1:10">
      <c r="A119" t="s">
        <v>32</v>
      </c>
      <c r="B119">
        <v>20</v>
      </c>
      <c r="C119">
        <v>16</v>
      </c>
      <c r="D119">
        <v>101</v>
      </c>
      <c r="E119">
        <v>0</v>
      </c>
      <c r="F119">
        <v>2</v>
      </c>
      <c r="G119">
        <v>0</v>
      </c>
      <c r="H119">
        <v>106</v>
      </c>
      <c r="I119" s="1">
        <f t="shared" si="2"/>
        <v>0.95283018867924529</v>
      </c>
      <c r="J119" t="str">
        <f t="shared" si="3"/>
        <v/>
      </c>
    </row>
    <row r="120" spans="1:10">
      <c r="A120" t="s">
        <v>32</v>
      </c>
      <c r="B120">
        <v>20</v>
      </c>
      <c r="C120">
        <v>17</v>
      </c>
      <c r="D120">
        <v>106</v>
      </c>
      <c r="E120">
        <v>0</v>
      </c>
      <c r="F120">
        <v>0</v>
      </c>
      <c r="G120">
        <v>0</v>
      </c>
      <c r="H120">
        <v>106</v>
      </c>
      <c r="I120" s="1">
        <f t="shared" si="2"/>
        <v>1</v>
      </c>
      <c r="J120" t="str">
        <f t="shared" si="3"/>
        <v/>
      </c>
    </row>
    <row r="121" spans="1:10">
      <c r="A121" t="s">
        <v>32</v>
      </c>
      <c r="B121">
        <v>20</v>
      </c>
      <c r="C121">
        <v>18</v>
      </c>
      <c r="D121">
        <v>106</v>
      </c>
      <c r="E121">
        <v>0</v>
      </c>
      <c r="F121">
        <v>0</v>
      </c>
      <c r="G121">
        <v>0</v>
      </c>
      <c r="H121">
        <v>106</v>
      </c>
      <c r="I121" s="1">
        <f t="shared" si="2"/>
        <v>1</v>
      </c>
      <c r="J121" t="str">
        <f t="shared" si="3"/>
        <v/>
      </c>
    </row>
    <row r="122" spans="1:10">
      <c r="A122" t="s">
        <v>32</v>
      </c>
      <c r="B122">
        <v>20</v>
      </c>
      <c r="C122">
        <v>19</v>
      </c>
      <c r="D122">
        <v>106</v>
      </c>
      <c r="E122">
        <v>0</v>
      </c>
      <c r="F122">
        <v>0</v>
      </c>
      <c r="G122">
        <v>0</v>
      </c>
      <c r="H122">
        <v>106</v>
      </c>
      <c r="I122" s="1">
        <f t="shared" si="2"/>
        <v>1</v>
      </c>
      <c r="J122" t="str">
        <f t="shared" si="3"/>
        <v/>
      </c>
    </row>
    <row r="123" spans="1:10">
      <c r="A123" t="s">
        <v>32</v>
      </c>
      <c r="B123">
        <v>20</v>
      </c>
      <c r="C123">
        <v>20</v>
      </c>
      <c r="D123">
        <v>106</v>
      </c>
      <c r="E123">
        <v>0</v>
      </c>
      <c r="F123">
        <v>0</v>
      </c>
      <c r="G123">
        <v>0</v>
      </c>
      <c r="H123">
        <v>106</v>
      </c>
      <c r="I123" s="1">
        <f t="shared" si="2"/>
        <v>1</v>
      </c>
      <c r="J123" t="str">
        <f t="shared" si="3"/>
        <v/>
      </c>
    </row>
    <row r="124" spans="1:10">
      <c r="A124" t="s">
        <v>32</v>
      </c>
      <c r="B124">
        <v>20</v>
      </c>
      <c r="C124">
        <v>21</v>
      </c>
      <c r="D124">
        <v>106</v>
      </c>
      <c r="E124">
        <v>0</v>
      </c>
      <c r="F124">
        <v>0</v>
      </c>
      <c r="G124">
        <v>0</v>
      </c>
      <c r="H124">
        <v>106</v>
      </c>
      <c r="I124" s="1">
        <f t="shared" si="2"/>
        <v>1</v>
      </c>
      <c r="J124" t="str">
        <f t="shared" si="3"/>
        <v/>
      </c>
    </row>
    <row r="125" spans="1:10">
      <c r="A125" t="s">
        <v>56</v>
      </c>
      <c r="B125">
        <v>10</v>
      </c>
      <c r="C125">
        <v>1</v>
      </c>
      <c r="D125">
        <v>16</v>
      </c>
      <c r="E125">
        <v>0</v>
      </c>
      <c r="F125">
        <v>16</v>
      </c>
      <c r="G125">
        <v>0</v>
      </c>
      <c r="H125">
        <v>406</v>
      </c>
      <c r="I125" s="1">
        <f t="shared" si="2"/>
        <v>3.9408866995073892E-2</v>
      </c>
      <c r="J125" t="str">
        <f t="shared" si="3"/>
        <v/>
      </c>
    </row>
    <row r="126" spans="1:10">
      <c r="A126" t="s">
        <v>56</v>
      </c>
      <c r="B126">
        <v>10</v>
      </c>
      <c r="C126">
        <v>2</v>
      </c>
      <c r="D126">
        <v>27</v>
      </c>
      <c r="E126">
        <v>0</v>
      </c>
      <c r="F126">
        <v>26</v>
      </c>
      <c r="G126">
        <v>0</v>
      </c>
      <c r="H126">
        <v>406</v>
      </c>
      <c r="I126" s="1">
        <f t="shared" si="2"/>
        <v>6.6502463054187194E-2</v>
      </c>
      <c r="J126" t="str">
        <f t="shared" si="3"/>
        <v/>
      </c>
    </row>
    <row r="127" spans="1:10">
      <c r="A127" t="s">
        <v>56</v>
      </c>
      <c r="B127">
        <v>10</v>
      </c>
      <c r="C127">
        <v>3</v>
      </c>
      <c r="D127">
        <v>38</v>
      </c>
      <c r="E127">
        <v>0</v>
      </c>
      <c r="F127">
        <v>36</v>
      </c>
      <c r="G127">
        <v>0</v>
      </c>
      <c r="H127">
        <v>406</v>
      </c>
      <c r="I127" s="1">
        <f t="shared" si="2"/>
        <v>9.3596059113300489E-2</v>
      </c>
      <c r="J127" t="str">
        <f t="shared" si="3"/>
        <v/>
      </c>
    </row>
    <row r="128" spans="1:10">
      <c r="A128" t="s">
        <v>56</v>
      </c>
      <c r="B128">
        <v>10</v>
      </c>
      <c r="C128">
        <v>4</v>
      </c>
      <c r="D128">
        <v>49</v>
      </c>
      <c r="E128">
        <v>0</v>
      </c>
      <c r="F128">
        <v>46</v>
      </c>
      <c r="G128">
        <v>0</v>
      </c>
      <c r="H128">
        <v>406</v>
      </c>
      <c r="I128" s="1">
        <f t="shared" si="2"/>
        <v>0.1206896551724138</v>
      </c>
      <c r="J128" t="str">
        <f t="shared" si="3"/>
        <v/>
      </c>
    </row>
    <row r="129" spans="1:10">
      <c r="A129" t="s">
        <v>56</v>
      </c>
      <c r="B129">
        <v>10</v>
      </c>
      <c r="C129">
        <v>5</v>
      </c>
      <c r="D129">
        <v>60</v>
      </c>
      <c r="E129">
        <v>0</v>
      </c>
      <c r="F129">
        <v>56</v>
      </c>
      <c r="G129">
        <v>0</v>
      </c>
      <c r="H129">
        <v>406</v>
      </c>
      <c r="I129" s="1">
        <f t="shared" si="2"/>
        <v>0.14778325123152711</v>
      </c>
      <c r="J129" t="str">
        <f t="shared" si="3"/>
        <v/>
      </c>
    </row>
    <row r="130" spans="1:10">
      <c r="A130" t="s">
        <v>56</v>
      </c>
      <c r="B130">
        <v>10</v>
      </c>
      <c r="C130">
        <v>6</v>
      </c>
      <c r="D130">
        <v>65</v>
      </c>
      <c r="E130">
        <v>0</v>
      </c>
      <c r="F130">
        <v>56</v>
      </c>
      <c r="G130">
        <v>0</v>
      </c>
      <c r="H130">
        <v>406</v>
      </c>
      <c r="I130" s="1">
        <f t="shared" si="2"/>
        <v>0.16009852216748768</v>
      </c>
      <c r="J130" t="str">
        <f t="shared" si="3"/>
        <v/>
      </c>
    </row>
    <row r="131" spans="1:10">
      <c r="A131" t="s">
        <v>56</v>
      </c>
      <c r="B131">
        <v>10</v>
      </c>
      <c r="C131">
        <v>7</v>
      </c>
      <c r="D131">
        <v>70</v>
      </c>
      <c r="E131">
        <v>0</v>
      </c>
      <c r="F131">
        <v>56</v>
      </c>
      <c r="G131">
        <v>0</v>
      </c>
      <c r="H131">
        <v>406</v>
      </c>
      <c r="I131" s="1">
        <f t="shared" ref="I131:I194" si="4">D131/H131</f>
        <v>0.17241379310344829</v>
      </c>
      <c r="J131" t="str">
        <f t="shared" ref="J131:J194" si="5">IF(I131&gt;1,"!","")</f>
        <v/>
      </c>
    </row>
    <row r="132" spans="1:10">
      <c r="A132" t="s">
        <v>56</v>
      </c>
      <c r="B132">
        <v>10</v>
      </c>
      <c r="C132">
        <v>8</v>
      </c>
      <c r="D132">
        <v>75</v>
      </c>
      <c r="E132">
        <v>0</v>
      </c>
      <c r="F132">
        <v>54</v>
      </c>
      <c r="G132">
        <v>0</v>
      </c>
      <c r="H132">
        <v>406</v>
      </c>
      <c r="I132" s="1">
        <f t="shared" si="4"/>
        <v>0.18472906403940886</v>
      </c>
      <c r="J132" t="str">
        <f t="shared" si="5"/>
        <v/>
      </c>
    </row>
    <row r="133" spans="1:10">
      <c r="A133" t="s">
        <v>56</v>
      </c>
      <c r="B133">
        <v>10</v>
      </c>
      <c r="C133">
        <v>9</v>
      </c>
      <c r="D133">
        <v>80</v>
      </c>
      <c r="E133">
        <v>0</v>
      </c>
      <c r="F133">
        <v>53</v>
      </c>
      <c r="G133">
        <v>0</v>
      </c>
      <c r="H133">
        <v>406</v>
      </c>
      <c r="I133" s="1">
        <f t="shared" si="4"/>
        <v>0.19704433497536947</v>
      </c>
      <c r="J133" t="str">
        <f t="shared" si="5"/>
        <v/>
      </c>
    </row>
    <row r="134" spans="1:10">
      <c r="A134" t="s">
        <v>56</v>
      </c>
      <c r="B134">
        <v>10</v>
      </c>
      <c r="C134">
        <v>10</v>
      </c>
      <c r="D134">
        <v>85</v>
      </c>
      <c r="E134">
        <v>0</v>
      </c>
      <c r="F134">
        <v>52</v>
      </c>
      <c r="G134">
        <v>0</v>
      </c>
      <c r="H134">
        <v>406</v>
      </c>
      <c r="I134" s="1">
        <f t="shared" si="4"/>
        <v>0.20935960591133004</v>
      </c>
      <c r="J134" t="str">
        <f t="shared" si="5"/>
        <v/>
      </c>
    </row>
    <row r="135" spans="1:10">
      <c r="A135" t="s">
        <v>56</v>
      </c>
      <c r="B135">
        <v>10</v>
      </c>
      <c r="C135">
        <v>11</v>
      </c>
      <c r="D135">
        <v>86</v>
      </c>
      <c r="E135">
        <v>0</v>
      </c>
      <c r="F135">
        <v>51</v>
      </c>
      <c r="G135">
        <v>0</v>
      </c>
      <c r="H135">
        <v>406</v>
      </c>
      <c r="I135" s="1">
        <f t="shared" si="4"/>
        <v>0.21182266009852216</v>
      </c>
      <c r="J135" t="str">
        <f t="shared" si="5"/>
        <v/>
      </c>
    </row>
    <row r="136" spans="1:10">
      <c r="A136" t="s">
        <v>56</v>
      </c>
      <c r="B136">
        <v>10</v>
      </c>
      <c r="C136">
        <v>12</v>
      </c>
      <c r="D136">
        <v>88</v>
      </c>
      <c r="E136">
        <v>0</v>
      </c>
      <c r="F136">
        <v>49</v>
      </c>
      <c r="G136">
        <v>0</v>
      </c>
      <c r="H136">
        <v>406</v>
      </c>
      <c r="I136" s="1">
        <f t="shared" si="4"/>
        <v>0.21674876847290642</v>
      </c>
      <c r="J136" t="str">
        <f t="shared" si="5"/>
        <v/>
      </c>
    </row>
    <row r="137" spans="1:10">
      <c r="A137" t="s">
        <v>56</v>
      </c>
      <c r="B137">
        <v>10</v>
      </c>
      <c r="C137">
        <v>13</v>
      </c>
      <c r="D137">
        <v>90</v>
      </c>
      <c r="E137">
        <v>0</v>
      </c>
      <c r="F137">
        <v>47</v>
      </c>
      <c r="G137">
        <v>0</v>
      </c>
      <c r="H137">
        <v>406</v>
      </c>
      <c r="I137" s="1">
        <f t="shared" si="4"/>
        <v>0.22167487684729065</v>
      </c>
      <c r="J137" t="str">
        <f t="shared" si="5"/>
        <v/>
      </c>
    </row>
    <row r="138" spans="1:10">
      <c r="A138" t="s">
        <v>56</v>
      </c>
      <c r="B138">
        <v>10</v>
      </c>
      <c r="C138">
        <v>14</v>
      </c>
      <c r="D138">
        <v>127</v>
      </c>
      <c r="E138">
        <v>0</v>
      </c>
      <c r="F138">
        <v>47</v>
      </c>
      <c r="G138">
        <v>0</v>
      </c>
      <c r="H138">
        <v>406</v>
      </c>
      <c r="I138" s="1">
        <f t="shared" si="4"/>
        <v>0.31280788177339902</v>
      </c>
      <c r="J138" t="str">
        <f t="shared" si="5"/>
        <v/>
      </c>
    </row>
    <row r="139" spans="1:10">
      <c r="A139" t="s">
        <v>56</v>
      </c>
      <c r="B139">
        <v>10</v>
      </c>
      <c r="C139">
        <v>15</v>
      </c>
      <c r="D139">
        <v>133</v>
      </c>
      <c r="E139">
        <v>0</v>
      </c>
      <c r="F139">
        <v>44</v>
      </c>
      <c r="G139">
        <v>0</v>
      </c>
      <c r="H139">
        <v>406</v>
      </c>
      <c r="I139" s="1">
        <f t="shared" si="4"/>
        <v>0.32758620689655171</v>
      </c>
      <c r="J139" t="str">
        <f t="shared" si="5"/>
        <v/>
      </c>
    </row>
    <row r="140" spans="1:10">
      <c r="A140" t="s">
        <v>56</v>
      </c>
      <c r="B140">
        <v>10</v>
      </c>
      <c r="C140">
        <v>16</v>
      </c>
      <c r="D140">
        <v>138</v>
      </c>
      <c r="E140">
        <v>0</v>
      </c>
      <c r="F140">
        <v>42</v>
      </c>
      <c r="G140">
        <v>0</v>
      </c>
      <c r="H140">
        <v>406</v>
      </c>
      <c r="I140" s="1">
        <f t="shared" si="4"/>
        <v>0.33990147783251229</v>
      </c>
      <c r="J140" t="str">
        <f t="shared" si="5"/>
        <v/>
      </c>
    </row>
    <row r="141" spans="1:10">
      <c r="A141" t="s">
        <v>56</v>
      </c>
      <c r="B141">
        <v>10</v>
      </c>
      <c r="C141">
        <v>17</v>
      </c>
      <c r="D141">
        <v>175</v>
      </c>
      <c r="E141">
        <v>0</v>
      </c>
      <c r="F141">
        <v>42</v>
      </c>
      <c r="G141">
        <v>0</v>
      </c>
      <c r="H141">
        <v>406</v>
      </c>
      <c r="I141" s="1">
        <f t="shared" si="4"/>
        <v>0.43103448275862066</v>
      </c>
      <c r="J141" t="str">
        <f t="shared" si="5"/>
        <v/>
      </c>
    </row>
    <row r="142" spans="1:10">
      <c r="A142" t="s">
        <v>56</v>
      </c>
      <c r="B142">
        <v>10</v>
      </c>
      <c r="C142">
        <v>18</v>
      </c>
      <c r="D142">
        <v>185</v>
      </c>
      <c r="E142">
        <v>0</v>
      </c>
      <c r="F142">
        <v>39</v>
      </c>
      <c r="G142">
        <v>0</v>
      </c>
      <c r="H142">
        <v>406</v>
      </c>
      <c r="I142" s="1">
        <f t="shared" si="4"/>
        <v>0.45566502463054187</v>
      </c>
      <c r="J142" t="str">
        <f t="shared" si="5"/>
        <v/>
      </c>
    </row>
    <row r="143" spans="1:10">
      <c r="A143" t="s">
        <v>56</v>
      </c>
      <c r="B143">
        <v>10</v>
      </c>
      <c r="C143">
        <v>19</v>
      </c>
      <c r="D143">
        <v>192</v>
      </c>
      <c r="E143">
        <v>0</v>
      </c>
      <c r="F143">
        <v>35</v>
      </c>
      <c r="G143">
        <v>0</v>
      </c>
      <c r="H143">
        <v>406</v>
      </c>
      <c r="I143" s="1">
        <f t="shared" si="4"/>
        <v>0.47290640394088668</v>
      </c>
      <c r="J143" t="str">
        <f t="shared" si="5"/>
        <v/>
      </c>
    </row>
    <row r="144" spans="1:10">
      <c r="A144" t="s">
        <v>56</v>
      </c>
      <c r="B144">
        <v>10</v>
      </c>
      <c r="C144">
        <v>20</v>
      </c>
      <c r="D144">
        <v>192</v>
      </c>
      <c r="E144">
        <v>0</v>
      </c>
      <c r="F144">
        <v>35</v>
      </c>
      <c r="G144">
        <v>0</v>
      </c>
      <c r="H144">
        <v>406</v>
      </c>
      <c r="I144" s="1">
        <f t="shared" si="4"/>
        <v>0.47290640394088668</v>
      </c>
      <c r="J144" t="str">
        <f t="shared" si="5"/>
        <v/>
      </c>
    </row>
    <row r="145" spans="1:10">
      <c r="A145" t="s">
        <v>56</v>
      </c>
      <c r="B145">
        <v>10</v>
      </c>
      <c r="C145">
        <v>21</v>
      </c>
      <c r="D145">
        <v>202</v>
      </c>
      <c r="E145">
        <v>0</v>
      </c>
      <c r="F145">
        <v>32</v>
      </c>
      <c r="G145">
        <v>0</v>
      </c>
      <c r="H145">
        <v>406</v>
      </c>
      <c r="I145" s="1">
        <f t="shared" si="4"/>
        <v>0.49753694581280788</v>
      </c>
      <c r="J145" t="str">
        <f t="shared" si="5"/>
        <v/>
      </c>
    </row>
    <row r="146" spans="1:10">
      <c r="A146" t="s">
        <v>56</v>
      </c>
      <c r="B146">
        <v>10</v>
      </c>
      <c r="C146">
        <v>22</v>
      </c>
      <c r="D146">
        <v>209</v>
      </c>
      <c r="E146">
        <v>0</v>
      </c>
      <c r="F146">
        <v>29</v>
      </c>
      <c r="G146">
        <v>0</v>
      </c>
      <c r="H146">
        <v>406</v>
      </c>
      <c r="I146" s="1">
        <f t="shared" si="4"/>
        <v>0.51477832512315269</v>
      </c>
      <c r="J146" t="str">
        <f t="shared" si="5"/>
        <v/>
      </c>
    </row>
    <row r="147" spans="1:10">
      <c r="A147" t="s">
        <v>56</v>
      </c>
      <c r="B147">
        <v>10</v>
      </c>
      <c r="C147">
        <v>23</v>
      </c>
      <c r="D147">
        <v>216</v>
      </c>
      <c r="E147">
        <v>0</v>
      </c>
      <c r="F147">
        <v>26</v>
      </c>
      <c r="G147">
        <v>0</v>
      </c>
      <c r="H147">
        <v>406</v>
      </c>
      <c r="I147" s="1">
        <f t="shared" si="4"/>
        <v>0.53201970443349755</v>
      </c>
      <c r="J147" t="str">
        <f t="shared" si="5"/>
        <v/>
      </c>
    </row>
    <row r="148" spans="1:10">
      <c r="A148" t="s">
        <v>56</v>
      </c>
      <c r="B148">
        <v>10</v>
      </c>
      <c r="C148">
        <v>24</v>
      </c>
      <c r="D148">
        <v>227</v>
      </c>
      <c r="E148">
        <v>0</v>
      </c>
      <c r="F148">
        <v>23</v>
      </c>
      <c r="G148">
        <v>0</v>
      </c>
      <c r="H148">
        <v>406</v>
      </c>
      <c r="I148" s="1">
        <f t="shared" si="4"/>
        <v>0.55911330049261088</v>
      </c>
      <c r="J148" t="str">
        <f t="shared" si="5"/>
        <v/>
      </c>
    </row>
    <row r="149" spans="1:10">
      <c r="A149" t="s">
        <v>56</v>
      </c>
      <c r="B149">
        <v>10</v>
      </c>
      <c r="C149">
        <v>25</v>
      </c>
      <c r="D149">
        <v>238</v>
      </c>
      <c r="E149">
        <v>0</v>
      </c>
      <c r="F149">
        <v>20</v>
      </c>
      <c r="G149">
        <v>0</v>
      </c>
      <c r="H149">
        <v>406</v>
      </c>
      <c r="I149" s="1">
        <f t="shared" si="4"/>
        <v>0.58620689655172409</v>
      </c>
      <c r="J149" t="str">
        <f t="shared" si="5"/>
        <v/>
      </c>
    </row>
    <row r="150" spans="1:10">
      <c r="A150" t="s">
        <v>56</v>
      </c>
      <c r="B150">
        <v>10</v>
      </c>
      <c r="C150">
        <v>26</v>
      </c>
      <c r="D150">
        <v>293</v>
      </c>
      <c r="E150">
        <v>0</v>
      </c>
      <c r="F150">
        <v>17</v>
      </c>
      <c r="G150">
        <v>0</v>
      </c>
      <c r="H150">
        <v>406</v>
      </c>
      <c r="I150" s="1">
        <f t="shared" si="4"/>
        <v>0.72167487684729059</v>
      </c>
      <c r="J150" t="str">
        <f t="shared" si="5"/>
        <v/>
      </c>
    </row>
    <row r="151" spans="1:10">
      <c r="A151" t="s">
        <v>56</v>
      </c>
      <c r="B151">
        <v>10</v>
      </c>
      <c r="C151">
        <v>27</v>
      </c>
      <c r="D151">
        <v>303</v>
      </c>
      <c r="E151">
        <v>0</v>
      </c>
      <c r="F151">
        <v>14</v>
      </c>
      <c r="G151">
        <v>0</v>
      </c>
      <c r="H151">
        <v>406</v>
      </c>
      <c r="I151" s="1">
        <f t="shared" si="4"/>
        <v>0.74630541871921185</v>
      </c>
      <c r="J151" t="str">
        <f t="shared" si="5"/>
        <v/>
      </c>
    </row>
    <row r="152" spans="1:10">
      <c r="A152" t="s">
        <v>56</v>
      </c>
      <c r="B152">
        <v>10</v>
      </c>
      <c r="C152">
        <v>28</v>
      </c>
      <c r="D152">
        <v>309</v>
      </c>
      <c r="E152">
        <v>0</v>
      </c>
      <c r="F152">
        <v>11</v>
      </c>
      <c r="G152">
        <v>0</v>
      </c>
      <c r="H152">
        <v>406</v>
      </c>
      <c r="I152" s="1">
        <f t="shared" si="4"/>
        <v>0.76108374384236455</v>
      </c>
      <c r="J152" t="str">
        <f t="shared" si="5"/>
        <v/>
      </c>
    </row>
    <row r="153" spans="1:10">
      <c r="A153" t="s">
        <v>56</v>
      </c>
      <c r="B153">
        <v>10</v>
      </c>
      <c r="C153">
        <v>29</v>
      </c>
      <c r="D153">
        <v>315</v>
      </c>
      <c r="E153">
        <v>0</v>
      </c>
      <c r="F153">
        <v>8</v>
      </c>
      <c r="G153">
        <v>0</v>
      </c>
      <c r="H153">
        <v>406</v>
      </c>
      <c r="I153" s="1">
        <f t="shared" si="4"/>
        <v>0.77586206896551724</v>
      </c>
      <c r="J153" t="str">
        <f t="shared" si="5"/>
        <v/>
      </c>
    </row>
    <row r="154" spans="1:10">
      <c r="A154" t="s">
        <v>56</v>
      </c>
      <c r="B154">
        <v>10</v>
      </c>
      <c r="C154">
        <v>30</v>
      </c>
      <c r="D154">
        <v>325</v>
      </c>
      <c r="E154">
        <v>0</v>
      </c>
      <c r="F154">
        <v>5</v>
      </c>
      <c r="G154">
        <v>0</v>
      </c>
      <c r="H154">
        <v>406</v>
      </c>
      <c r="I154" s="1">
        <f t="shared" si="4"/>
        <v>0.80049261083743839</v>
      </c>
      <c r="J154" t="str">
        <f t="shared" si="5"/>
        <v/>
      </c>
    </row>
    <row r="155" spans="1:10">
      <c r="A155" t="s">
        <v>56</v>
      </c>
      <c r="B155">
        <v>10</v>
      </c>
      <c r="C155">
        <v>31</v>
      </c>
      <c r="D155">
        <v>400</v>
      </c>
      <c r="E155">
        <v>0</v>
      </c>
      <c r="F155">
        <v>3</v>
      </c>
      <c r="G155">
        <v>0</v>
      </c>
      <c r="H155">
        <v>406</v>
      </c>
      <c r="I155" s="1">
        <f t="shared" si="4"/>
        <v>0.98522167487684731</v>
      </c>
      <c r="J155" t="str">
        <f t="shared" si="5"/>
        <v/>
      </c>
    </row>
    <row r="156" spans="1:10">
      <c r="A156" t="s">
        <v>56</v>
      </c>
      <c r="B156">
        <v>10</v>
      </c>
      <c r="C156">
        <v>32</v>
      </c>
      <c r="D156">
        <v>406</v>
      </c>
      <c r="E156">
        <v>0</v>
      </c>
      <c r="F156">
        <v>0</v>
      </c>
      <c r="G156">
        <v>0</v>
      </c>
      <c r="H156">
        <v>406</v>
      </c>
      <c r="I156" s="1">
        <f t="shared" si="4"/>
        <v>1</v>
      </c>
      <c r="J156" t="str">
        <f t="shared" si="5"/>
        <v/>
      </c>
    </row>
    <row r="157" spans="1:10">
      <c r="A157" t="s">
        <v>56</v>
      </c>
      <c r="B157">
        <v>11</v>
      </c>
      <c r="C157">
        <v>1</v>
      </c>
      <c r="D157">
        <v>1</v>
      </c>
      <c r="E157">
        <v>0</v>
      </c>
      <c r="F157">
        <v>1</v>
      </c>
      <c r="G157">
        <v>0</v>
      </c>
      <c r="H157">
        <v>192</v>
      </c>
      <c r="I157" s="1">
        <f t="shared" si="4"/>
        <v>5.208333333333333E-3</v>
      </c>
      <c r="J157" t="str">
        <f t="shared" si="5"/>
        <v/>
      </c>
    </row>
    <row r="158" spans="1:10">
      <c r="A158" t="s">
        <v>56</v>
      </c>
      <c r="B158">
        <v>11</v>
      </c>
      <c r="C158">
        <v>2</v>
      </c>
      <c r="D158">
        <v>74</v>
      </c>
      <c r="E158">
        <v>0</v>
      </c>
      <c r="F158">
        <v>14</v>
      </c>
      <c r="G158">
        <v>0</v>
      </c>
      <c r="H158">
        <v>192</v>
      </c>
      <c r="I158" s="1">
        <f t="shared" si="4"/>
        <v>0.38541666666666669</v>
      </c>
      <c r="J158" t="str">
        <f t="shared" si="5"/>
        <v/>
      </c>
    </row>
    <row r="159" spans="1:10">
      <c r="A159" t="s">
        <v>56</v>
      </c>
      <c r="B159">
        <v>11</v>
      </c>
      <c r="C159">
        <v>3</v>
      </c>
      <c r="D159">
        <v>78</v>
      </c>
      <c r="E159">
        <v>0</v>
      </c>
      <c r="F159">
        <v>11</v>
      </c>
      <c r="G159">
        <v>0</v>
      </c>
      <c r="H159">
        <v>192</v>
      </c>
      <c r="I159" s="1">
        <f t="shared" si="4"/>
        <v>0.40625</v>
      </c>
      <c r="J159" t="str">
        <f t="shared" si="5"/>
        <v/>
      </c>
    </row>
    <row r="160" spans="1:10">
      <c r="A160" t="s">
        <v>56</v>
      </c>
      <c r="B160">
        <v>11</v>
      </c>
      <c r="C160">
        <v>4</v>
      </c>
      <c r="D160">
        <v>105</v>
      </c>
      <c r="E160">
        <v>0</v>
      </c>
      <c r="F160">
        <v>9</v>
      </c>
      <c r="G160">
        <v>0</v>
      </c>
      <c r="H160">
        <v>192</v>
      </c>
      <c r="I160" s="1">
        <f t="shared" si="4"/>
        <v>0.546875</v>
      </c>
      <c r="J160" t="str">
        <f t="shared" si="5"/>
        <v/>
      </c>
    </row>
    <row r="161" spans="1:10">
      <c r="A161" t="s">
        <v>56</v>
      </c>
      <c r="B161">
        <v>11</v>
      </c>
      <c r="C161">
        <v>5</v>
      </c>
      <c r="D161">
        <v>132</v>
      </c>
      <c r="E161">
        <v>0</v>
      </c>
      <c r="F161">
        <v>7</v>
      </c>
      <c r="G161">
        <v>0</v>
      </c>
      <c r="H161">
        <v>192</v>
      </c>
      <c r="I161" s="1">
        <f t="shared" si="4"/>
        <v>0.6875</v>
      </c>
      <c r="J161" t="str">
        <f t="shared" si="5"/>
        <v/>
      </c>
    </row>
    <row r="162" spans="1:10">
      <c r="A162" t="s">
        <v>56</v>
      </c>
      <c r="B162">
        <v>11</v>
      </c>
      <c r="C162">
        <v>6</v>
      </c>
      <c r="D162">
        <v>132</v>
      </c>
      <c r="E162">
        <v>0</v>
      </c>
      <c r="F162">
        <v>7</v>
      </c>
      <c r="G162">
        <v>0</v>
      </c>
      <c r="H162">
        <v>192</v>
      </c>
      <c r="I162" s="1">
        <f t="shared" si="4"/>
        <v>0.6875</v>
      </c>
      <c r="J162" t="str">
        <f t="shared" si="5"/>
        <v/>
      </c>
    </row>
    <row r="163" spans="1:10">
      <c r="A163" t="s">
        <v>56</v>
      </c>
      <c r="B163">
        <v>11</v>
      </c>
      <c r="C163">
        <v>7</v>
      </c>
      <c r="D163">
        <v>132</v>
      </c>
      <c r="E163">
        <v>0</v>
      </c>
      <c r="F163">
        <v>7</v>
      </c>
      <c r="G163">
        <v>0</v>
      </c>
      <c r="H163">
        <v>192</v>
      </c>
      <c r="I163" s="1">
        <f t="shared" si="4"/>
        <v>0.6875</v>
      </c>
      <c r="J163" t="str">
        <f t="shared" si="5"/>
        <v/>
      </c>
    </row>
    <row r="164" spans="1:10">
      <c r="A164" t="s">
        <v>56</v>
      </c>
      <c r="B164">
        <v>11</v>
      </c>
      <c r="C164">
        <v>8</v>
      </c>
      <c r="D164">
        <v>159</v>
      </c>
      <c r="E164">
        <v>0</v>
      </c>
      <c r="F164">
        <v>5</v>
      </c>
      <c r="G164">
        <v>0</v>
      </c>
      <c r="H164">
        <v>192</v>
      </c>
      <c r="I164" s="1">
        <f t="shared" si="4"/>
        <v>0.828125</v>
      </c>
      <c r="J164" t="str">
        <f t="shared" si="5"/>
        <v/>
      </c>
    </row>
    <row r="165" spans="1:10">
      <c r="A165" t="s">
        <v>56</v>
      </c>
      <c r="B165">
        <v>11</v>
      </c>
      <c r="C165">
        <v>9</v>
      </c>
      <c r="D165">
        <v>159</v>
      </c>
      <c r="E165">
        <v>0</v>
      </c>
      <c r="F165">
        <v>5</v>
      </c>
      <c r="G165">
        <v>0</v>
      </c>
      <c r="H165">
        <v>192</v>
      </c>
      <c r="I165" s="1">
        <f t="shared" si="4"/>
        <v>0.828125</v>
      </c>
      <c r="J165" t="str">
        <f t="shared" si="5"/>
        <v/>
      </c>
    </row>
    <row r="166" spans="1:10">
      <c r="A166" t="s">
        <v>56</v>
      </c>
      <c r="B166">
        <v>11</v>
      </c>
      <c r="C166">
        <v>10</v>
      </c>
      <c r="D166">
        <v>186</v>
      </c>
      <c r="E166">
        <v>0</v>
      </c>
      <c r="F166">
        <v>3</v>
      </c>
      <c r="G166">
        <v>0</v>
      </c>
      <c r="H166">
        <v>192</v>
      </c>
      <c r="I166" s="1">
        <f t="shared" si="4"/>
        <v>0.96875</v>
      </c>
      <c r="J166" t="str">
        <f t="shared" si="5"/>
        <v/>
      </c>
    </row>
    <row r="167" spans="1:10">
      <c r="A167" t="s">
        <v>56</v>
      </c>
      <c r="B167">
        <v>11</v>
      </c>
      <c r="C167">
        <v>11</v>
      </c>
      <c r="D167">
        <v>186</v>
      </c>
      <c r="E167">
        <v>0</v>
      </c>
      <c r="F167">
        <v>3</v>
      </c>
      <c r="G167">
        <v>0</v>
      </c>
      <c r="H167">
        <v>192</v>
      </c>
      <c r="I167" s="1">
        <f t="shared" si="4"/>
        <v>0.96875</v>
      </c>
      <c r="J167" t="str">
        <f t="shared" si="5"/>
        <v/>
      </c>
    </row>
    <row r="168" spans="1:10">
      <c r="A168" t="s">
        <v>56</v>
      </c>
      <c r="B168">
        <v>11</v>
      </c>
      <c r="C168">
        <v>12</v>
      </c>
      <c r="D168">
        <v>192</v>
      </c>
      <c r="E168">
        <v>0</v>
      </c>
      <c r="F168">
        <v>0</v>
      </c>
      <c r="G168">
        <v>0</v>
      </c>
      <c r="H168">
        <v>192</v>
      </c>
      <c r="I168" s="1">
        <f t="shared" si="4"/>
        <v>1</v>
      </c>
      <c r="J168" t="str">
        <f t="shared" si="5"/>
        <v/>
      </c>
    </row>
    <row r="169" spans="1:10">
      <c r="A169" t="s">
        <v>56</v>
      </c>
      <c r="B169">
        <v>12</v>
      </c>
      <c r="C169">
        <v>1</v>
      </c>
      <c r="D169">
        <v>1</v>
      </c>
      <c r="E169">
        <v>0</v>
      </c>
      <c r="F169">
        <v>1</v>
      </c>
      <c r="G169">
        <v>0</v>
      </c>
      <c r="H169">
        <v>118</v>
      </c>
      <c r="I169" s="1">
        <f t="shared" si="4"/>
        <v>8.4745762711864406E-3</v>
      </c>
      <c r="J169" t="str">
        <f t="shared" si="5"/>
        <v/>
      </c>
    </row>
    <row r="170" spans="1:10">
      <c r="A170" t="s">
        <v>56</v>
      </c>
      <c r="B170">
        <v>12</v>
      </c>
      <c r="C170">
        <v>2</v>
      </c>
      <c r="D170">
        <v>49</v>
      </c>
      <c r="E170">
        <v>0</v>
      </c>
      <c r="F170">
        <v>12</v>
      </c>
      <c r="G170">
        <v>0</v>
      </c>
      <c r="H170">
        <v>118</v>
      </c>
      <c r="I170" s="1">
        <f t="shared" si="4"/>
        <v>0.4152542372881356</v>
      </c>
      <c r="J170" t="str">
        <f t="shared" si="5"/>
        <v/>
      </c>
    </row>
    <row r="171" spans="1:10">
      <c r="A171" t="s">
        <v>56</v>
      </c>
      <c r="B171">
        <v>12</v>
      </c>
      <c r="C171">
        <v>3</v>
      </c>
      <c r="D171">
        <v>60</v>
      </c>
      <c r="E171">
        <v>0</v>
      </c>
      <c r="F171">
        <v>11</v>
      </c>
      <c r="G171">
        <v>0</v>
      </c>
      <c r="H171">
        <v>118</v>
      </c>
      <c r="I171" s="1">
        <f t="shared" si="4"/>
        <v>0.50847457627118642</v>
      </c>
      <c r="J171" t="str">
        <f t="shared" si="5"/>
        <v/>
      </c>
    </row>
    <row r="172" spans="1:10">
      <c r="A172" t="s">
        <v>56</v>
      </c>
      <c r="B172">
        <v>12</v>
      </c>
      <c r="C172">
        <v>4</v>
      </c>
      <c r="D172">
        <v>61</v>
      </c>
      <c r="E172">
        <v>0</v>
      </c>
      <c r="F172">
        <v>10</v>
      </c>
      <c r="G172">
        <v>0</v>
      </c>
      <c r="H172">
        <v>118</v>
      </c>
      <c r="I172" s="1">
        <f t="shared" si="4"/>
        <v>0.51694915254237284</v>
      </c>
      <c r="J172" t="str">
        <f t="shared" si="5"/>
        <v/>
      </c>
    </row>
    <row r="173" spans="1:10">
      <c r="A173" t="s">
        <v>56</v>
      </c>
      <c r="B173">
        <v>12</v>
      </c>
      <c r="C173">
        <v>5</v>
      </c>
      <c r="D173">
        <v>69</v>
      </c>
      <c r="E173">
        <v>0</v>
      </c>
      <c r="F173">
        <v>10</v>
      </c>
      <c r="G173">
        <v>0</v>
      </c>
      <c r="H173">
        <v>118</v>
      </c>
      <c r="I173" s="1">
        <f t="shared" si="4"/>
        <v>0.5847457627118644</v>
      </c>
      <c r="J173" t="str">
        <f t="shared" si="5"/>
        <v/>
      </c>
    </row>
    <row r="174" spans="1:10">
      <c r="A174" t="s">
        <v>56</v>
      </c>
      <c r="B174">
        <v>12</v>
      </c>
      <c r="C174">
        <v>6</v>
      </c>
      <c r="D174">
        <v>70</v>
      </c>
      <c r="E174">
        <v>0</v>
      </c>
      <c r="F174">
        <v>9</v>
      </c>
      <c r="G174">
        <v>0</v>
      </c>
      <c r="H174">
        <v>118</v>
      </c>
      <c r="I174" s="1">
        <f t="shared" si="4"/>
        <v>0.59322033898305082</v>
      </c>
      <c r="J174" t="str">
        <f t="shared" si="5"/>
        <v/>
      </c>
    </row>
    <row r="175" spans="1:10">
      <c r="A175" t="s">
        <v>56</v>
      </c>
      <c r="B175">
        <v>12</v>
      </c>
      <c r="C175">
        <v>7</v>
      </c>
      <c r="D175">
        <v>70</v>
      </c>
      <c r="E175">
        <v>0</v>
      </c>
      <c r="F175">
        <v>9</v>
      </c>
      <c r="G175">
        <v>0</v>
      </c>
      <c r="H175">
        <v>118</v>
      </c>
      <c r="I175" s="1">
        <f t="shared" si="4"/>
        <v>0.59322033898305082</v>
      </c>
      <c r="J175" t="str">
        <f t="shared" si="5"/>
        <v/>
      </c>
    </row>
    <row r="176" spans="1:10">
      <c r="A176" t="s">
        <v>56</v>
      </c>
      <c r="B176">
        <v>12</v>
      </c>
      <c r="C176">
        <v>8</v>
      </c>
      <c r="D176">
        <v>70</v>
      </c>
      <c r="E176">
        <v>0</v>
      </c>
      <c r="F176">
        <v>9</v>
      </c>
      <c r="G176">
        <v>0</v>
      </c>
      <c r="H176">
        <v>118</v>
      </c>
      <c r="I176" s="1">
        <f t="shared" si="4"/>
        <v>0.59322033898305082</v>
      </c>
      <c r="J176" t="str">
        <f t="shared" si="5"/>
        <v/>
      </c>
    </row>
    <row r="177" spans="1:10">
      <c r="A177" t="s">
        <v>56</v>
      </c>
      <c r="B177">
        <v>12</v>
      </c>
      <c r="C177">
        <v>9</v>
      </c>
      <c r="D177">
        <v>70</v>
      </c>
      <c r="E177">
        <v>0</v>
      </c>
      <c r="F177">
        <v>9</v>
      </c>
      <c r="G177">
        <v>0</v>
      </c>
      <c r="H177">
        <v>118</v>
      </c>
      <c r="I177" s="1">
        <f t="shared" si="4"/>
        <v>0.59322033898305082</v>
      </c>
      <c r="J177" t="str">
        <f t="shared" si="5"/>
        <v/>
      </c>
    </row>
    <row r="178" spans="1:10">
      <c r="A178" t="s">
        <v>56</v>
      </c>
      <c r="B178">
        <v>12</v>
      </c>
      <c r="C178">
        <v>10</v>
      </c>
      <c r="D178">
        <v>83</v>
      </c>
      <c r="E178">
        <v>0</v>
      </c>
      <c r="F178">
        <v>6</v>
      </c>
      <c r="G178">
        <v>0</v>
      </c>
      <c r="H178">
        <v>118</v>
      </c>
      <c r="I178" s="1">
        <f t="shared" si="4"/>
        <v>0.70338983050847459</v>
      </c>
      <c r="J178" t="str">
        <f t="shared" si="5"/>
        <v/>
      </c>
    </row>
    <row r="179" spans="1:10">
      <c r="A179" t="s">
        <v>56</v>
      </c>
      <c r="B179">
        <v>12</v>
      </c>
      <c r="C179">
        <v>11</v>
      </c>
      <c r="D179">
        <v>104</v>
      </c>
      <c r="E179">
        <v>0</v>
      </c>
      <c r="F179">
        <v>3</v>
      </c>
      <c r="G179">
        <v>0</v>
      </c>
      <c r="H179">
        <v>118</v>
      </c>
      <c r="I179" s="1">
        <f t="shared" si="4"/>
        <v>0.88135593220338981</v>
      </c>
      <c r="J179" t="str">
        <f t="shared" si="5"/>
        <v/>
      </c>
    </row>
    <row r="180" spans="1:10">
      <c r="A180" t="s">
        <v>56</v>
      </c>
      <c r="B180">
        <v>12</v>
      </c>
      <c r="C180">
        <v>12</v>
      </c>
      <c r="D180">
        <v>118</v>
      </c>
      <c r="E180">
        <v>0</v>
      </c>
      <c r="F180">
        <v>0</v>
      </c>
      <c r="G180">
        <v>0</v>
      </c>
      <c r="H180">
        <v>118</v>
      </c>
      <c r="I180" s="1">
        <f t="shared" si="4"/>
        <v>1</v>
      </c>
      <c r="J180" t="str">
        <f t="shared" si="5"/>
        <v/>
      </c>
    </row>
    <row r="181" spans="1:10">
      <c r="A181" t="s">
        <v>65</v>
      </c>
      <c r="B181">
        <v>1</v>
      </c>
      <c r="C181">
        <v>1</v>
      </c>
      <c r="D181">
        <v>15</v>
      </c>
      <c r="E181">
        <v>0</v>
      </c>
      <c r="F181">
        <v>3</v>
      </c>
      <c r="G181">
        <v>0</v>
      </c>
      <c r="H181">
        <v>168</v>
      </c>
      <c r="I181" s="1">
        <f t="shared" si="4"/>
        <v>8.9285714285714288E-2</v>
      </c>
      <c r="J181" t="str">
        <f t="shared" si="5"/>
        <v/>
      </c>
    </row>
    <row r="182" spans="1:10">
      <c r="A182" t="s">
        <v>65</v>
      </c>
      <c r="B182">
        <v>1</v>
      </c>
      <c r="C182">
        <v>2</v>
      </c>
      <c r="D182">
        <v>43</v>
      </c>
      <c r="E182">
        <v>0</v>
      </c>
      <c r="F182">
        <v>3</v>
      </c>
      <c r="G182">
        <v>0</v>
      </c>
      <c r="H182">
        <v>168</v>
      </c>
      <c r="I182" s="1">
        <f t="shared" si="4"/>
        <v>0.25595238095238093</v>
      </c>
      <c r="J182" t="str">
        <f t="shared" si="5"/>
        <v/>
      </c>
    </row>
    <row r="183" spans="1:10">
      <c r="A183" t="s">
        <v>65</v>
      </c>
      <c r="B183">
        <v>1</v>
      </c>
      <c r="C183">
        <v>3</v>
      </c>
      <c r="D183">
        <v>44</v>
      </c>
      <c r="E183">
        <v>0</v>
      </c>
      <c r="F183">
        <v>2</v>
      </c>
      <c r="G183">
        <v>0</v>
      </c>
      <c r="H183">
        <v>168</v>
      </c>
      <c r="I183" s="1">
        <f t="shared" si="4"/>
        <v>0.26190476190476192</v>
      </c>
      <c r="J183" t="str">
        <f t="shared" si="5"/>
        <v/>
      </c>
    </row>
    <row r="184" spans="1:10">
      <c r="A184" t="s">
        <v>65</v>
      </c>
      <c r="B184">
        <v>1</v>
      </c>
      <c r="C184">
        <v>4</v>
      </c>
      <c r="D184">
        <v>153</v>
      </c>
      <c r="E184">
        <v>0</v>
      </c>
      <c r="F184">
        <v>5</v>
      </c>
      <c r="G184">
        <v>0</v>
      </c>
      <c r="H184">
        <v>168</v>
      </c>
      <c r="I184" s="1">
        <f t="shared" si="4"/>
        <v>0.9107142857142857</v>
      </c>
      <c r="J184" t="str">
        <f t="shared" si="5"/>
        <v/>
      </c>
    </row>
    <row r="185" spans="1:10">
      <c r="A185" t="s">
        <v>65</v>
      </c>
      <c r="B185">
        <v>1</v>
      </c>
      <c r="C185">
        <v>5</v>
      </c>
      <c r="D185">
        <v>155</v>
      </c>
      <c r="E185">
        <v>0</v>
      </c>
      <c r="F185">
        <v>3</v>
      </c>
      <c r="G185">
        <v>0</v>
      </c>
      <c r="H185">
        <v>168</v>
      </c>
      <c r="I185" s="1">
        <f t="shared" si="4"/>
        <v>0.92261904761904767</v>
      </c>
      <c r="J185" t="str">
        <f t="shared" si="5"/>
        <v/>
      </c>
    </row>
    <row r="186" spans="1:10">
      <c r="A186" t="s">
        <v>65</v>
      </c>
      <c r="B186">
        <v>1</v>
      </c>
      <c r="C186">
        <v>6</v>
      </c>
      <c r="D186">
        <v>166</v>
      </c>
      <c r="E186">
        <v>0</v>
      </c>
      <c r="F186">
        <v>2</v>
      </c>
      <c r="G186">
        <v>0</v>
      </c>
      <c r="H186">
        <v>168</v>
      </c>
      <c r="I186" s="1">
        <f t="shared" si="4"/>
        <v>0.98809523809523814</v>
      </c>
      <c r="J186" t="str">
        <f t="shared" si="5"/>
        <v/>
      </c>
    </row>
    <row r="187" spans="1:10">
      <c r="A187" t="s">
        <v>65</v>
      </c>
      <c r="B187">
        <v>1</v>
      </c>
      <c r="C187">
        <v>7</v>
      </c>
      <c r="D187">
        <v>168</v>
      </c>
      <c r="E187">
        <v>0</v>
      </c>
      <c r="F187">
        <v>0</v>
      </c>
      <c r="G187">
        <v>0</v>
      </c>
      <c r="H187">
        <v>168</v>
      </c>
      <c r="I187" s="1">
        <f t="shared" si="4"/>
        <v>1</v>
      </c>
      <c r="J187" t="str">
        <f t="shared" si="5"/>
        <v/>
      </c>
    </row>
    <row r="188" spans="1:10">
      <c r="A188" t="s">
        <v>65</v>
      </c>
      <c r="B188">
        <v>3</v>
      </c>
      <c r="C188">
        <v>1</v>
      </c>
      <c r="D188">
        <v>279</v>
      </c>
      <c r="E188">
        <v>0</v>
      </c>
      <c r="F188">
        <v>2</v>
      </c>
      <c r="G188">
        <v>0</v>
      </c>
      <c r="H188">
        <v>332</v>
      </c>
      <c r="I188" s="1">
        <f t="shared" si="4"/>
        <v>0.84036144578313254</v>
      </c>
      <c r="J188" t="str">
        <f t="shared" si="5"/>
        <v/>
      </c>
    </row>
    <row r="189" spans="1:10">
      <c r="A189" t="s">
        <v>65</v>
      </c>
      <c r="B189">
        <v>3</v>
      </c>
      <c r="C189">
        <v>2</v>
      </c>
      <c r="D189">
        <v>331</v>
      </c>
      <c r="E189">
        <v>0</v>
      </c>
      <c r="F189">
        <v>1</v>
      </c>
      <c r="G189">
        <v>0</v>
      </c>
      <c r="H189">
        <v>332</v>
      </c>
      <c r="I189" s="1">
        <f t="shared" si="4"/>
        <v>0.99698795180722888</v>
      </c>
      <c r="J189" t="str">
        <f t="shared" si="5"/>
        <v/>
      </c>
    </row>
    <row r="190" spans="1:10">
      <c r="A190" t="s">
        <v>65</v>
      </c>
      <c r="B190">
        <v>3</v>
      </c>
      <c r="C190">
        <v>3</v>
      </c>
      <c r="D190">
        <v>332</v>
      </c>
      <c r="E190">
        <v>0</v>
      </c>
      <c r="F190">
        <v>0</v>
      </c>
      <c r="G190">
        <v>0</v>
      </c>
      <c r="H190">
        <v>332</v>
      </c>
      <c r="I190" s="1">
        <f t="shared" si="4"/>
        <v>1</v>
      </c>
      <c r="J190" t="str">
        <f t="shared" si="5"/>
        <v/>
      </c>
    </row>
    <row r="191" spans="1:10">
      <c r="A191" t="s">
        <v>65</v>
      </c>
      <c r="B191">
        <v>4</v>
      </c>
      <c r="C191">
        <v>1</v>
      </c>
      <c r="D191">
        <v>99</v>
      </c>
      <c r="E191">
        <v>0</v>
      </c>
      <c r="F191">
        <v>9</v>
      </c>
      <c r="G191">
        <v>0</v>
      </c>
      <c r="H191">
        <f>129</f>
        <v>129</v>
      </c>
      <c r="I191" s="1">
        <f t="shared" si="4"/>
        <v>0.76744186046511631</v>
      </c>
      <c r="J191" t="str">
        <f t="shared" si="5"/>
        <v/>
      </c>
    </row>
    <row r="192" spans="1:10">
      <c r="A192" t="s">
        <v>65</v>
      </c>
      <c r="B192">
        <v>4</v>
      </c>
      <c r="C192">
        <v>2</v>
      </c>
      <c r="D192">
        <v>103</v>
      </c>
      <c r="E192">
        <v>0</v>
      </c>
      <c r="F192">
        <v>6</v>
      </c>
      <c r="G192">
        <v>0</v>
      </c>
      <c r="H192">
        <f>129</f>
        <v>129</v>
      </c>
      <c r="I192" s="1">
        <f t="shared" si="4"/>
        <v>0.79844961240310075</v>
      </c>
      <c r="J192" t="str">
        <f t="shared" si="5"/>
        <v/>
      </c>
    </row>
    <row r="193" spans="1:10">
      <c r="A193" t="s">
        <v>65</v>
      </c>
      <c r="B193">
        <v>4</v>
      </c>
      <c r="C193">
        <v>3</v>
      </c>
      <c r="D193">
        <v>111</v>
      </c>
      <c r="E193">
        <v>0</v>
      </c>
      <c r="F193">
        <v>4</v>
      </c>
      <c r="G193">
        <v>0</v>
      </c>
      <c r="H193">
        <f>129</f>
        <v>129</v>
      </c>
      <c r="I193" s="1">
        <f t="shared" si="4"/>
        <v>0.86046511627906974</v>
      </c>
      <c r="J193" t="str">
        <f t="shared" si="5"/>
        <v/>
      </c>
    </row>
    <row r="194" spans="1:10">
      <c r="A194" t="s">
        <v>65</v>
      </c>
      <c r="B194">
        <v>4</v>
      </c>
      <c r="C194">
        <v>4</v>
      </c>
      <c r="D194">
        <v>111</v>
      </c>
      <c r="E194">
        <v>0</v>
      </c>
      <c r="F194">
        <v>4</v>
      </c>
      <c r="G194">
        <v>0</v>
      </c>
      <c r="H194">
        <f>129</f>
        <v>129</v>
      </c>
      <c r="I194" s="1">
        <f t="shared" si="4"/>
        <v>0.86046511627906974</v>
      </c>
      <c r="J194" t="str">
        <f t="shared" si="5"/>
        <v/>
      </c>
    </row>
    <row r="195" spans="1:10">
      <c r="A195" t="s">
        <v>65</v>
      </c>
      <c r="B195">
        <v>4</v>
      </c>
      <c r="C195">
        <v>5</v>
      </c>
      <c r="D195">
        <v>119</v>
      </c>
      <c r="E195">
        <v>0</v>
      </c>
      <c r="F195">
        <v>2</v>
      </c>
      <c r="G195">
        <v>0</v>
      </c>
      <c r="H195">
        <f>129</f>
        <v>129</v>
      </c>
      <c r="I195" s="1">
        <f t="shared" ref="I195:I258" si="6">D195/H195</f>
        <v>0.92248062015503873</v>
      </c>
      <c r="J195" t="str">
        <f t="shared" ref="J195:J258" si="7">IF(I195&gt;1,"!","")</f>
        <v/>
      </c>
    </row>
    <row r="196" spans="1:10">
      <c r="A196" t="s">
        <v>65</v>
      </c>
      <c r="B196">
        <v>4</v>
      </c>
      <c r="C196">
        <v>6</v>
      </c>
      <c r="D196">
        <v>119</v>
      </c>
      <c r="E196">
        <v>0</v>
      </c>
      <c r="F196">
        <v>2</v>
      </c>
      <c r="G196">
        <v>0</v>
      </c>
      <c r="H196">
        <f>129</f>
        <v>129</v>
      </c>
      <c r="I196" s="1">
        <f t="shared" si="6"/>
        <v>0.92248062015503873</v>
      </c>
      <c r="J196" t="str">
        <f t="shared" si="7"/>
        <v/>
      </c>
    </row>
    <row r="197" spans="1:10">
      <c r="A197" t="s">
        <v>65</v>
      </c>
      <c r="B197">
        <v>4</v>
      </c>
      <c r="C197">
        <v>7</v>
      </c>
      <c r="D197">
        <v>119</v>
      </c>
      <c r="E197">
        <v>0</v>
      </c>
      <c r="F197">
        <v>2</v>
      </c>
      <c r="G197">
        <v>0</v>
      </c>
      <c r="H197">
        <f>129</f>
        <v>129</v>
      </c>
      <c r="I197" s="1">
        <f t="shared" si="6"/>
        <v>0.92248062015503873</v>
      </c>
      <c r="J197" t="str">
        <f t="shared" si="7"/>
        <v/>
      </c>
    </row>
    <row r="198" spans="1:10">
      <c r="A198" t="s">
        <v>65</v>
      </c>
      <c r="B198">
        <v>4</v>
      </c>
      <c r="C198">
        <v>8</v>
      </c>
      <c r="D198">
        <v>119</v>
      </c>
      <c r="E198">
        <v>0</v>
      </c>
      <c r="F198">
        <v>2</v>
      </c>
      <c r="G198">
        <v>0</v>
      </c>
      <c r="H198">
        <f>129</f>
        <v>129</v>
      </c>
      <c r="I198" s="1">
        <f t="shared" si="6"/>
        <v>0.92248062015503873</v>
      </c>
      <c r="J198" t="str">
        <f t="shared" si="7"/>
        <v/>
      </c>
    </row>
    <row r="199" spans="1:10">
      <c r="A199" t="s">
        <v>65</v>
      </c>
      <c r="B199">
        <v>4</v>
      </c>
      <c r="C199">
        <v>9</v>
      </c>
      <c r="D199">
        <v>129</v>
      </c>
      <c r="E199">
        <v>0</v>
      </c>
      <c r="F199">
        <v>0</v>
      </c>
      <c r="G199">
        <v>0</v>
      </c>
      <c r="H199">
        <f>129</f>
        <v>129</v>
      </c>
      <c r="I199" s="1">
        <f t="shared" si="6"/>
        <v>1</v>
      </c>
      <c r="J199" t="str">
        <f t="shared" si="7"/>
        <v/>
      </c>
    </row>
    <row r="200" spans="1:10">
      <c r="A200" t="s">
        <v>65</v>
      </c>
      <c r="B200">
        <v>4</v>
      </c>
      <c r="C200">
        <v>10</v>
      </c>
      <c r="D200">
        <v>129</v>
      </c>
      <c r="E200">
        <v>0</v>
      </c>
      <c r="F200">
        <v>0</v>
      </c>
      <c r="G200">
        <v>0</v>
      </c>
      <c r="H200">
        <f>129</f>
        <v>129</v>
      </c>
      <c r="I200" s="1">
        <f t="shared" si="6"/>
        <v>1</v>
      </c>
      <c r="J200" t="str">
        <f t="shared" si="7"/>
        <v/>
      </c>
    </row>
    <row r="201" spans="1:10">
      <c r="A201" t="s">
        <v>65</v>
      </c>
      <c r="B201">
        <v>4</v>
      </c>
      <c r="C201">
        <v>11</v>
      </c>
      <c r="D201">
        <v>129</v>
      </c>
      <c r="E201">
        <v>0</v>
      </c>
      <c r="F201">
        <v>0</v>
      </c>
      <c r="G201">
        <v>0</v>
      </c>
      <c r="H201">
        <f>129</f>
        <v>129</v>
      </c>
      <c r="I201" s="1">
        <f t="shared" si="6"/>
        <v>1</v>
      </c>
      <c r="J201" t="str">
        <f t="shared" si="7"/>
        <v/>
      </c>
    </row>
    <row r="202" spans="1:10">
      <c r="A202" t="s">
        <v>65</v>
      </c>
      <c r="B202">
        <v>4</v>
      </c>
      <c r="C202">
        <v>12</v>
      </c>
      <c r="D202">
        <v>129</v>
      </c>
      <c r="E202">
        <v>0</v>
      </c>
      <c r="F202">
        <v>0</v>
      </c>
      <c r="G202">
        <v>0</v>
      </c>
      <c r="H202">
        <f>129</f>
        <v>129</v>
      </c>
      <c r="I202" s="1">
        <f t="shared" si="6"/>
        <v>1</v>
      </c>
      <c r="J202" t="str">
        <f t="shared" si="7"/>
        <v/>
      </c>
    </row>
    <row r="203" spans="1:10">
      <c r="A203" t="s">
        <v>65</v>
      </c>
      <c r="B203">
        <v>4</v>
      </c>
      <c r="C203">
        <v>13</v>
      </c>
      <c r="D203">
        <v>129</v>
      </c>
      <c r="E203">
        <v>0</v>
      </c>
      <c r="F203">
        <v>0</v>
      </c>
      <c r="G203">
        <v>0</v>
      </c>
      <c r="H203">
        <f>129</f>
        <v>129</v>
      </c>
      <c r="I203" s="1">
        <f t="shared" si="6"/>
        <v>1</v>
      </c>
      <c r="J203" t="str">
        <f t="shared" si="7"/>
        <v/>
      </c>
    </row>
    <row r="204" spans="1:10">
      <c r="A204" t="s">
        <v>65</v>
      </c>
      <c r="B204">
        <v>4</v>
      </c>
      <c r="C204">
        <v>14</v>
      </c>
      <c r="D204">
        <v>129</v>
      </c>
      <c r="E204">
        <v>0</v>
      </c>
      <c r="F204">
        <v>0</v>
      </c>
      <c r="G204">
        <v>0</v>
      </c>
      <c r="H204">
        <f>129</f>
        <v>129</v>
      </c>
      <c r="I204" s="1">
        <f t="shared" si="6"/>
        <v>1</v>
      </c>
      <c r="J204" t="str">
        <f t="shared" si="7"/>
        <v/>
      </c>
    </row>
    <row r="205" spans="1:10">
      <c r="A205" t="s">
        <v>65</v>
      </c>
      <c r="B205">
        <v>4</v>
      </c>
      <c r="C205">
        <v>15</v>
      </c>
      <c r="D205">
        <v>129</v>
      </c>
      <c r="E205">
        <v>0</v>
      </c>
      <c r="F205">
        <v>0</v>
      </c>
      <c r="G205">
        <v>0</v>
      </c>
      <c r="H205">
        <f>129</f>
        <v>129</v>
      </c>
      <c r="I205" s="1">
        <f t="shared" si="6"/>
        <v>1</v>
      </c>
      <c r="J205" t="str">
        <f t="shared" si="7"/>
        <v/>
      </c>
    </row>
    <row r="206" spans="1:10">
      <c r="A206" t="s">
        <v>65</v>
      </c>
      <c r="B206">
        <v>4</v>
      </c>
      <c r="C206">
        <v>16</v>
      </c>
      <c r="D206">
        <v>129</v>
      </c>
      <c r="E206">
        <v>0</v>
      </c>
      <c r="F206">
        <v>0</v>
      </c>
      <c r="G206">
        <v>0</v>
      </c>
      <c r="H206">
        <f>129</f>
        <v>129</v>
      </c>
      <c r="I206" s="1">
        <f t="shared" si="6"/>
        <v>1</v>
      </c>
      <c r="J206" t="str">
        <f t="shared" si="7"/>
        <v/>
      </c>
    </row>
    <row r="207" spans="1:10">
      <c r="A207" t="s">
        <v>65</v>
      </c>
      <c r="B207">
        <v>6</v>
      </c>
      <c r="C207">
        <v>1</v>
      </c>
      <c r="D207">
        <v>78</v>
      </c>
      <c r="E207">
        <v>0</v>
      </c>
      <c r="F207">
        <v>3</v>
      </c>
      <c r="G207">
        <v>0</v>
      </c>
      <c r="H207">
        <v>121</v>
      </c>
      <c r="I207" s="1">
        <f t="shared" si="6"/>
        <v>0.64462809917355368</v>
      </c>
      <c r="J207" t="str">
        <f t="shared" si="7"/>
        <v/>
      </c>
    </row>
    <row r="208" spans="1:10">
      <c r="A208" t="s">
        <v>65</v>
      </c>
      <c r="B208">
        <v>6</v>
      </c>
      <c r="C208">
        <v>2</v>
      </c>
      <c r="D208">
        <v>121</v>
      </c>
      <c r="E208">
        <v>0</v>
      </c>
      <c r="F208">
        <v>0</v>
      </c>
      <c r="G208">
        <v>0</v>
      </c>
      <c r="H208" s="5">
        <v>121</v>
      </c>
      <c r="I208" s="1">
        <f t="shared" si="6"/>
        <v>1</v>
      </c>
      <c r="J208" t="str">
        <f t="shared" si="7"/>
        <v/>
      </c>
    </row>
    <row r="209" spans="1:10">
      <c r="A209" t="s">
        <v>65</v>
      </c>
      <c r="B209">
        <v>7</v>
      </c>
      <c r="C209">
        <v>1</v>
      </c>
      <c r="D209">
        <v>1</v>
      </c>
      <c r="E209">
        <v>0</v>
      </c>
      <c r="F209">
        <v>1</v>
      </c>
      <c r="G209">
        <v>0</v>
      </c>
      <c r="H209">
        <v>43</v>
      </c>
      <c r="I209" s="1">
        <f t="shared" si="6"/>
        <v>2.3255813953488372E-2</v>
      </c>
      <c r="J209" t="str">
        <f t="shared" si="7"/>
        <v/>
      </c>
    </row>
    <row r="210" spans="1:10">
      <c r="A210" t="s">
        <v>65</v>
      </c>
      <c r="B210">
        <v>7</v>
      </c>
      <c r="C210">
        <v>2</v>
      </c>
      <c r="D210">
        <v>3</v>
      </c>
      <c r="E210">
        <v>0</v>
      </c>
      <c r="F210">
        <v>1</v>
      </c>
      <c r="G210">
        <v>0</v>
      </c>
      <c r="H210">
        <v>43</v>
      </c>
      <c r="I210" s="1">
        <f t="shared" si="6"/>
        <v>6.9767441860465115E-2</v>
      </c>
      <c r="J210" t="str">
        <f t="shared" si="7"/>
        <v/>
      </c>
    </row>
    <row r="211" spans="1:10">
      <c r="A211" t="s">
        <v>65</v>
      </c>
      <c r="B211">
        <v>7</v>
      </c>
      <c r="C211">
        <v>3</v>
      </c>
      <c r="D211">
        <v>5</v>
      </c>
      <c r="E211">
        <v>0</v>
      </c>
      <c r="F211">
        <v>1</v>
      </c>
      <c r="G211">
        <v>0</v>
      </c>
      <c r="H211">
        <v>43</v>
      </c>
      <c r="I211" s="1">
        <f t="shared" si="6"/>
        <v>0.11627906976744186</v>
      </c>
      <c r="J211" t="str">
        <f t="shared" si="7"/>
        <v/>
      </c>
    </row>
    <row r="212" spans="1:10">
      <c r="A212" t="s">
        <v>65</v>
      </c>
      <c r="B212">
        <v>7</v>
      </c>
      <c r="C212">
        <v>4</v>
      </c>
      <c r="D212">
        <v>7</v>
      </c>
      <c r="E212">
        <v>0</v>
      </c>
      <c r="F212">
        <v>1</v>
      </c>
      <c r="G212">
        <v>0</v>
      </c>
      <c r="H212">
        <v>43</v>
      </c>
      <c r="I212" s="1">
        <f t="shared" si="6"/>
        <v>0.16279069767441862</v>
      </c>
      <c r="J212" t="str">
        <f t="shared" si="7"/>
        <v/>
      </c>
    </row>
    <row r="213" spans="1:10">
      <c r="A213" t="s">
        <v>65</v>
      </c>
      <c r="B213">
        <v>7</v>
      </c>
      <c r="C213">
        <v>5</v>
      </c>
      <c r="D213">
        <v>41</v>
      </c>
      <c r="E213">
        <v>0</v>
      </c>
      <c r="F213">
        <v>2</v>
      </c>
      <c r="G213">
        <v>0</v>
      </c>
      <c r="H213">
        <v>43</v>
      </c>
      <c r="I213" s="1">
        <f t="shared" si="6"/>
        <v>0.95348837209302328</v>
      </c>
      <c r="J213" t="str">
        <f t="shared" si="7"/>
        <v/>
      </c>
    </row>
    <row r="214" spans="1:10">
      <c r="A214" t="s">
        <v>65</v>
      </c>
      <c r="B214">
        <v>7</v>
      </c>
      <c r="C214">
        <v>6</v>
      </c>
      <c r="D214">
        <v>43</v>
      </c>
      <c r="E214">
        <v>0</v>
      </c>
      <c r="F214">
        <v>0</v>
      </c>
      <c r="G214">
        <v>0</v>
      </c>
      <c r="H214">
        <v>43</v>
      </c>
      <c r="I214" s="1">
        <f t="shared" si="6"/>
        <v>1</v>
      </c>
      <c r="J214" t="str">
        <f t="shared" si="7"/>
        <v/>
      </c>
    </row>
    <row r="215" spans="1:10">
      <c r="A215" t="s">
        <v>71</v>
      </c>
      <c r="B215">
        <v>3</v>
      </c>
      <c r="C215">
        <v>1</v>
      </c>
      <c r="D215">
        <v>6</v>
      </c>
      <c r="E215">
        <v>0</v>
      </c>
      <c r="F215">
        <v>1</v>
      </c>
      <c r="G215">
        <v>0</v>
      </c>
      <c r="H215">
        <v>62</v>
      </c>
      <c r="I215" s="1">
        <f t="shared" si="6"/>
        <v>9.6774193548387094E-2</v>
      </c>
      <c r="J215" t="str">
        <f t="shared" si="7"/>
        <v/>
      </c>
    </row>
    <row r="216" spans="1:10">
      <c r="A216" t="s">
        <v>71</v>
      </c>
      <c r="B216">
        <v>3</v>
      </c>
      <c r="C216">
        <v>2</v>
      </c>
      <c r="D216">
        <v>46</v>
      </c>
      <c r="E216">
        <v>0</v>
      </c>
      <c r="F216">
        <v>3</v>
      </c>
      <c r="G216">
        <v>0</v>
      </c>
      <c r="H216">
        <v>62</v>
      </c>
      <c r="I216" s="1">
        <f t="shared" si="6"/>
        <v>0.74193548387096775</v>
      </c>
      <c r="J216" t="str">
        <f t="shared" si="7"/>
        <v/>
      </c>
    </row>
    <row r="217" spans="1:10">
      <c r="A217" t="s">
        <v>71</v>
      </c>
      <c r="B217">
        <v>3</v>
      </c>
      <c r="C217">
        <v>3</v>
      </c>
      <c r="D217">
        <v>62</v>
      </c>
      <c r="E217">
        <v>0</v>
      </c>
      <c r="F217">
        <v>0</v>
      </c>
      <c r="G217">
        <v>0</v>
      </c>
      <c r="H217">
        <v>62</v>
      </c>
      <c r="I217" s="1">
        <f t="shared" si="6"/>
        <v>1</v>
      </c>
      <c r="J217" t="str">
        <f t="shared" si="7"/>
        <v/>
      </c>
    </row>
    <row r="218" spans="1:10">
      <c r="A218" t="s">
        <v>71</v>
      </c>
      <c r="B218">
        <v>7</v>
      </c>
      <c r="C218">
        <v>1</v>
      </c>
      <c r="D218">
        <v>2</v>
      </c>
      <c r="E218">
        <v>0</v>
      </c>
      <c r="F218">
        <v>0</v>
      </c>
      <c r="G218">
        <v>0</v>
      </c>
      <c r="H218">
        <v>56</v>
      </c>
      <c r="I218" s="1">
        <f t="shared" si="6"/>
        <v>3.5714285714285712E-2</v>
      </c>
      <c r="J218" t="str">
        <f t="shared" si="7"/>
        <v/>
      </c>
    </row>
    <row r="219" spans="1:10">
      <c r="A219" t="s">
        <v>71</v>
      </c>
      <c r="B219">
        <v>7</v>
      </c>
      <c r="C219">
        <v>2</v>
      </c>
      <c r="D219">
        <v>3</v>
      </c>
      <c r="E219">
        <v>0</v>
      </c>
      <c r="F219">
        <v>0</v>
      </c>
      <c r="G219">
        <v>0</v>
      </c>
      <c r="H219">
        <v>56</v>
      </c>
      <c r="I219" s="1">
        <f t="shared" si="6"/>
        <v>5.3571428571428568E-2</v>
      </c>
      <c r="J219" t="str">
        <f t="shared" si="7"/>
        <v/>
      </c>
    </row>
    <row r="220" spans="1:10">
      <c r="A220" t="s">
        <v>71</v>
      </c>
      <c r="B220">
        <v>7</v>
      </c>
      <c r="C220">
        <v>3</v>
      </c>
      <c r="D220">
        <v>4</v>
      </c>
      <c r="E220">
        <v>0</v>
      </c>
      <c r="F220">
        <v>1</v>
      </c>
      <c r="G220">
        <v>0</v>
      </c>
      <c r="H220">
        <v>56</v>
      </c>
      <c r="I220" s="1">
        <f t="shared" si="6"/>
        <v>7.1428571428571425E-2</v>
      </c>
      <c r="J220" t="str">
        <f t="shared" si="7"/>
        <v/>
      </c>
    </row>
    <row r="221" spans="1:10">
      <c r="A221" t="s">
        <v>71</v>
      </c>
      <c r="B221">
        <v>7</v>
      </c>
      <c r="C221">
        <v>4</v>
      </c>
      <c r="D221">
        <v>4</v>
      </c>
      <c r="E221">
        <v>0</v>
      </c>
      <c r="F221">
        <v>1</v>
      </c>
      <c r="G221">
        <v>0</v>
      </c>
      <c r="H221">
        <v>56</v>
      </c>
      <c r="I221" s="1">
        <f t="shared" si="6"/>
        <v>7.1428571428571425E-2</v>
      </c>
      <c r="J221" t="str">
        <f t="shared" si="7"/>
        <v/>
      </c>
    </row>
    <row r="222" spans="1:10">
      <c r="A222" t="s">
        <v>71</v>
      </c>
      <c r="B222">
        <v>7</v>
      </c>
      <c r="C222">
        <v>5</v>
      </c>
      <c r="D222">
        <v>16</v>
      </c>
      <c r="E222">
        <v>0</v>
      </c>
      <c r="F222">
        <v>1</v>
      </c>
      <c r="G222">
        <v>0</v>
      </c>
      <c r="H222">
        <v>56</v>
      </c>
      <c r="I222" s="1">
        <f t="shared" si="6"/>
        <v>0.2857142857142857</v>
      </c>
      <c r="J222" t="str">
        <f t="shared" si="7"/>
        <v/>
      </c>
    </row>
    <row r="223" spans="1:10">
      <c r="A223" t="s">
        <v>71</v>
      </c>
      <c r="B223">
        <v>7</v>
      </c>
      <c r="C223">
        <v>6</v>
      </c>
      <c r="D223">
        <v>16</v>
      </c>
      <c r="E223">
        <v>0</v>
      </c>
      <c r="F223">
        <v>1</v>
      </c>
      <c r="G223">
        <v>0</v>
      </c>
      <c r="H223">
        <v>56</v>
      </c>
      <c r="I223" s="1">
        <f t="shared" si="6"/>
        <v>0.2857142857142857</v>
      </c>
      <c r="J223" t="str">
        <f t="shared" si="7"/>
        <v/>
      </c>
    </row>
    <row r="224" spans="1:10">
      <c r="A224" t="s">
        <v>71</v>
      </c>
      <c r="B224">
        <v>7</v>
      </c>
      <c r="C224">
        <v>7</v>
      </c>
      <c r="D224">
        <v>29</v>
      </c>
      <c r="E224">
        <v>0</v>
      </c>
      <c r="F224">
        <v>1</v>
      </c>
      <c r="G224">
        <v>0</v>
      </c>
      <c r="H224">
        <v>56</v>
      </c>
      <c r="I224" s="1">
        <f t="shared" si="6"/>
        <v>0.5178571428571429</v>
      </c>
      <c r="J224" t="str">
        <f t="shared" si="7"/>
        <v/>
      </c>
    </row>
    <row r="225" spans="1:10">
      <c r="A225" t="s">
        <v>71</v>
      </c>
      <c r="B225">
        <v>7</v>
      </c>
      <c r="C225">
        <v>8</v>
      </c>
      <c r="D225">
        <v>29</v>
      </c>
      <c r="E225">
        <v>0</v>
      </c>
      <c r="F225">
        <v>1</v>
      </c>
      <c r="G225">
        <v>0</v>
      </c>
      <c r="H225">
        <v>56</v>
      </c>
      <c r="I225" s="1">
        <f t="shared" si="6"/>
        <v>0.5178571428571429</v>
      </c>
      <c r="J225" t="str">
        <f t="shared" si="7"/>
        <v/>
      </c>
    </row>
    <row r="226" spans="1:10">
      <c r="A226" t="s">
        <v>71</v>
      </c>
      <c r="B226">
        <v>7</v>
      </c>
      <c r="C226">
        <v>9</v>
      </c>
      <c r="D226">
        <v>56</v>
      </c>
      <c r="E226">
        <v>0</v>
      </c>
      <c r="F226">
        <v>0</v>
      </c>
      <c r="G226">
        <v>0</v>
      </c>
      <c r="H226">
        <v>56</v>
      </c>
      <c r="I226" s="1">
        <f t="shared" si="6"/>
        <v>1</v>
      </c>
      <c r="J226" t="str">
        <f t="shared" si="7"/>
        <v/>
      </c>
    </row>
    <row r="227" spans="1:10">
      <c r="A227" t="s">
        <v>71</v>
      </c>
      <c r="B227">
        <v>7</v>
      </c>
      <c r="C227">
        <v>10</v>
      </c>
      <c r="D227">
        <v>56</v>
      </c>
      <c r="E227">
        <v>0</v>
      </c>
      <c r="F227">
        <v>0</v>
      </c>
      <c r="G227">
        <v>0</v>
      </c>
      <c r="H227">
        <v>56</v>
      </c>
      <c r="I227" s="1">
        <f t="shared" si="6"/>
        <v>1</v>
      </c>
      <c r="J227" t="str">
        <f t="shared" si="7"/>
        <v/>
      </c>
    </row>
    <row r="228" spans="1:10">
      <c r="A228" t="s">
        <v>71</v>
      </c>
      <c r="B228">
        <v>8</v>
      </c>
      <c r="C228">
        <v>1</v>
      </c>
      <c r="D228">
        <v>4</v>
      </c>
      <c r="E228">
        <v>0</v>
      </c>
      <c r="F228">
        <v>1</v>
      </c>
      <c r="G228">
        <v>0</v>
      </c>
      <c r="H228">
        <v>86</v>
      </c>
      <c r="I228" s="1">
        <f t="shared" si="6"/>
        <v>4.6511627906976744E-2</v>
      </c>
      <c r="J228" t="str">
        <f t="shared" si="7"/>
        <v/>
      </c>
    </row>
    <row r="229" spans="1:10">
      <c r="A229" t="s">
        <v>71</v>
      </c>
      <c r="B229">
        <v>8</v>
      </c>
      <c r="C229">
        <v>2</v>
      </c>
      <c r="D229">
        <v>15</v>
      </c>
      <c r="E229">
        <v>0</v>
      </c>
      <c r="F229">
        <v>2</v>
      </c>
      <c r="G229">
        <v>0</v>
      </c>
      <c r="H229">
        <v>86</v>
      </c>
      <c r="I229" s="1">
        <f t="shared" si="6"/>
        <v>0.1744186046511628</v>
      </c>
      <c r="J229" t="str">
        <f t="shared" si="7"/>
        <v/>
      </c>
    </row>
    <row r="230" spans="1:10">
      <c r="A230" t="s">
        <v>71</v>
      </c>
      <c r="B230">
        <v>8</v>
      </c>
      <c r="C230">
        <v>3</v>
      </c>
      <c r="D230">
        <v>19</v>
      </c>
      <c r="E230">
        <v>0</v>
      </c>
      <c r="F230">
        <v>2</v>
      </c>
      <c r="G230">
        <v>0</v>
      </c>
      <c r="H230">
        <v>86</v>
      </c>
      <c r="I230" s="1">
        <f t="shared" si="6"/>
        <v>0.22093023255813954</v>
      </c>
      <c r="J230" t="str">
        <f t="shared" si="7"/>
        <v/>
      </c>
    </row>
    <row r="231" spans="1:10">
      <c r="A231" t="s">
        <v>71</v>
      </c>
      <c r="B231">
        <v>8</v>
      </c>
      <c r="C231">
        <v>4</v>
      </c>
      <c r="D231">
        <v>29</v>
      </c>
      <c r="E231">
        <v>0</v>
      </c>
      <c r="F231">
        <v>2</v>
      </c>
      <c r="G231">
        <v>0</v>
      </c>
      <c r="H231">
        <v>86</v>
      </c>
      <c r="I231" s="1">
        <f t="shared" si="6"/>
        <v>0.33720930232558138</v>
      </c>
      <c r="J231" t="str">
        <f t="shared" si="7"/>
        <v/>
      </c>
    </row>
    <row r="232" spans="1:10">
      <c r="A232" t="s">
        <v>71</v>
      </c>
      <c r="B232">
        <v>8</v>
      </c>
      <c r="C232">
        <v>5</v>
      </c>
      <c r="D232">
        <v>31</v>
      </c>
      <c r="E232">
        <v>0</v>
      </c>
      <c r="F232">
        <v>2</v>
      </c>
      <c r="G232">
        <v>0</v>
      </c>
      <c r="H232">
        <v>86</v>
      </c>
      <c r="I232" s="1">
        <f t="shared" si="6"/>
        <v>0.36046511627906974</v>
      </c>
      <c r="J232" t="str">
        <f t="shared" si="7"/>
        <v/>
      </c>
    </row>
    <row r="233" spans="1:10">
      <c r="A233" t="s">
        <v>71</v>
      </c>
      <c r="B233">
        <v>8</v>
      </c>
      <c r="C233">
        <v>6</v>
      </c>
      <c r="D233">
        <v>67</v>
      </c>
      <c r="E233">
        <v>0</v>
      </c>
      <c r="F233">
        <v>3</v>
      </c>
      <c r="G233">
        <v>0</v>
      </c>
      <c r="H233">
        <v>86</v>
      </c>
      <c r="I233" s="1">
        <f t="shared" si="6"/>
        <v>0.77906976744186052</v>
      </c>
      <c r="J233" t="str">
        <f t="shared" si="7"/>
        <v/>
      </c>
    </row>
    <row r="234" spans="1:10">
      <c r="A234" t="s">
        <v>71</v>
      </c>
      <c r="B234">
        <v>8</v>
      </c>
      <c r="C234">
        <v>7</v>
      </c>
      <c r="D234">
        <v>69</v>
      </c>
      <c r="E234">
        <v>0</v>
      </c>
      <c r="F234">
        <v>3</v>
      </c>
      <c r="G234">
        <v>0</v>
      </c>
      <c r="H234">
        <v>86</v>
      </c>
      <c r="I234" s="1">
        <f t="shared" si="6"/>
        <v>0.80232558139534882</v>
      </c>
      <c r="J234" t="str">
        <f t="shared" si="7"/>
        <v/>
      </c>
    </row>
    <row r="235" spans="1:10">
      <c r="A235" t="s">
        <v>71</v>
      </c>
      <c r="B235">
        <v>8</v>
      </c>
      <c r="C235">
        <v>8</v>
      </c>
      <c r="D235">
        <v>74</v>
      </c>
      <c r="E235">
        <v>0</v>
      </c>
      <c r="F235">
        <v>3</v>
      </c>
      <c r="G235">
        <v>0</v>
      </c>
      <c r="H235">
        <v>86</v>
      </c>
      <c r="I235" s="1">
        <f t="shared" si="6"/>
        <v>0.86046511627906974</v>
      </c>
      <c r="J235" t="str">
        <f t="shared" si="7"/>
        <v/>
      </c>
    </row>
    <row r="236" spans="1:10">
      <c r="A236" t="s">
        <v>71</v>
      </c>
      <c r="B236">
        <v>8</v>
      </c>
      <c r="C236">
        <v>9</v>
      </c>
      <c r="D236">
        <v>78</v>
      </c>
      <c r="E236">
        <v>0</v>
      </c>
      <c r="F236">
        <v>3</v>
      </c>
      <c r="G236">
        <v>0</v>
      </c>
      <c r="H236">
        <v>86</v>
      </c>
      <c r="I236" s="1">
        <f t="shared" si="6"/>
        <v>0.90697674418604646</v>
      </c>
      <c r="J236" t="str">
        <f t="shared" si="7"/>
        <v/>
      </c>
    </row>
    <row r="237" spans="1:10">
      <c r="A237" t="s">
        <v>71</v>
      </c>
      <c r="B237">
        <v>8</v>
      </c>
      <c r="C237">
        <v>10</v>
      </c>
      <c r="D237">
        <v>81</v>
      </c>
      <c r="E237">
        <v>0</v>
      </c>
      <c r="F237">
        <v>3</v>
      </c>
      <c r="G237">
        <v>0</v>
      </c>
      <c r="H237">
        <v>86</v>
      </c>
      <c r="I237" s="1">
        <f t="shared" si="6"/>
        <v>0.94186046511627908</v>
      </c>
      <c r="J237" t="str">
        <f t="shared" si="7"/>
        <v/>
      </c>
    </row>
    <row r="238" spans="1:10">
      <c r="A238" t="s">
        <v>71</v>
      </c>
      <c r="B238">
        <v>8</v>
      </c>
      <c r="C238">
        <v>11</v>
      </c>
      <c r="D238">
        <v>85</v>
      </c>
      <c r="E238">
        <v>0</v>
      </c>
      <c r="F238">
        <v>1</v>
      </c>
      <c r="G238">
        <v>0</v>
      </c>
      <c r="H238">
        <v>86</v>
      </c>
      <c r="I238" s="1">
        <f t="shared" si="6"/>
        <v>0.98837209302325579</v>
      </c>
      <c r="J238" t="str">
        <f t="shared" si="7"/>
        <v/>
      </c>
    </row>
    <row r="239" spans="1:10">
      <c r="A239" t="s">
        <v>71</v>
      </c>
      <c r="B239">
        <v>8</v>
      </c>
      <c r="C239">
        <v>12</v>
      </c>
      <c r="D239">
        <v>86</v>
      </c>
      <c r="E239">
        <v>0</v>
      </c>
      <c r="F239">
        <v>0</v>
      </c>
      <c r="G239">
        <v>0</v>
      </c>
      <c r="H239">
        <v>86</v>
      </c>
      <c r="I239" s="1">
        <f t="shared" si="6"/>
        <v>1</v>
      </c>
      <c r="J239" t="str">
        <f t="shared" si="7"/>
        <v/>
      </c>
    </row>
    <row r="240" spans="1:10">
      <c r="A240" t="s">
        <v>71</v>
      </c>
      <c r="B240">
        <v>9</v>
      </c>
      <c r="C240">
        <v>1</v>
      </c>
      <c r="D240">
        <v>4</v>
      </c>
      <c r="E240">
        <v>0</v>
      </c>
      <c r="F240">
        <v>1</v>
      </c>
      <c r="G240">
        <v>0</v>
      </c>
      <c r="H240">
        <v>46</v>
      </c>
      <c r="I240" s="1">
        <f t="shared" si="6"/>
        <v>8.6956521739130432E-2</v>
      </c>
      <c r="J240" t="str">
        <f t="shared" si="7"/>
        <v/>
      </c>
    </row>
    <row r="241" spans="1:10">
      <c r="A241" t="s">
        <v>71</v>
      </c>
      <c r="B241">
        <v>9</v>
      </c>
      <c r="C241">
        <v>2</v>
      </c>
      <c r="D241">
        <v>9</v>
      </c>
      <c r="E241">
        <v>0</v>
      </c>
      <c r="F241">
        <v>1</v>
      </c>
      <c r="G241">
        <v>0</v>
      </c>
      <c r="H241">
        <v>46</v>
      </c>
      <c r="I241" s="1">
        <f t="shared" si="6"/>
        <v>0.19565217391304349</v>
      </c>
      <c r="J241" t="str">
        <f t="shared" si="7"/>
        <v/>
      </c>
    </row>
    <row r="242" spans="1:10">
      <c r="A242" t="s">
        <v>71</v>
      </c>
      <c r="B242">
        <v>9</v>
      </c>
      <c r="C242">
        <v>3</v>
      </c>
      <c r="D242">
        <v>21</v>
      </c>
      <c r="E242">
        <v>0</v>
      </c>
      <c r="F242">
        <v>1</v>
      </c>
      <c r="G242">
        <v>0</v>
      </c>
      <c r="H242">
        <v>46</v>
      </c>
      <c r="I242" s="1">
        <f t="shared" si="6"/>
        <v>0.45652173913043476</v>
      </c>
      <c r="J242" t="str">
        <f t="shared" si="7"/>
        <v/>
      </c>
    </row>
    <row r="243" spans="1:10">
      <c r="A243" t="s">
        <v>71</v>
      </c>
      <c r="B243">
        <v>9</v>
      </c>
      <c r="C243">
        <v>4</v>
      </c>
      <c r="D243">
        <v>46</v>
      </c>
      <c r="E243">
        <v>0</v>
      </c>
      <c r="F243">
        <v>0</v>
      </c>
      <c r="G243">
        <v>0</v>
      </c>
      <c r="H243">
        <v>46</v>
      </c>
      <c r="I243" s="1">
        <f t="shared" si="6"/>
        <v>1</v>
      </c>
      <c r="J243" t="str">
        <f t="shared" si="7"/>
        <v/>
      </c>
    </row>
    <row r="244" spans="1:10">
      <c r="A244" t="s">
        <v>71</v>
      </c>
      <c r="B244">
        <v>10</v>
      </c>
      <c r="C244">
        <v>1</v>
      </c>
      <c r="D244">
        <v>1</v>
      </c>
      <c r="E244">
        <v>0</v>
      </c>
      <c r="F244">
        <v>1</v>
      </c>
      <c r="G244">
        <v>0</v>
      </c>
      <c r="H244">
        <v>30</v>
      </c>
      <c r="I244" s="1">
        <f t="shared" si="6"/>
        <v>3.3333333333333333E-2</v>
      </c>
      <c r="J244" t="str">
        <f t="shared" si="7"/>
        <v/>
      </c>
    </row>
    <row r="245" spans="1:10">
      <c r="A245" t="s">
        <v>71</v>
      </c>
      <c r="B245">
        <v>10</v>
      </c>
      <c r="C245">
        <v>2</v>
      </c>
      <c r="D245">
        <v>6</v>
      </c>
      <c r="E245">
        <v>0</v>
      </c>
      <c r="F245">
        <v>3</v>
      </c>
      <c r="G245">
        <v>0</v>
      </c>
      <c r="H245">
        <v>30</v>
      </c>
      <c r="I245" s="1">
        <f t="shared" si="6"/>
        <v>0.2</v>
      </c>
      <c r="J245" t="str">
        <f t="shared" si="7"/>
        <v/>
      </c>
    </row>
    <row r="246" spans="1:10">
      <c r="A246" t="s">
        <v>71</v>
      </c>
      <c r="B246">
        <v>10</v>
      </c>
      <c r="C246">
        <v>3</v>
      </c>
      <c r="D246">
        <v>12</v>
      </c>
      <c r="E246">
        <v>0</v>
      </c>
      <c r="F246">
        <v>4</v>
      </c>
      <c r="G246">
        <v>0</v>
      </c>
      <c r="H246">
        <v>30</v>
      </c>
      <c r="I246" s="1">
        <f t="shared" si="6"/>
        <v>0.4</v>
      </c>
      <c r="J246" t="str">
        <f t="shared" si="7"/>
        <v/>
      </c>
    </row>
    <row r="247" spans="1:10">
      <c r="A247" t="s">
        <v>71</v>
      </c>
      <c r="B247">
        <v>10</v>
      </c>
      <c r="C247">
        <v>4</v>
      </c>
      <c r="D247">
        <v>13</v>
      </c>
      <c r="E247">
        <v>0</v>
      </c>
      <c r="F247">
        <v>3</v>
      </c>
      <c r="G247">
        <v>0</v>
      </c>
      <c r="H247">
        <v>30</v>
      </c>
      <c r="I247" s="1">
        <f t="shared" si="6"/>
        <v>0.43333333333333335</v>
      </c>
      <c r="J247" t="str">
        <f t="shared" si="7"/>
        <v/>
      </c>
    </row>
    <row r="248" spans="1:10">
      <c r="A248" t="s">
        <v>71</v>
      </c>
      <c r="B248">
        <v>10</v>
      </c>
      <c r="C248">
        <v>5</v>
      </c>
      <c r="D248">
        <v>19</v>
      </c>
      <c r="E248">
        <v>0</v>
      </c>
      <c r="F248">
        <v>4</v>
      </c>
      <c r="G248">
        <v>0</v>
      </c>
      <c r="H248">
        <v>30</v>
      </c>
      <c r="I248" s="1">
        <f t="shared" si="6"/>
        <v>0.6333333333333333</v>
      </c>
      <c r="J248" t="str">
        <f t="shared" si="7"/>
        <v/>
      </c>
    </row>
    <row r="249" spans="1:10">
      <c r="A249" t="s">
        <v>71</v>
      </c>
      <c r="B249">
        <v>10</v>
      </c>
      <c r="C249">
        <v>6</v>
      </c>
      <c r="D249">
        <v>19</v>
      </c>
      <c r="E249">
        <v>0</v>
      </c>
      <c r="F249">
        <v>4</v>
      </c>
      <c r="G249">
        <v>0</v>
      </c>
      <c r="H249">
        <v>30</v>
      </c>
      <c r="I249" s="1">
        <f t="shared" si="6"/>
        <v>0.6333333333333333</v>
      </c>
      <c r="J249" t="str">
        <f t="shared" si="7"/>
        <v/>
      </c>
    </row>
    <row r="250" spans="1:10">
      <c r="A250" t="s">
        <v>71</v>
      </c>
      <c r="B250">
        <v>10</v>
      </c>
      <c r="C250">
        <v>7</v>
      </c>
      <c r="D250">
        <v>20</v>
      </c>
      <c r="E250">
        <v>0</v>
      </c>
      <c r="F250">
        <v>3</v>
      </c>
      <c r="G250">
        <v>0</v>
      </c>
      <c r="H250">
        <v>30</v>
      </c>
      <c r="I250" s="1">
        <f t="shared" si="6"/>
        <v>0.66666666666666663</v>
      </c>
      <c r="J250" t="str">
        <f t="shared" si="7"/>
        <v/>
      </c>
    </row>
    <row r="251" spans="1:10">
      <c r="A251" t="s">
        <v>71</v>
      </c>
      <c r="B251">
        <v>10</v>
      </c>
      <c r="C251">
        <v>8</v>
      </c>
      <c r="D251">
        <v>24</v>
      </c>
      <c r="E251">
        <v>0</v>
      </c>
      <c r="F251">
        <v>3</v>
      </c>
      <c r="G251">
        <v>0</v>
      </c>
      <c r="H251">
        <v>30</v>
      </c>
      <c r="I251" s="1">
        <f t="shared" si="6"/>
        <v>0.8</v>
      </c>
      <c r="J251" t="str">
        <f t="shared" si="7"/>
        <v/>
      </c>
    </row>
    <row r="252" spans="1:10">
      <c r="A252" t="s">
        <v>71</v>
      </c>
      <c r="B252">
        <v>10</v>
      </c>
      <c r="C252">
        <v>9</v>
      </c>
      <c r="D252">
        <v>24</v>
      </c>
      <c r="E252">
        <v>0</v>
      </c>
      <c r="F252">
        <v>3</v>
      </c>
      <c r="G252">
        <v>0</v>
      </c>
      <c r="H252">
        <v>30</v>
      </c>
      <c r="I252" s="1">
        <f t="shared" si="6"/>
        <v>0.8</v>
      </c>
      <c r="J252" t="str">
        <f t="shared" si="7"/>
        <v/>
      </c>
    </row>
    <row r="253" spans="1:10">
      <c r="A253" t="s">
        <v>71</v>
      </c>
      <c r="B253">
        <v>10</v>
      </c>
      <c r="C253">
        <v>10</v>
      </c>
      <c r="D253">
        <v>24</v>
      </c>
      <c r="E253">
        <v>0</v>
      </c>
      <c r="F253">
        <v>3</v>
      </c>
      <c r="G253">
        <v>0</v>
      </c>
      <c r="H253">
        <v>30</v>
      </c>
      <c r="I253" s="1">
        <f t="shared" si="6"/>
        <v>0.8</v>
      </c>
      <c r="J253" t="str">
        <f t="shared" si="7"/>
        <v/>
      </c>
    </row>
    <row r="254" spans="1:10">
      <c r="A254" t="s">
        <v>71</v>
      </c>
      <c r="B254">
        <v>10</v>
      </c>
      <c r="C254">
        <v>11</v>
      </c>
      <c r="D254">
        <v>25</v>
      </c>
      <c r="E254">
        <v>0</v>
      </c>
      <c r="F254">
        <v>2</v>
      </c>
      <c r="G254">
        <v>0</v>
      </c>
      <c r="H254">
        <v>30</v>
      </c>
      <c r="I254" s="1">
        <f t="shared" si="6"/>
        <v>0.83333333333333337</v>
      </c>
      <c r="J254" t="str">
        <f t="shared" si="7"/>
        <v/>
      </c>
    </row>
    <row r="255" spans="1:10">
      <c r="A255" t="s">
        <v>71</v>
      </c>
      <c r="B255">
        <v>10</v>
      </c>
      <c r="C255">
        <v>12</v>
      </c>
      <c r="D255">
        <v>29</v>
      </c>
      <c r="E255">
        <v>0</v>
      </c>
      <c r="F255">
        <v>1</v>
      </c>
      <c r="G255">
        <v>0</v>
      </c>
      <c r="H255">
        <v>30</v>
      </c>
      <c r="I255" s="1">
        <f t="shared" si="6"/>
        <v>0.96666666666666667</v>
      </c>
      <c r="J255" t="str">
        <f t="shared" si="7"/>
        <v/>
      </c>
    </row>
    <row r="256" spans="1:10">
      <c r="A256" t="s">
        <v>71</v>
      </c>
      <c r="B256">
        <v>10</v>
      </c>
      <c r="C256">
        <v>13</v>
      </c>
      <c r="D256">
        <v>30</v>
      </c>
      <c r="E256">
        <v>0</v>
      </c>
      <c r="F256">
        <v>0</v>
      </c>
      <c r="G256">
        <v>0</v>
      </c>
      <c r="H256">
        <v>30</v>
      </c>
      <c r="I256" s="1">
        <f t="shared" si="6"/>
        <v>1</v>
      </c>
      <c r="J256" t="str">
        <f t="shared" si="7"/>
        <v/>
      </c>
    </row>
    <row r="257" spans="1:10">
      <c r="A257" t="s">
        <v>71</v>
      </c>
      <c r="B257">
        <v>10</v>
      </c>
      <c r="C257">
        <v>14</v>
      </c>
      <c r="D257">
        <v>30</v>
      </c>
      <c r="E257">
        <v>0</v>
      </c>
      <c r="F257">
        <v>0</v>
      </c>
      <c r="G257">
        <v>0</v>
      </c>
      <c r="H257">
        <v>30</v>
      </c>
      <c r="I257" s="1">
        <f t="shared" si="6"/>
        <v>1</v>
      </c>
      <c r="J257" t="str">
        <f t="shared" si="7"/>
        <v/>
      </c>
    </row>
    <row r="258" spans="1:10">
      <c r="A258" t="s">
        <v>71</v>
      </c>
      <c r="B258">
        <v>10</v>
      </c>
      <c r="C258">
        <v>15</v>
      </c>
      <c r="D258">
        <v>30</v>
      </c>
      <c r="E258">
        <v>0</v>
      </c>
      <c r="F258">
        <v>0</v>
      </c>
      <c r="G258">
        <v>0</v>
      </c>
      <c r="H258">
        <v>30</v>
      </c>
      <c r="I258" s="1">
        <f t="shared" si="6"/>
        <v>1</v>
      </c>
      <c r="J258" t="str">
        <f t="shared" si="7"/>
        <v/>
      </c>
    </row>
    <row r="259" spans="1:10">
      <c r="A259" t="s">
        <v>71</v>
      </c>
      <c r="B259">
        <v>10</v>
      </c>
      <c r="C259">
        <v>16</v>
      </c>
      <c r="D259">
        <v>30</v>
      </c>
      <c r="E259">
        <v>0</v>
      </c>
      <c r="F259">
        <v>0</v>
      </c>
      <c r="G259">
        <v>0</v>
      </c>
      <c r="H259">
        <v>30</v>
      </c>
      <c r="I259" s="1">
        <f t="shared" ref="I259:I322" si="8">D259/H259</f>
        <v>1</v>
      </c>
      <c r="J259" t="str">
        <f t="shared" ref="J259:J322" si="9">IF(I259&gt;1,"!","")</f>
        <v/>
      </c>
    </row>
    <row r="260" spans="1:10">
      <c r="A260" t="s">
        <v>71</v>
      </c>
      <c r="B260">
        <v>10</v>
      </c>
      <c r="C260">
        <v>17</v>
      </c>
      <c r="D260">
        <v>30</v>
      </c>
      <c r="E260">
        <v>0</v>
      </c>
      <c r="F260">
        <v>0</v>
      </c>
      <c r="G260">
        <v>0</v>
      </c>
      <c r="H260">
        <v>30</v>
      </c>
      <c r="I260" s="1">
        <f t="shared" si="8"/>
        <v>1</v>
      </c>
      <c r="J260" t="str">
        <f t="shared" si="9"/>
        <v/>
      </c>
    </row>
    <row r="261" spans="1:10">
      <c r="A261" t="s">
        <v>71</v>
      </c>
      <c r="B261">
        <v>10</v>
      </c>
      <c r="C261">
        <v>18</v>
      </c>
      <c r="D261">
        <v>30</v>
      </c>
      <c r="E261">
        <v>0</v>
      </c>
      <c r="F261">
        <v>0</v>
      </c>
      <c r="G261">
        <v>0</v>
      </c>
      <c r="H261">
        <v>30</v>
      </c>
      <c r="I261" s="1">
        <f t="shared" si="8"/>
        <v>1</v>
      </c>
      <c r="J261" t="str">
        <f t="shared" si="9"/>
        <v/>
      </c>
    </row>
    <row r="262" spans="1:10">
      <c r="A262" t="s">
        <v>71</v>
      </c>
      <c r="B262">
        <v>10</v>
      </c>
      <c r="C262">
        <v>19</v>
      </c>
      <c r="D262">
        <v>30</v>
      </c>
      <c r="E262">
        <v>0</v>
      </c>
      <c r="F262">
        <v>0</v>
      </c>
      <c r="G262">
        <v>0</v>
      </c>
      <c r="H262">
        <v>30</v>
      </c>
      <c r="I262" s="1">
        <f t="shared" si="8"/>
        <v>1</v>
      </c>
      <c r="J262" t="str">
        <f t="shared" si="9"/>
        <v/>
      </c>
    </row>
    <row r="263" spans="1:10">
      <c r="A263" t="s">
        <v>71</v>
      </c>
      <c r="B263">
        <v>10</v>
      </c>
      <c r="C263">
        <v>20</v>
      </c>
      <c r="D263">
        <v>30</v>
      </c>
      <c r="E263">
        <v>0</v>
      </c>
      <c r="F263">
        <v>0</v>
      </c>
      <c r="G263">
        <v>0</v>
      </c>
      <c r="H263">
        <v>30</v>
      </c>
      <c r="I263" s="1">
        <f t="shared" si="8"/>
        <v>1</v>
      </c>
      <c r="J263" t="str">
        <f t="shared" si="9"/>
        <v/>
      </c>
    </row>
    <row r="264" spans="1:10">
      <c r="A264" t="s">
        <v>71</v>
      </c>
      <c r="B264">
        <v>10</v>
      </c>
      <c r="C264">
        <v>21</v>
      </c>
      <c r="D264">
        <v>30</v>
      </c>
      <c r="E264">
        <v>0</v>
      </c>
      <c r="F264">
        <v>0</v>
      </c>
      <c r="G264">
        <v>0</v>
      </c>
      <c r="H264">
        <v>30</v>
      </c>
      <c r="I264" s="1">
        <f t="shared" si="8"/>
        <v>1</v>
      </c>
      <c r="J264" t="str">
        <f t="shared" si="9"/>
        <v/>
      </c>
    </row>
    <row r="265" spans="1:10">
      <c r="A265" t="s">
        <v>71</v>
      </c>
      <c r="B265">
        <v>10</v>
      </c>
      <c r="C265">
        <v>22</v>
      </c>
      <c r="D265">
        <v>30</v>
      </c>
      <c r="E265">
        <v>0</v>
      </c>
      <c r="F265">
        <v>0</v>
      </c>
      <c r="G265">
        <v>0</v>
      </c>
      <c r="H265">
        <v>30</v>
      </c>
      <c r="I265" s="1">
        <f t="shared" si="8"/>
        <v>1</v>
      </c>
      <c r="J265" t="str">
        <f t="shared" si="9"/>
        <v/>
      </c>
    </row>
    <row r="266" spans="1:10">
      <c r="A266" t="s">
        <v>71</v>
      </c>
      <c r="B266">
        <v>10</v>
      </c>
      <c r="C266">
        <v>23</v>
      </c>
      <c r="D266">
        <v>30</v>
      </c>
      <c r="E266">
        <v>0</v>
      </c>
      <c r="F266">
        <v>0</v>
      </c>
      <c r="G266">
        <v>0</v>
      </c>
      <c r="H266">
        <v>30</v>
      </c>
      <c r="I266" s="1">
        <f t="shared" si="8"/>
        <v>1</v>
      </c>
      <c r="J266" t="str">
        <f t="shared" si="9"/>
        <v/>
      </c>
    </row>
    <row r="267" spans="1:10">
      <c r="A267" t="s">
        <v>71</v>
      </c>
      <c r="B267">
        <v>10</v>
      </c>
      <c r="C267">
        <v>24</v>
      </c>
      <c r="D267">
        <v>30</v>
      </c>
      <c r="E267">
        <v>0</v>
      </c>
      <c r="F267">
        <v>0</v>
      </c>
      <c r="G267">
        <v>0</v>
      </c>
      <c r="H267">
        <v>30</v>
      </c>
      <c r="I267" s="1">
        <f t="shared" si="8"/>
        <v>1</v>
      </c>
      <c r="J267" t="str">
        <f t="shared" si="9"/>
        <v/>
      </c>
    </row>
    <row r="268" spans="1:10">
      <c r="A268" t="s">
        <v>71</v>
      </c>
      <c r="B268">
        <v>10</v>
      </c>
      <c r="C268">
        <v>25</v>
      </c>
      <c r="D268">
        <v>30</v>
      </c>
      <c r="E268">
        <v>0</v>
      </c>
      <c r="F268">
        <v>0</v>
      </c>
      <c r="G268">
        <v>0</v>
      </c>
      <c r="H268">
        <v>30</v>
      </c>
      <c r="I268" s="1">
        <f t="shared" si="8"/>
        <v>1</v>
      </c>
      <c r="J268" t="str">
        <f t="shared" si="9"/>
        <v/>
      </c>
    </row>
    <row r="269" spans="1:10">
      <c r="A269" t="s">
        <v>71</v>
      </c>
      <c r="B269">
        <v>10</v>
      </c>
      <c r="C269">
        <v>26</v>
      </c>
      <c r="D269">
        <v>30</v>
      </c>
      <c r="E269">
        <v>0</v>
      </c>
      <c r="F269">
        <v>0</v>
      </c>
      <c r="G269">
        <v>0</v>
      </c>
      <c r="H269">
        <v>30</v>
      </c>
      <c r="I269" s="1">
        <f t="shared" si="8"/>
        <v>1</v>
      </c>
      <c r="J269" t="str">
        <f t="shared" si="9"/>
        <v/>
      </c>
    </row>
    <row r="270" spans="1:10">
      <c r="A270" t="s">
        <v>71</v>
      </c>
      <c r="B270">
        <v>10</v>
      </c>
      <c r="C270">
        <v>27</v>
      </c>
      <c r="D270">
        <v>30</v>
      </c>
      <c r="E270">
        <v>0</v>
      </c>
      <c r="F270">
        <v>0</v>
      </c>
      <c r="G270">
        <v>0</v>
      </c>
      <c r="H270">
        <v>30</v>
      </c>
      <c r="I270" s="1">
        <f t="shared" si="8"/>
        <v>1</v>
      </c>
      <c r="J270" t="str">
        <f t="shared" si="9"/>
        <v/>
      </c>
    </row>
    <row r="271" spans="1:10">
      <c r="A271" t="s">
        <v>71</v>
      </c>
      <c r="B271">
        <v>10</v>
      </c>
      <c r="C271">
        <v>28</v>
      </c>
      <c r="D271">
        <v>30</v>
      </c>
      <c r="E271">
        <v>0</v>
      </c>
      <c r="F271">
        <v>0</v>
      </c>
      <c r="G271">
        <v>0</v>
      </c>
      <c r="H271">
        <v>30</v>
      </c>
      <c r="I271" s="1">
        <f t="shared" si="8"/>
        <v>1</v>
      </c>
      <c r="J271" t="str">
        <f t="shared" si="9"/>
        <v/>
      </c>
    </row>
    <row r="272" spans="1:10">
      <c r="A272" t="s">
        <v>71</v>
      </c>
      <c r="B272">
        <v>10</v>
      </c>
      <c r="C272">
        <v>29</v>
      </c>
      <c r="D272">
        <v>30</v>
      </c>
      <c r="E272">
        <v>0</v>
      </c>
      <c r="F272">
        <v>0</v>
      </c>
      <c r="G272">
        <v>0</v>
      </c>
      <c r="H272">
        <v>30</v>
      </c>
      <c r="I272" s="1">
        <f t="shared" si="8"/>
        <v>1</v>
      </c>
      <c r="J272" t="str">
        <f t="shared" si="9"/>
        <v/>
      </c>
    </row>
    <row r="273" spans="1:10">
      <c r="A273" t="s">
        <v>71</v>
      </c>
      <c r="B273">
        <v>10</v>
      </c>
      <c r="C273">
        <v>30</v>
      </c>
      <c r="D273">
        <v>30</v>
      </c>
      <c r="E273">
        <v>0</v>
      </c>
      <c r="F273">
        <v>0</v>
      </c>
      <c r="G273">
        <v>0</v>
      </c>
      <c r="H273">
        <v>30</v>
      </c>
      <c r="I273" s="1">
        <f t="shared" si="8"/>
        <v>1</v>
      </c>
      <c r="J273" t="str">
        <f t="shared" si="9"/>
        <v/>
      </c>
    </row>
    <row r="274" spans="1:10">
      <c r="A274" t="s">
        <v>71</v>
      </c>
      <c r="B274">
        <v>10</v>
      </c>
      <c r="C274">
        <v>31</v>
      </c>
      <c r="D274">
        <v>30</v>
      </c>
      <c r="E274">
        <v>0</v>
      </c>
      <c r="F274">
        <v>0</v>
      </c>
      <c r="G274">
        <v>0</v>
      </c>
      <c r="H274">
        <v>30</v>
      </c>
      <c r="I274" s="1">
        <f t="shared" si="8"/>
        <v>1</v>
      </c>
      <c r="J274" t="str">
        <f t="shared" si="9"/>
        <v/>
      </c>
    </row>
    <row r="275" spans="1:10">
      <c r="A275" t="s">
        <v>71</v>
      </c>
      <c r="B275">
        <v>10</v>
      </c>
      <c r="C275">
        <v>32</v>
      </c>
      <c r="D275">
        <v>30</v>
      </c>
      <c r="E275">
        <v>0</v>
      </c>
      <c r="F275">
        <v>0</v>
      </c>
      <c r="G275">
        <v>0</v>
      </c>
      <c r="H275">
        <v>30</v>
      </c>
      <c r="I275" s="1">
        <f t="shared" si="8"/>
        <v>1</v>
      </c>
      <c r="J275" t="str">
        <f t="shared" si="9"/>
        <v/>
      </c>
    </row>
    <row r="276" spans="1:10">
      <c r="A276" t="s">
        <v>112</v>
      </c>
      <c r="B276">
        <v>3</v>
      </c>
      <c r="C276">
        <v>1</v>
      </c>
      <c r="D276">
        <v>130</v>
      </c>
      <c r="E276">
        <v>0</v>
      </c>
      <c r="F276">
        <v>3</v>
      </c>
      <c r="G276">
        <v>0</v>
      </c>
      <c r="H276">
        <v>139</v>
      </c>
      <c r="I276" s="1">
        <f t="shared" si="8"/>
        <v>0.93525179856115104</v>
      </c>
      <c r="J276" t="str">
        <f t="shared" si="9"/>
        <v/>
      </c>
    </row>
    <row r="277" spans="1:10">
      <c r="A277" t="s">
        <v>112</v>
      </c>
      <c r="B277">
        <v>3</v>
      </c>
      <c r="C277">
        <v>2</v>
      </c>
      <c r="D277">
        <v>139</v>
      </c>
      <c r="E277">
        <v>0</v>
      </c>
      <c r="F277">
        <v>0</v>
      </c>
      <c r="G277">
        <v>0</v>
      </c>
      <c r="H277">
        <v>139</v>
      </c>
      <c r="I277" s="1">
        <f t="shared" si="8"/>
        <v>1</v>
      </c>
      <c r="J277" t="str">
        <f t="shared" si="9"/>
        <v/>
      </c>
    </row>
    <row r="278" spans="1:10">
      <c r="A278" t="s">
        <v>303</v>
      </c>
      <c r="B278">
        <v>2</v>
      </c>
      <c r="C278">
        <v>1</v>
      </c>
      <c r="D278">
        <v>13</v>
      </c>
      <c r="E278">
        <v>0</v>
      </c>
      <c r="F278">
        <v>2</v>
      </c>
      <c r="G278">
        <v>0</v>
      </c>
      <c r="H278">
        <v>240</v>
      </c>
      <c r="I278" s="1">
        <f t="shared" si="8"/>
        <v>5.4166666666666669E-2</v>
      </c>
      <c r="J278" t="str">
        <f t="shared" si="9"/>
        <v/>
      </c>
    </row>
    <row r="279" spans="1:10">
      <c r="A279" t="s">
        <v>303</v>
      </c>
      <c r="B279">
        <v>2</v>
      </c>
      <c r="C279">
        <v>2</v>
      </c>
      <c r="D279">
        <v>58</v>
      </c>
      <c r="E279">
        <v>0</v>
      </c>
      <c r="F279">
        <v>1</v>
      </c>
      <c r="G279">
        <v>0</v>
      </c>
      <c r="H279">
        <v>240</v>
      </c>
      <c r="I279" s="1">
        <f t="shared" si="8"/>
        <v>0.24166666666666667</v>
      </c>
      <c r="J279" t="str">
        <f t="shared" si="9"/>
        <v/>
      </c>
    </row>
    <row r="280" spans="1:10">
      <c r="A280" t="s">
        <v>303</v>
      </c>
      <c r="B280">
        <v>2</v>
      </c>
      <c r="C280">
        <v>3</v>
      </c>
      <c r="D280">
        <v>240</v>
      </c>
      <c r="E280">
        <v>0</v>
      </c>
      <c r="F280">
        <v>0</v>
      </c>
      <c r="G280">
        <v>0</v>
      </c>
      <c r="H280">
        <v>240</v>
      </c>
      <c r="I280" s="1">
        <f t="shared" si="8"/>
        <v>1</v>
      </c>
      <c r="J280" t="str">
        <f t="shared" si="9"/>
        <v/>
      </c>
    </row>
    <row r="281" spans="1:10">
      <c r="A281" t="s">
        <v>113</v>
      </c>
      <c r="B281">
        <v>2</v>
      </c>
      <c r="C281">
        <v>1</v>
      </c>
      <c r="D281">
        <v>28</v>
      </c>
      <c r="E281">
        <v>0</v>
      </c>
      <c r="F281">
        <v>1</v>
      </c>
      <c r="G281">
        <v>0</v>
      </c>
      <c r="H281">
        <v>112</v>
      </c>
      <c r="I281" s="1">
        <f t="shared" si="8"/>
        <v>0.25</v>
      </c>
      <c r="J281" t="str">
        <f t="shared" si="9"/>
        <v/>
      </c>
    </row>
    <row r="282" spans="1:10">
      <c r="A282" t="s">
        <v>113</v>
      </c>
      <c r="B282">
        <v>2</v>
      </c>
      <c r="C282">
        <v>2</v>
      </c>
      <c r="D282">
        <v>35</v>
      </c>
      <c r="E282">
        <v>0</v>
      </c>
      <c r="F282">
        <v>11</v>
      </c>
      <c r="G282">
        <v>0</v>
      </c>
      <c r="H282">
        <v>112</v>
      </c>
      <c r="I282" s="1">
        <f t="shared" si="8"/>
        <v>0.3125</v>
      </c>
      <c r="J282" t="str">
        <f t="shared" si="9"/>
        <v/>
      </c>
    </row>
    <row r="283" spans="1:10">
      <c r="A283" t="s">
        <v>113</v>
      </c>
      <c r="B283">
        <v>2</v>
      </c>
      <c r="C283">
        <v>3</v>
      </c>
      <c r="D283">
        <v>48</v>
      </c>
      <c r="E283">
        <v>0</v>
      </c>
      <c r="F283">
        <v>9</v>
      </c>
      <c r="G283">
        <v>0</v>
      </c>
      <c r="H283">
        <v>112</v>
      </c>
      <c r="I283" s="1">
        <f t="shared" si="8"/>
        <v>0.42857142857142855</v>
      </c>
      <c r="J283" t="str">
        <f t="shared" si="9"/>
        <v/>
      </c>
    </row>
    <row r="284" spans="1:10">
      <c r="A284" t="s">
        <v>113</v>
      </c>
      <c r="B284">
        <v>2</v>
      </c>
      <c r="C284">
        <v>4</v>
      </c>
      <c r="D284">
        <v>59</v>
      </c>
      <c r="E284">
        <v>0</v>
      </c>
      <c r="F284">
        <v>7</v>
      </c>
      <c r="G284">
        <v>0</v>
      </c>
      <c r="H284">
        <v>112</v>
      </c>
      <c r="I284" s="1">
        <f t="shared" si="8"/>
        <v>0.5267857142857143</v>
      </c>
      <c r="J284" t="str">
        <f t="shared" si="9"/>
        <v/>
      </c>
    </row>
    <row r="285" spans="1:10">
      <c r="A285" t="s">
        <v>113</v>
      </c>
      <c r="B285">
        <v>2</v>
      </c>
      <c r="C285">
        <v>5</v>
      </c>
      <c r="D285">
        <v>64</v>
      </c>
      <c r="E285">
        <v>0</v>
      </c>
      <c r="F285">
        <v>5</v>
      </c>
      <c r="G285">
        <v>0</v>
      </c>
      <c r="H285">
        <v>112</v>
      </c>
      <c r="I285" s="1">
        <f t="shared" si="8"/>
        <v>0.5714285714285714</v>
      </c>
      <c r="J285" t="str">
        <f t="shared" si="9"/>
        <v/>
      </c>
    </row>
    <row r="286" spans="1:10">
      <c r="A286" t="s">
        <v>113</v>
      </c>
      <c r="B286">
        <v>2</v>
      </c>
      <c r="C286">
        <v>6</v>
      </c>
      <c r="D286">
        <v>75</v>
      </c>
      <c r="E286">
        <v>0</v>
      </c>
      <c r="F286">
        <v>3</v>
      </c>
      <c r="G286">
        <v>0</v>
      </c>
      <c r="H286">
        <v>112</v>
      </c>
      <c r="I286" s="1">
        <f t="shared" si="8"/>
        <v>0.6696428571428571</v>
      </c>
      <c r="J286" t="str">
        <f t="shared" si="9"/>
        <v/>
      </c>
    </row>
    <row r="287" spans="1:10">
      <c r="A287" t="s">
        <v>113</v>
      </c>
      <c r="B287">
        <v>2</v>
      </c>
      <c r="C287">
        <v>7</v>
      </c>
      <c r="D287">
        <v>91</v>
      </c>
      <c r="E287">
        <v>0</v>
      </c>
      <c r="F287">
        <v>1</v>
      </c>
      <c r="G287">
        <v>0</v>
      </c>
      <c r="H287">
        <v>112</v>
      </c>
      <c r="I287" s="1">
        <f t="shared" si="8"/>
        <v>0.8125</v>
      </c>
      <c r="J287" t="str">
        <f t="shared" si="9"/>
        <v/>
      </c>
    </row>
    <row r="288" spans="1:10">
      <c r="A288" t="s">
        <v>113</v>
      </c>
      <c r="B288">
        <v>2</v>
      </c>
      <c r="C288">
        <v>8</v>
      </c>
      <c r="D288">
        <v>112</v>
      </c>
      <c r="E288">
        <v>0</v>
      </c>
      <c r="F288">
        <v>0</v>
      </c>
      <c r="G288">
        <v>0</v>
      </c>
      <c r="H288">
        <v>112</v>
      </c>
      <c r="I288" s="1">
        <f t="shared" si="8"/>
        <v>1</v>
      </c>
      <c r="J288" t="str">
        <f t="shared" si="9"/>
        <v/>
      </c>
    </row>
    <row r="289" spans="1:10">
      <c r="A289" t="s">
        <v>113</v>
      </c>
      <c r="B289">
        <v>3</v>
      </c>
      <c r="C289">
        <v>1</v>
      </c>
      <c r="D289">
        <v>19</v>
      </c>
      <c r="E289">
        <v>0</v>
      </c>
      <c r="F289">
        <v>1</v>
      </c>
      <c r="G289">
        <v>0</v>
      </c>
      <c r="H289">
        <v>175</v>
      </c>
      <c r="I289" s="1">
        <f t="shared" si="8"/>
        <v>0.10857142857142857</v>
      </c>
      <c r="J289" t="str">
        <f t="shared" si="9"/>
        <v/>
      </c>
    </row>
    <row r="290" spans="1:10">
      <c r="A290" t="s">
        <v>113</v>
      </c>
      <c r="B290">
        <v>3</v>
      </c>
      <c r="C290">
        <v>2</v>
      </c>
      <c r="D290">
        <v>28</v>
      </c>
      <c r="E290">
        <v>0</v>
      </c>
      <c r="F290">
        <v>7</v>
      </c>
      <c r="G290">
        <v>0</v>
      </c>
      <c r="H290">
        <v>175</v>
      </c>
      <c r="I290" s="1">
        <f t="shared" si="8"/>
        <v>0.16</v>
      </c>
      <c r="J290" t="str">
        <f t="shared" si="9"/>
        <v/>
      </c>
    </row>
    <row r="291" spans="1:10">
      <c r="A291" t="s">
        <v>113</v>
      </c>
      <c r="B291">
        <v>3</v>
      </c>
      <c r="C291">
        <v>3</v>
      </c>
      <c r="D291">
        <v>63</v>
      </c>
      <c r="E291">
        <v>0</v>
      </c>
      <c r="F291">
        <v>5</v>
      </c>
      <c r="G291">
        <v>0</v>
      </c>
      <c r="H291">
        <v>175</v>
      </c>
      <c r="I291" s="1">
        <f t="shared" si="8"/>
        <v>0.36</v>
      </c>
      <c r="J291" t="str">
        <f t="shared" si="9"/>
        <v/>
      </c>
    </row>
    <row r="292" spans="1:10">
      <c r="A292" t="s">
        <v>113</v>
      </c>
      <c r="B292">
        <v>3</v>
      </c>
      <c r="C292">
        <v>4</v>
      </c>
      <c r="D292">
        <v>98</v>
      </c>
      <c r="E292">
        <v>0</v>
      </c>
      <c r="F292">
        <v>3</v>
      </c>
      <c r="G292">
        <v>0</v>
      </c>
      <c r="H292">
        <v>175</v>
      </c>
      <c r="I292" s="1">
        <f t="shared" si="8"/>
        <v>0.56000000000000005</v>
      </c>
      <c r="J292" t="str">
        <f t="shared" si="9"/>
        <v/>
      </c>
    </row>
    <row r="293" spans="1:10">
      <c r="A293" t="s">
        <v>113</v>
      </c>
      <c r="B293">
        <v>3</v>
      </c>
      <c r="C293">
        <v>5</v>
      </c>
      <c r="D293">
        <v>155</v>
      </c>
      <c r="E293">
        <v>0</v>
      </c>
      <c r="F293">
        <v>1</v>
      </c>
      <c r="G293">
        <v>0</v>
      </c>
      <c r="H293">
        <v>175</v>
      </c>
      <c r="I293" s="1">
        <f t="shared" si="8"/>
        <v>0.88571428571428568</v>
      </c>
      <c r="J293" t="str">
        <f t="shared" si="9"/>
        <v/>
      </c>
    </row>
    <row r="294" spans="1:10">
      <c r="A294" t="s">
        <v>113</v>
      </c>
      <c r="B294">
        <v>3</v>
      </c>
      <c r="C294">
        <v>6</v>
      </c>
      <c r="D294">
        <v>175</v>
      </c>
      <c r="E294">
        <v>0</v>
      </c>
      <c r="F294">
        <v>0</v>
      </c>
      <c r="G294">
        <v>0</v>
      </c>
      <c r="H294">
        <v>175</v>
      </c>
      <c r="I294" s="1">
        <f t="shared" si="8"/>
        <v>1</v>
      </c>
      <c r="J294" t="str">
        <f t="shared" si="9"/>
        <v/>
      </c>
    </row>
    <row r="295" spans="1:10">
      <c r="A295" t="s">
        <v>113</v>
      </c>
      <c r="B295">
        <v>4</v>
      </c>
      <c r="C295">
        <v>1</v>
      </c>
      <c r="D295">
        <v>19</v>
      </c>
      <c r="E295">
        <v>0</v>
      </c>
      <c r="F295">
        <v>1</v>
      </c>
      <c r="G295">
        <v>0</v>
      </c>
      <c r="H295">
        <v>272</v>
      </c>
      <c r="I295" s="1">
        <f t="shared" si="8"/>
        <v>6.985294117647059E-2</v>
      </c>
      <c r="J295" t="str">
        <f t="shared" si="9"/>
        <v/>
      </c>
    </row>
    <row r="296" spans="1:10">
      <c r="A296" t="s">
        <v>113</v>
      </c>
      <c r="B296">
        <v>4</v>
      </c>
      <c r="C296">
        <v>2</v>
      </c>
      <c r="D296">
        <v>31</v>
      </c>
      <c r="E296">
        <v>0</v>
      </c>
      <c r="F296">
        <v>13</v>
      </c>
      <c r="G296">
        <v>0</v>
      </c>
      <c r="H296">
        <v>272</v>
      </c>
      <c r="I296" s="1">
        <f t="shared" si="8"/>
        <v>0.11397058823529412</v>
      </c>
      <c r="J296" t="str">
        <f t="shared" si="9"/>
        <v/>
      </c>
    </row>
    <row r="297" spans="1:10">
      <c r="A297" t="s">
        <v>113</v>
      </c>
      <c r="B297">
        <v>4</v>
      </c>
      <c r="C297">
        <v>3</v>
      </c>
      <c r="D297">
        <v>66</v>
      </c>
      <c r="E297">
        <v>0</v>
      </c>
      <c r="F297">
        <v>11</v>
      </c>
      <c r="G297">
        <v>0</v>
      </c>
      <c r="H297">
        <v>272</v>
      </c>
      <c r="I297" s="1">
        <f t="shared" si="8"/>
        <v>0.24264705882352941</v>
      </c>
      <c r="J297" t="str">
        <f t="shared" si="9"/>
        <v/>
      </c>
    </row>
    <row r="298" spans="1:10">
      <c r="A298" t="s">
        <v>113</v>
      </c>
      <c r="B298">
        <v>4</v>
      </c>
      <c r="C298">
        <v>4</v>
      </c>
      <c r="D298">
        <v>101</v>
      </c>
      <c r="E298">
        <v>0</v>
      </c>
      <c r="F298">
        <v>9</v>
      </c>
      <c r="G298">
        <v>0</v>
      </c>
      <c r="H298">
        <v>272</v>
      </c>
      <c r="I298" s="1">
        <f t="shared" si="8"/>
        <v>0.37132352941176472</v>
      </c>
      <c r="J298" t="str">
        <f t="shared" si="9"/>
        <v/>
      </c>
    </row>
    <row r="299" spans="1:10">
      <c r="A299" t="s">
        <v>113</v>
      </c>
      <c r="B299">
        <v>4</v>
      </c>
      <c r="C299">
        <v>5</v>
      </c>
      <c r="D299">
        <v>154</v>
      </c>
      <c r="E299">
        <v>0</v>
      </c>
      <c r="F299">
        <v>7</v>
      </c>
      <c r="G299">
        <v>0</v>
      </c>
      <c r="H299">
        <v>272</v>
      </c>
      <c r="I299" s="1">
        <f t="shared" si="8"/>
        <v>0.56617647058823528</v>
      </c>
      <c r="J299" t="str">
        <f t="shared" si="9"/>
        <v/>
      </c>
    </row>
    <row r="300" spans="1:10">
      <c r="A300" t="s">
        <v>113</v>
      </c>
      <c r="B300">
        <v>4</v>
      </c>
      <c r="C300">
        <v>6</v>
      </c>
      <c r="D300">
        <v>175</v>
      </c>
      <c r="E300">
        <v>0</v>
      </c>
      <c r="F300">
        <v>5</v>
      </c>
      <c r="G300">
        <v>0</v>
      </c>
      <c r="H300">
        <v>272</v>
      </c>
      <c r="I300" s="1">
        <f t="shared" si="8"/>
        <v>0.64338235294117652</v>
      </c>
      <c r="J300" t="str">
        <f t="shared" si="9"/>
        <v/>
      </c>
    </row>
    <row r="301" spans="1:10">
      <c r="A301" t="s">
        <v>113</v>
      </c>
      <c r="B301">
        <v>4</v>
      </c>
      <c r="C301">
        <v>7</v>
      </c>
      <c r="D301">
        <v>202</v>
      </c>
      <c r="E301">
        <v>0</v>
      </c>
      <c r="F301">
        <v>3</v>
      </c>
      <c r="G301">
        <v>0</v>
      </c>
      <c r="H301">
        <v>272</v>
      </c>
      <c r="I301" s="1">
        <f t="shared" si="8"/>
        <v>0.74264705882352944</v>
      </c>
      <c r="J301" t="str">
        <f t="shared" si="9"/>
        <v/>
      </c>
    </row>
    <row r="302" spans="1:10">
      <c r="A302" t="s">
        <v>113</v>
      </c>
      <c r="B302">
        <v>4</v>
      </c>
      <c r="C302">
        <v>8</v>
      </c>
      <c r="D302">
        <v>234</v>
      </c>
      <c r="E302">
        <v>0</v>
      </c>
      <c r="F302">
        <v>1</v>
      </c>
      <c r="G302">
        <v>0</v>
      </c>
      <c r="H302">
        <v>272</v>
      </c>
      <c r="I302" s="1">
        <f t="shared" si="8"/>
        <v>0.86029411764705888</v>
      </c>
      <c r="J302" t="str">
        <f t="shared" si="9"/>
        <v/>
      </c>
    </row>
    <row r="303" spans="1:10">
      <c r="A303" t="s">
        <v>113</v>
      </c>
      <c r="B303">
        <v>4</v>
      </c>
      <c r="C303">
        <v>9</v>
      </c>
      <c r="D303">
        <v>272</v>
      </c>
      <c r="E303">
        <v>0</v>
      </c>
      <c r="F303">
        <v>0</v>
      </c>
      <c r="G303">
        <v>0</v>
      </c>
      <c r="H303">
        <v>272</v>
      </c>
      <c r="I303" s="1">
        <f t="shared" si="8"/>
        <v>1</v>
      </c>
      <c r="J303" t="str">
        <f t="shared" si="9"/>
        <v/>
      </c>
    </row>
    <row r="304" spans="1:10">
      <c r="A304" t="s">
        <v>113</v>
      </c>
      <c r="B304">
        <v>6</v>
      </c>
      <c r="C304">
        <v>1</v>
      </c>
      <c r="D304">
        <v>17</v>
      </c>
      <c r="E304">
        <v>0</v>
      </c>
      <c r="F304">
        <v>1</v>
      </c>
      <c r="G304">
        <v>0</v>
      </c>
      <c r="H304">
        <v>21</v>
      </c>
      <c r="I304" s="1">
        <f t="shared" si="8"/>
        <v>0.80952380952380953</v>
      </c>
      <c r="J304" t="str">
        <f t="shared" si="9"/>
        <v/>
      </c>
    </row>
    <row r="305" spans="1:10">
      <c r="A305" t="s">
        <v>113</v>
      </c>
      <c r="B305">
        <v>6</v>
      </c>
      <c r="C305">
        <v>2</v>
      </c>
      <c r="D305">
        <v>21</v>
      </c>
      <c r="E305">
        <v>0</v>
      </c>
      <c r="F305">
        <v>0</v>
      </c>
      <c r="G305">
        <v>0</v>
      </c>
      <c r="H305">
        <v>21</v>
      </c>
      <c r="I305" s="1">
        <f t="shared" si="8"/>
        <v>1</v>
      </c>
      <c r="J305" t="str">
        <f t="shared" si="9"/>
        <v/>
      </c>
    </row>
    <row r="306" spans="1:10">
      <c r="A306" t="s">
        <v>113</v>
      </c>
      <c r="B306">
        <v>7</v>
      </c>
      <c r="C306">
        <v>1</v>
      </c>
      <c r="D306">
        <v>24</v>
      </c>
      <c r="E306">
        <v>0</v>
      </c>
      <c r="F306">
        <v>7</v>
      </c>
      <c r="G306">
        <v>0</v>
      </c>
      <c r="H306">
        <v>120</v>
      </c>
      <c r="I306" s="1">
        <f t="shared" si="8"/>
        <v>0.2</v>
      </c>
      <c r="J306" t="str">
        <f t="shared" si="9"/>
        <v/>
      </c>
    </row>
    <row r="307" spans="1:10">
      <c r="A307" t="s">
        <v>113</v>
      </c>
      <c r="B307">
        <v>7</v>
      </c>
      <c r="C307">
        <v>2</v>
      </c>
      <c r="D307">
        <v>36</v>
      </c>
      <c r="E307">
        <v>0</v>
      </c>
      <c r="F307">
        <v>7</v>
      </c>
      <c r="G307">
        <v>0</v>
      </c>
      <c r="H307">
        <v>120</v>
      </c>
      <c r="I307" s="1">
        <f t="shared" si="8"/>
        <v>0.3</v>
      </c>
      <c r="J307" t="str">
        <f t="shared" si="9"/>
        <v/>
      </c>
    </row>
    <row r="308" spans="1:10">
      <c r="A308" t="s">
        <v>113</v>
      </c>
      <c r="B308">
        <v>7</v>
      </c>
      <c r="C308">
        <v>3</v>
      </c>
      <c r="D308">
        <v>40</v>
      </c>
      <c r="E308">
        <v>0</v>
      </c>
      <c r="F308">
        <v>11</v>
      </c>
      <c r="G308">
        <v>0</v>
      </c>
      <c r="H308">
        <v>120</v>
      </c>
      <c r="I308" s="1">
        <f t="shared" si="8"/>
        <v>0.33333333333333331</v>
      </c>
      <c r="J308" t="str">
        <f t="shared" si="9"/>
        <v/>
      </c>
    </row>
    <row r="309" spans="1:10">
      <c r="A309" t="s">
        <v>113</v>
      </c>
      <c r="B309">
        <v>7</v>
      </c>
      <c r="C309">
        <v>4</v>
      </c>
      <c r="D309">
        <v>51</v>
      </c>
      <c r="E309">
        <v>0</v>
      </c>
      <c r="F309">
        <v>11</v>
      </c>
      <c r="G309">
        <v>0</v>
      </c>
      <c r="H309">
        <v>120</v>
      </c>
      <c r="I309" s="1">
        <f t="shared" si="8"/>
        <v>0.42499999999999999</v>
      </c>
      <c r="J309" t="str">
        <f t="shared" si="9"/>
        <v/>
      </c>
    </row>
    <row r="310" spans="1:10">
      <c r="A310" t="s">
        <v>113</v>
      </c>
      <c r="B310">
        <v>7</v>
      </c>
      <c r="C310">
        <v>5</v>
      </c>
      <c r="D310">
        <v>67</v>
      </c>
      <c r="E310">
        <v>0</v>
      </c>
      <c r="F310">
        <v>9</v>
      </c>
      <c r="G310">
        <v>0</v>
      </c>
      <c r="H310">
        <v>120</v>
      </c>
      <c r="I310" s="1">
        <f t="shared" si="8"/>
        <v>0.55833333333333335</v>
      </c>
      <c r="J310" t="str">
        <f t="shared" si="9"/>
        <v/>
      </c>
    </row>
    <row r="311" spans="1:10">
      <c r="A311" t="s">
        <v>113</v>
      </c>
      <c r="B311">
        <v>7</v>
      </c>
      <c r="C311">
        <v>6</v>
      </c>
      <c r="D311">
        <v>71</v>
      </c>
      <c r="E311">
        <v>0</v>
      </c>
      <c r="F311">
        <v>7</v>
      </c>
      <c r="G311">
        <v>0</v>
      </c>
      <c r="H311">
        <v>120</v>
      </c>
      <c r="I311" s="1">
        <f t="shared" si="8"/>
        <v>0.59166666666666667</v>
      </c>
      <c r="J311" t="str">
        <f t="shared" si="9"/>
        <v/>
      </c>
    </row>
    <row r="312" spans="1:10">
      <c r="A312" t="s">
        <v>113</v>
      </c>
      <c r="B312">
        <v>7</v>
      </c>
      <c r="C312">
        <v>7</v>
      </c>
      <c r="D312">
        <v>78</v>
      </c>
      <c r="E312">
        <v>0</v>
      </c>
      <c r="F312">
        <v>5</v>
      </c>
      <c r="G312">
        <v>0</v>
      </c>
      <c r="H312">
        <v>120</v>
      </c>
      <c r="I312" s="1">
        <f t="shared" si="8"/>
        <v>0.65</v>
      </c>
      <c r="J312" t="str">
        <f t="shared" si="9"/>
        <v/>
      </c>
    </row>
    <row r="313" spans="1:10">
      <c r="A313" t="s">
        <v>113</v>
      </c>
      <c r="B313">
        <v>7</v>
      </c>
      <c r="C313">
        <v>8</v>
      </c>
      <c r="D313">
        <v>88</v>
      </c>
      <c r="E313">
        <v>0</v>
      </c>
      <c r="F313">
        <v>3</v>
      </c>
      <c r="G313">
        <v>0</v>
      </c>
      <c r="H313">
        <v>120</v>
      </c>
      <c r="I313" s="1">
        <f t="shared" si="8"/>
        <v>0.73333333333333328</v>
      </c>
      <c r="J313" t="str">
        <f t="shared" si="9"/>
        <v/>
      </c>
    </row>
    <row r="314" spans="1:10">
      <c r="A314" t="s">
        <v>113</v>
      </c>
      <c r="B314">
        <v>7</v>
      </c>
      <c r="C314">
        <v>9</v>
      </c>
      <c r="D314">
        <v>102</v>
      </c>
      <c r="E314">
        <v>0</v>
      </c>
      <c r="F314">
        <v>1</v>
      </c>
      <c r="G314">
        <v>0</v>
      </c>
      <c r="H314">
        <v>120</v>
      </c>
      <c r="I314" s="1">
        <f t="shared" si="8"/>
        <v>0.85</v>
      </c>
      <c r="J314" t="str">
        <f t="shared" si="9"/>
        <v/>
      </c>
    </row>
    <row r="315" spans="1:10">
      <c r="A315" t="s">
        <v>113</v>
      </c>
      <c r="B315">
        <v>7</v>
      </c>
      <c r="C315">
        <v>10</v>
      </c>
      <c r="D315">
        <v>120</v>
      </c>
      <c r="E315">
        <v>0</v>
      </c>
      <c r="F315">
        <v>0</v>
      </c>
      <c r="G315">
        <v>0</v>
      </c>
      <c r="H315">
        <v>120</v>
      </c>
      <c r="I315" s="1">
        <f t="shared" si="8"/>
        <v>1</v>
      </c>
      <c r="J315" t="str">
        <f t="shared" si="9"/>
        <v/>
      </c>
    </row>
    <row r="316" spans="1:10">
      <c r="A316" t="s">
        <v>113</v>
      </c>
      <c r="B316">
        <v>8</v>
      </c>
      <c r="C316">
        <v>1</v>
      </c>
      <c r="D316">
        <v>19</v>
      </c>
      <c r="E316">
        <v>0</v>
      </c>
      <c r="F316">
        <v>1</v>
      </c>
      <c r="G316">
        <v>0</v>
      </c>
      <c r="H316">
        <v>162</v>
      </c>
      <c r="I316" s="1">
        <f t="shared" si="8"/>
        <v>0.11728395061728394</v>
      </c>
      <c r="J316" t="str">
        <f t="shared" si="9"/>
        <v/>
      </c>
    </row>
    <row r="317" spans="1:10">
      <c r="A317" t="s">
        <v>113</v>
      </c>
      <c r="B317">
        <v>8</v>
      </c>
      <c r="C317">
        <v>2</v>
      </c>
      <c r="D317">
        <v>28</v>
      </c>
      <c r="E317">
        <v>0</v>
      </c>
      <c r="F317">
        <v>7</v>
      </c>
      <c r="G317">
        <v>0</v>
      </c>
      <c r="H317">
        <v>162</v>
      </c>
      <c r="I317" s="1">
        <f t="shared" si="8"/>
        <v>0.1728395061728395</v>
      </c>
      <c r="J317" t="str">
        <f t="shared" si="9"/>
        <v/>
      </c>
    </row>
    <row r="318" spans="1:10">
      <c r="A318" t="s">
        <v>113</v>
      </c>
      <c r="B318">
        <v>8</v>
      </c>
      <c r="C318">
        <v>3</v>
      </c>
      <c r="D318">
        <v>63</v>
      </c>
      <c r="E318">
        <v>0</v>
      </c>
      <c r="F318">
        <v>5</v>
      </c>
      <c r="G318">
        <v>0</v>
      </c>
      <c r="H318">
        <v>162</v>
      </c>
      <c r="I318" s="1">
        <f t="shared" si="8"/>
        <v>0.3888888888888889</v>
      </c>
      <c r="J318" t="str">
        <f t="shared" si="9"/>
        <v/>
      </c>
    </row>
    <row r="319" spans="1:10">
      <c r="A319" t="s">
        <v>113</v>
      </c>
      <c r="B319">
        <v>8</v>
      </c>
      <c r="C319">
        <v>4</v>
      </c>
      <c r="D319">
        <v>107</v>
      </c>
      <c r="E319">
        <v>0</v>
      </c>
      <c r="F319">
        <v>3</v>
      </c>
      <c r="G319">
        <v>0</v>
      </c>
      <c r="H319">
        <v>162</v>
      </c>
      <c r="I319" s="1">
        <f t="shared" si="8"/>
        <v>0.66049382716049387</v>
      </c>
      <c r="J319" t="str">
        <f t="shared" si="9"/>
        <v/>
      </c>
    </row>
    <row r="320" spans="1:10">
      <c r="A320" t="s">
        <v>113</v>
      </c>
      <c r="B320">
        <v>8</v>
      </c>
      <c r="C320">
        <v>5</v>
      </c>
      <c r="D320">
        <v>140</v>
      </c>
      <c r="E320">
        <v>0</v>
      </c>
      <c r="F320">
        <v>1</v>
      </c>
      <c r="G320">
        <v>0</v>
      </c>
      <c r="H320">
        <v>162</v>
      </c>
      <c r="I320" s="1">
        <f t="shared" si="8"/>
        <v>0.86419753086419748</v>
      </c>
      <c r="J320" t="str">
        <f t="shared" si="9"/>
        <v/>
      </c>
    </row>
    <row r="321" spans="1:10">
      <c r="A321" t="s">
        <v>113</v>
      </c>
      <c r="B321">
        <v>8</v>
      </c>
      <c r="C321">
        <v>6</v>
      </c>
      <c r="D321">
        <v>162</v>
      </c>
      <c r="E321">
        <v>0</v>
      </c>
      <c r="F321">
        <v>0</v>
      </c>
      <c r="G321">
        <v>0</v>
      </c>
      <c r="H321">
        <v>162</v>
      </c>
      <c r="I321" s="1">
        <f t="shared" si="8"/>
        <v>1</v>
      </c>
      <c r="J321" t="str">
        <f t="shared" si="9"/>
        <v/>
      </c>
    </row>
    <row r="322" spans="1:10">
      <c r="A322" t="s">
        <v>113</v>
      </c>
      <c r="B322">
        <v>9</v>
      </c>
      <c r="C322">
        <v>1</v>
      </c>
      <c r="D322">
        <v>19</v>
      </c>
      <c r="E322">
        <v>0</v>
      </c>
      <c r="F322">
        <v>1</v>
      </c>
      <c r="G322">
        <v>0</v>
      </c>
      <c r="H322">
        <v>258</v>
      </c>
      <c r="I322" s="1">
        <f t="shared" si="8"/>
        <v>7.3643410852713184E-2</v>
      </c>
      <c r="J322" t="str">
        <f t="shared" si="9"/>
        <v/>
      </c>
    </row>
    <row r="323" spans="1:10">
      <c r="A323" t="s">
        <v>113</v>
      </c>
      <c r="B323">
        <v>9</v>
      </c>
      <c r="C323">
        <v>2</v>
      </c>
      <c r="D323">
        <v>31</v>
      </c>
      <c r="E323">
        <v>0</v>
      </c>
      <c r="F323">
        <v>13</v>
      </c>
      <c r="G323">
        <v>0</v>
      </c>
      <c r="H323">
        <v>258</v>
      </c>
      <c r="I323" s="1">
        <f t="shared" ref="I323:I386" si="10">D323/H323</f>
        <v>0.12015503875968993</v>
      </c>
      <c r="J323" t="str">
        <f t="shared" ref="J323:J386" si="11">IF(I323&gt;1,"!","")</f>
        <v/>
      </c>
    </row>
    <row r="324" spans="1:10">
      <c r="A324" t="s">
        <v>113</v>
      </c>
      <c r="B324">
        <v>9</v>
      </c>
      <c r="C324">
        <v>3</v>
      </c>
      <c r="D324">
        <v>66</v>
      </c>
      <c r="E324">
        <v>0</v>
      </c>
      <c r="F324">
        <v>11</v>
      </c>
      <c r="G324">
        <v>0</v>
      </c>
      <c r="H324">
        <v>258</v>
      </c>
      <c r="I324" s="1">
        <f t="shared" si="10"/>
        <v>0.2558139534883721</v>
      </c>
      <c r="J324" t="str">
        <f t="shared" si="11"/>
        <v/>
      </c>
    </row>
    <row r="325" spans="1:10">
      <c r="A325" t="s">
        <v>113</v>
      </c>
      <c r="B325">
        <v>9</v>
      </c>
      <c r="C325">
        <v>4</v>
      </c>
      <c r="D325">
        <v>110</v>
      </c>
      <c r="E325">
        <v>0</v>
      </c>
      <c r="F325">
        <v>9</v>
      </c>
      <c r="G325">
        <v>0</v>
      </c>
      <c r="H325">
        <v>258</v>
      </c>
      <c r="I325" s="1">
        <f t="shared" si="10"/>
        <v>0.4263565891472868</v>
      </c>
      <c r="J325" t="str">
        <f t="shared" si="11"/>
        <v/>
      </c>
    </row>
    <row r="326" spans="1:10">
      <c r="A326" t="s">
        <v>113</v>
      </c>
      <c r="B326">
        <v>9</v>
      </c>
      <c r="C326">
        <v>5</v>
      </c>
      <c r="D326">
        <v>143</v>
      </c>
      <c r="E326">
        <v>0</v>
      </c>
      <c r="F326">
        <v>7</v>
      </c>
      <c r="G326">
        <v>0</v>
      </c>
      <c r="H326">
        <v>258</v>
      </c>
      <c r="I326" s="1">
        <f t="shared" si="10"/>
        <v>0.55426356589147285</v>
      </c>
      <c r="J326" t="str">
        <f t="shared" si="11"/>
        <v/>
      </c>
    </row>
    <row r="327" spans="1:10">
      <c r="A327" t="s">
        <v>113</v>
      </c>
      <c r="B327">
        <v>9</v>
      </c>
      <c r="C327">
        <v>6</v>
      </c>
      <c r="D327">
        <v>165</v>
      </c>
      <c r="E327">
        <v>0</v>
      </c>
      <c r="F327">
        <v>5</v>
      </c>
      <c r="G327">
        <v>0</v>
      </c>
      <c r="H327">
        <v>258</v>
      </c>
      <c r="I327" s="1">
        <f t="shared" si="10"/>
        <v>0.63953488372093026</v>
      </c>
      <c r="J327" t="str">
        <f t="shared" si="11"/>
        <v/>
      </c>
    </row>
    <row r="328" spans="1:10">
      <c r="A328" t="s">
        <v>113</v>
      </c>
      <c r="B328">
        <v>9</v>
      </c>
      <c r="C328">
        <v>7</v>
      </c>
      <c r="D328">
        <v>192</v>
      </c>
      <c r="E328">
        <v>0</v>
      </c>
      <c r="F328">
        <v>3</v>
      </c>
      <c r="G328">
        <v>0</v>
      </c>
      <c r="H328">
        <v>258</v>
      </c>
      <c r="I328" s="1">
        <f t="shared" si="10"/>
        <v>0.7441860465116279</v>
      </c>
      <c r="J328" t="str">
        <f t="shared" si="11"/>
        <v/>
      </c>
    </row>
    <row r="329" spans="1:10">
      <c r="A329" t="s">
        <v>113</v>
      </c>
      <c r="B329">
        <v>9</v>
      </c>
      <c r="C329">
        <v>8</v>
      </c>
      <c r="D329">
        <v>223</v>
      </c>
      <c r="E329">
        <v>0</v>
      </c>
      <c r="F329">
        <v>1</v>
      </c>
      <c r="G329">
        <v>0</v>
      </c>
      <c r="H329">
        <v>258</v>
      </c>
      <c r="I329" s="1">
        <f t="shared" si="10"/>
        <v>0.86434108527131781</v>
      </c>
      <c r="J329" t="str">
        <f t="shared" si="11"/>
        <v/>
      </c>
    </row>
    <row r="330" spans="1:10">
      <c r="A330" t="s">
        <v>113</v>
      </c>
      <c r="B330">
        <v>9</v>
      </c>
      <c r="C330">
        <v>9</v>
      </c>
      <c r="D330">
        <v>258</v>
      </c>
      <c r="E330">
        <v>0</v>
      </c>
      <c r="F330">
        <v>0</v>
      </c>
      <c r="G330">
        <v>0</v>
      </c>
      <c r="H330">
        <v>258</v>
      </c>
      <c r="I330" s="1">
        <f t="shared" si="10"/>
        <v>1</v>
      </c>
      <c r="J330" t="str">
        <f t="shared" si="11"/>
        <v/>
      </c>
    </row>
    <row r="331" spans="1:10">
      <c r="A331" t="s">
        <v>113</v>
      </c>
      <c r="B331">
        <v>11</v>
      </c>
      <c r="C331">
        <v>1</v>
      </c>
      <c r="D331">
        <v>18</v>
      </c>
      <c r="E331">
        <v>0</v>
      </c>
      <c r="F331">
        <v>1</v>
      </c>
      <c r="G331">
        <v>0</v>
      </c>
      <c r="H331">
        <v>53</v>
      </c>
      <c r="I331" s="1">
        <f t="shared" si="10"/>
        <v>0.33962264150943394</v>
      </c>
      <c r="J331" t="str">
        <f t="shared" si="11"/>
        <v/>
      </c>
    </row>
    <row r="332" spans="1:10">
      <c r="A332" t="s">
        <v>113</v>
      </c>
      <c r="B332">
        <v>11</v>
      </c>
      <c r="C332">
        <v>2</v>
      </c>
      <c r="D332">
        <v>53</v>
      </c>
      <c r="E332">
        <v>0</v>
      </c>
      <c r="F332">
        <v>0</v>
      </c>
      <c r="G332">
        <v>0</v>
      </c>
      <c r="H332">
        <v>53</v>
      </c>
      <c r="I332" s="1">
        <f t="shared" si="10"/>
        <v>1</v>
      </c>
      <c r="J332" t="str">
        <f t="shared" si="11"/>
        <v/>
      </c>
    </row>
    <row r="333" spans="1:10">
      <c r="A333" t="s">
        <v>113</v>
      </c>
      <c r="B333">
        <v>13</v>
      </c>
      <c r="C333">
        <v>1</v>
      </c>
      <c r="D333">
        <v>1</v>
      </c>
      <c r="E333">
        <v>0</v>
      </c>
      <c r="F333">
        <v>1</v>
      </c>
      <c r="G333">
        <v>0</v>
      </c>
      <c r="H333">
        <v>737</v>
      </c>
      <c r="I333" s="1">
        <f t="shared" si="10"/>
        <v>1.3568521031207597E-3</v>
      </c>
      <c r="J333" t="str">
        <f t="shared" si="11"/>
        <v/>
      </c>
    </row>
    <row r="334" spans="1:10">
      <c r="A334" t="s">
        <v>113</v>
      </c>
      <c r="B334">
        <v>13</v>
      </c>
      <c r="C334">
        <v>2</v>
      </c>
      <c r="D334">
        <v>4</v>
      </c>
      <c r="E334">
        <v>0</v>
      </c>
      <c r="F334">
        <v>2</v>
      </c>
      <c r="G334">
        <v>0</v>
      </c>
      <c r="H334">
        <v>737</v>
      </c>
      <c r="I334" s="1">
        <f t="shared" si="10"/>
        <v>5.4274084124830389E-3</v>
      </c>
      <c r="J334" t="str">
        <f t="shared" si="11"/>
        <v/>
      </c>
    </row>
    <row r="335" spans="1:10">
      <c r="A335" t="s">
        <v>113</v>
      </c>
      <c r="B335">
        <v>13</v>
      </c>
      <c r="C335">
        <v>3</v>
      </c>
      <c r="D335">
        <v>5</v>
      </c>
      <c r="E335">
        <v>0</v>
      </c>
      <c r="F335">
        <v>1</v>
      </c>
      <c r="G335">
        <v>0</v>
      </c>
      <c r="H335">
        <v>737</v>
      </c>
      <c r="I335" s="1">
        <f t="shared" si="10"/>
        <v>6.7842605156037995E-3</v>
      </c>
      <c r="J335" t="str">
        <f t="shared" si="11"/>
        <v/>
      </c>
    </row>
    <row r="336" spans="1:10">
      <c r="A336" t="s">
        <v>113</v>
      </c>
      <c r="B336">
        <v>13</v>
      </c>
      <c r="C336">
        <v>4</v>
      </c>
      <c r="D336">
        <v>737</v>
      </c>
      <c r="E336">
        <v>0</v>
      </c>
      <c r="F336">
        <v>0</v>
      </c>
      <c r="G336">
        <v>0</v>
      </c>
      <c r="H336">
        <v>737</v>
      </c>
      <c r="I336" s="1">
        <f t="shared" si="10"/>
        <v>1</v>
      </c>
      <c r="J336" t="str">
        <f t="shared" si="11"/>
        <v/>
      </c>
    </row>
    <row r="337" spans="1:10">
      <c r="A337" t="s">
        <v>113</v>
      </c>
      <c r="B337">
        <v>14</v>
      </c>
      <c r="C337">
        <v>1</v>
      </c>
      <c r="D337">
        <v>1</v>
      </c>
      <c r="E337">
        <v>0</v>
      </c>
      <c r="F337">
        <v>1</v>
      </c>
      <c r="G337">
        <v>0</v>
      </c>
      <c r="H337">
        <v>958</v>
      </c>
      <c r="I337" s="1">
        <f t="shared" si="10"/>
        <v>1.0438413361169101E-3</v>
      </c>
      <c r="J337" t="str">
        <f t="shared" si="11"/>
        <v/>
      </c>
    </row>
    <row r="338" spans="1:10">
      <c r="A338" t="s">
        <v>113</v>
      </c>
      <c r="B338">
        <v>14</v>
      </c>
      <c r="C338">
        <v>2</v>
      </c>
      <c r="D338">
        <v>4</v>
      </c>
      <c r="E338">
        <v>0</v>
      </c>
      <c r="F338">
        <v>2</v>
      </c>
      <c r="G338">
        <v>0</v>
      </c>
      <c r="H338">
        <v>958</v>
      </c>
      <c r="I338" s="1">
        <f t="shared" si="10"/>
        <v>4.1753653444676405E-3</v>
      </c>
      <c r="J338" t="str">
        <f t="shared" si="11"/>
        <v/>
      </c>
    </row>
    <row r="339" spans="1:10">
      <c r="A339" t="s">
        <v>113</v>
      </c>
      <c r="B339">
        <v>14</v>
      </c>
      <c r="C339">
        <v>3</v>
      </c>
      <c r="D339">
        <v>5</v>
      </c>
      <c r="E339">
        <v>0</v>
      </c>
      <c r="F339">
        <v>1</v>
      </c>
      <c r="G339">
        <v>0</v>
      </c>
      <c r="H339">
        <v>958</v>
      </c>
      <c r="I339" s="1">
        <f t="shared" si="10"/>
        <v>5.2192066805845511E-3</v>
      </c>
      <c r="J339" t="str">
        <f t="shared" si="11"/>
        <v/>
      </c>
    </row>
    <row r="340" spans="1:10">
      <c r="A340" t="s">
        <v>113</v>
      </c>
      <c r="B340">
        <v>14</v>
      </c>
      <c r="C340">
        <v>4</v>
      </c>
      <c r="D340">
        <v>353</v>
      </c>
      <c r="E340">
        <v>0</v>
      </c>
      <c r="F340">
        <v>4</v>
      </c>
      <c r="G340">
        <v>0</v>
      </c>
      <c r="H340">
        <v>958</v>
      </c>
      <c r="I340" s="1">
        <f t="shared" si="10"/>
        <v>0.36847599164926931</v>
      </c>
      <c r="J340" t="str">
        <f t="shared" si="11"/>
        <v/>
      </c>
    </row>
    <row r="341" spans="1:10">
      <c r="A341" t="s">
        <v>113</v>
      </c>
      <c r="B341">
        <v>14</v>
      </c>
      <c r="C341">
        <v>5</v>
      </c>
      <c r="D341">
        <v>563</v>
      </c>
      <c r="E341">
        <v>0</v>
      </c>
      <c r="F341">
        <v>2</v>
      </c>
      <c r="G341">
        <v>0</v>
      </c>
      <c r="H341">
        <v>958</v>
      </c>
      <c r="I341" s="1">
        <f t="shared" si="10"/>
        <v>0.58768267223382042</v>
      </c>
      <c r="J341" t="str">
        <f t="shared" si="11"/>
        <v/>
      </c>
    </row>
    <row r="342" spans="1:10">
      <c r="A342" t="s">
        <v>113</v>
      </c>
      <c r="B342">
        <v>14</v>
      </c>
      <c r="C342">
        <v>6</v>
      </c>
      <c r="D342">
        <v>564</v>
      </c>
      <c r="E342">
        <v>0</v>
      </c>
      <c r="F342">
        <v>1</v>
      </c>
      <c r="G342">
        <v>0</v>
      </c>
      <c r="H342">
        <v>958</v>
      </c>
      <c r="I342" s="1">
        <f t="shared" si="10"/>
        <v>0.58872651356993733</v>
      </c>
      <c r="J342" t="str">
        <f t="shared" si="11"/>
        <v/>
      </c>
    </row>
    <row r="343" spans="1:10">
      <c r="A343" t="s">
        <v>113</v>
      </c>
      <c r="B343">
        <v>14</v>
      </c>
      <c r="C343">
        <v>7</v>
      </c>
      <c r="D343">
        <v>564</v>
      </c>
      <c r="E343">
        <v>0</v>
      </c>
      <c r="F343">
        <v>1</v>
      </c>
      <c r="G343">
        <v>0</v>
      </c>
      <c r="H343">
        <v>958</v>
      </c>
      <c r="I343" s="1">
        <f t="shared" si="10"/>
        <v>0.58872651356993733</v>
      </c>
      <c r="J343" t="str">
        <f t="shared" si="11"/>
        <v/>
      </c>
    </row>
    <row r="344" spans="1:10">
      <c r="A344" t="s">
        <v>113</v>
      </c>
      <c r="B344">
        <v>14</v>
      </c>
      <c r="C344">
        <v>8</v>
      </c>
      <c r="D344">
        <v>940</v>
      </c>
      <c r="E344">
        <v>0</v>
      </c>
      <c r="F344">
        <v>18</v>
      </c>
      <c r="G344">
        <v>0</v>
      </c>
      <c r="H344">
        <v>958</v>
      </c>
      <c r="I344" s="1">
        <f t="shared" si="10"/>
        <v>0.98121085594989566</v>
      </c>
      <c r="J344" t="str">
        <f t="shared" si="11"/>
        <v/>
      </c>
    </row>
    <row r="345" spans="1:10">
      <c r="A345" t="s">
        <v>113</v>
      </c>
      <c r="B345">
        <v>14</v>
      </c>
      <c r="C345">
        <v>9</v>
      </c>
      <c r="D345">
        <v>958</v>
      </c>
      <c r="E345">
        <v>0</v>
      </c>
      <c r="F345">
        <v>0</v>
      </c>
      <c r="G345">
        <v>0</v>
      </c>
      <c r="H345">
        <v>958</v>
      </c>
      <c r="I345" s="1">
        <f t="shared" si="10"/>
        <v>1</v>
      </c>
      <c r="J345" t="str">
        <f t="shared" si="11"/>
        <v/>
      </c>
    </row>
    <row r="346" spans="1:10">
      <c r="A346" t="s">
        <v>113</v>
      </c>
      <c r="B346">
        <v>15</v>
      </c>
      <c r="C346">
        <v>1</v>
      </c>
      <c r="D346">
        <v>1</v>
      </c>
      <c r="E346">
        <v>0</v>
      </c>
      <c r="F346">
        <v>1</v>
      </c>
      <c r="G346">
        <v>0</v>
      </c>
      <c r="H346">
        <v>476</v>
      </c>
      <c r="I346" s="1">
        <f t="shared" si="10"/>
        <v>2.1008403361344537E-3</v>
      </c>
      <c r="J346" t="str">
        <f t="shared" si="11"/>
        <v/>
      </c>
    </row>
    <row r="347" spans="1:10">
      <c r="A347" t="s">
        <v>113</v>
      </c>
      <c r="B347">
        <v>15</v>
      </c>
      <c r="C347">
        <v>2</v>
      </c>
      <c r="D347">
        <v>3</v>
      </c>
      <c r="E347">
        <v>0</v>
      </c>
      <c r="F347">
        <v>1</v>
      </c>
      <c r="G347">
        <v>0</v>
      </c>
      <c r="H347">
        <v>476</v>
      </c>
      <c r="I347" s="1">
        <f t="shared" si="10"/>
        <v>6.3025210084033615E-3</v>
      </c>
      <c r="J347" t="str">
        <f t="shared" si="11"/>
        <v/>
      </c>
    </row>
    <row r="348" spans="1:10">
      <c r="A348" t="s">
        <v>113</v>
      </c>
      <c r="B348">
        <v>15</v>
      </c>
      <c r="C348">
        <v>3</v>
      </c>
      <c r="D348">
        <v>5</v>
      </c>
      <c r="E348">
        <v>0</v>
      </c>
      <c r="F348">
        <v>1</v>
      </c>
      <c r="G348">
        <v>0</v>
      </c>
      <c r="H348">
        <v>476</v>
      </c>
      <c r="I348" s="1">
        <f t="shared" si="10"/>
        <v>1.050420168067227E-2</v>
      </c>
      <c r="J348" t="str">
        <f t="shared" si="11"/>
        <v/>
      </c>
    </row>
    <row r="349" spans="1:10">
      <c r="A349" t="s">
        <v>113</v>
      </c>
      <c r="B349">
        <v>15</v>
      </c>
      <c r="C349">
        <v>4</v>
      </c>
      <c r="D349">
        <v>476</v>
      </c>
      <c r="E349">
        <v>0</v>
      </c>
      <c r="F349">
        <v>0</v>
      </c>
      <c r="G349">
        <v>0</v>
      </c>
      <c r="H349">
        <v>476</v>
      </c>
      <c r="I349" s="1">
        <f t="shared" si="10"/>
        <v>1</v>
      </c>
      <c r="J349" t="str">
        <f t="shared" si="11"/>
        <v/>
      </c>
    </row>
    <row r="350" spans="1:10">
      <c r="A350" t="s">
        <v>113</v>
      </c>
      <c r="B350">
        <v>16</v>
      </c>
      <c r="C350">
        <v>1</v>
      </c>
      <c r="D350">
        <v>1</v>
      </c>
      <c r="E350">
        <v>0</v>
      </c>
      <c r="F350">
        <v>1</v>
      </c>
      <c r="G350">
        <v>0</v>
      </c>
      <c r="H350">
        <v>607</v>
      </c>
      <c r="I350" s="1">
        <f t="shared" si="10"/>
        <v>1.6474464579901153E-3</v>
      </c>
      <c r="J350" t="str">
        <f t="shared" si="11"/>
        <v/>
      </c>
    </row>
    <row r="351" spans="1:10">
      <c r="A351" t="s">
        <v>113</v>
      </c>
      <c r="B351">
        <v>16</v>
      </c>
      <c r="C351">
        <v>2</v>
      </c>
      <c r="D351">
        <v>3</v>
      </c>
      <c r="E351">
        <v>0</v>
      </c>
      <c r="F351">
        <v>1</v>
      </c>
      <c r="G351">
        <v>0</v>
      </c>
      <c r="H351">
        <v>607</v>
      </c>
      <c r="I351" s="1">
        <f t="shared" si="10"/>
        <v>4.9423393739703456E-3</v>
      </c>
      <c r="J351" t="str">
        <f t="shared" si="11"/>
        <v/>
      </c>
    </row>
    <row r="352" spans="1:10">
      <c r="A352" t="s">
        <v>113</v>
      </c>
      <c r="B352">
        <v>16</v>
      </c>
      <c r="C352">
        <v>3</v>
      </c>
      <c r="D352">
        <v>5</v>
      </c>
      <c r="E352">
        <v>0</v>
      </c>
      <c r="F352">
        <v>1</v>
      </c>
      <c r="G352">
        <v>0</v>
      </c>
      <c r="H352">
        <v>607</v>
      </c>
      <c r="I352" s="1">
        <f t="shared" si="10"/>
        <v>8.2372322899505763E-3</v>
      </c>
      <c r="J352" t="str">
        <f t="shared" si="11"/>
        <v/>
      </c>
    </row>
    <row r="353" spans="1:10">
      <c r="A353" t="s">
        <v>113</v>
      </c>
      <c r="B353">
        <v>16</v>
      </c>
      <c r="C353">
        <v>4</v>
      </c>
      <c r="D353">
        <v>607</v>
      </c>
      <c r="E353">
        <v>0</v>
      </c>
      <c r="F353">
        <v>0</v>
      </c>
      <c r="G353">
        <v>0</v>
      </c>
      <c r="H353">
        <v>607</v>
      </c>
      <c r="I353" s="1">
        <f t="shared" si="10"/>
        <v>1</v>
      </c>
      <c r="J353" t="str">
        <f t="shared" si="11"/>
        <v/>
      </c>
    </row>
    <row r="354" spans="1:10">
      <c r="A354" t="s">
        <v>113</v>
      </c>
      <c r="B354">
        <v>20</v>
      </c>
      <c r="C354">
        <v>1</v>
      </c>
      <c r="D354">
        <v>16</v>
      </c>
      <c r="E354">
        <v>0</v>
      </c>
      <c r="F354">
        <v>1</v>
      </c>
      <c r="G354">
        <v>0</v>
      </c>
      <c r="H354">
        <v>27</v>
      </c>
      <c r="I354" s="1">
        <f t="shared" si="10"/>
        <v>0.59259259259259256</v>
      </c>
      <c r="J354" t="str">
        <f t="shared" si="11"/>
        <v/>
      </c>
    </row>
    <row r="355" spans="1:10">
      <c r="A355" t="s">
        <v>113</v>
      </c>
      <c r="B355">
        <v>20</v>
      </c>
      <c r="C355">
        <v>2</v>
      </c>
      <c r="D355">
        <v>27</v>
      </c>
      <c r="E355">
        <v>0</v>
      </c>
      <c r="F355">
        <v>0</v>
      </c>
      <c r="G355">
        <v>0</v>
      </c>
      <c r="H355">
        <v>27</v>
      </c>
      <c r="I355" s="1">
        <f t="shared" si="10"/>
        <v>1</v>
      </c>
      <c r="J355" t="str">
        <f t="shared" si="11"/>
        <v/>
      </c>
    </row>
    <row r="356" spans="1:10">
      <c r="A356" t="s">
        <v>113</v>
      </c>
      <c r="B356">
        <v>21</v>
      </c>
      <c r="C356">
        <v>1</v>
      </c>
      <c r="D356">
        <v>31</v>
      </c>
      <c r="E356">
        <v>0</v>
      </c>
      <c r="F356">
        <v>2</v>
      </c>
      <c r="G356">
        <v>0</v>
      </c>
      <c r="H356">
        <v>57</v>
      </c>
      <c r="I356" s="1">
        <f t="shared" si="10"/>
        <v>0.54385964912280704</v>
      </c>
      <c r="J356" t="str">
        <f t="shared" si="11"/>
        <v/>
      </c>
    </row>
    <row r="357" spans="1:10">
      <c r="A357" t="s">
        <v>113</v>
      </c>
      <c r="B357">
        <v>21</v>
      </c>
      <c r="C357">
        <v>2</v>
      </c>
      <c r="D357">
        <v>57</v>
      </c>
      <c r="E357">
        <v>0</v>
      </c>
      <c r="F357">
        <v>0</v>
      </c>
      <c r="G357">
        <v>0</v>
      </c>
      <c r="H357">
        <v>57</v>
      </c>
      <c r="I357" s="1">
        <f t="shared" si="10"/>
        <v>1</v>
      </c>
      <c r="J357" t="str">
        <f t="shared" si="11"/>
        <v/>
      </c>
    </row>
    <row r="358" spans="1:10">
      <c r="A358" t="s">
        <v>145</v>
      </c>
      <c r="B358">
        <v>0</v>
      </c>
      <c r="C358">
        <v>1</v>
      </c>
      <c r="D358">
        <v>1</v>
      </c>
      <c r="E358">
        <v>0</v>
      </c>
      <c r="F358">
        <v>1</v>
      </c>
      <c r="G358">
        <v>0</v>
      </c>
      <c r="H358">
        <v>10</v>
      </c>
      <c r="I358" s="1">
        <f t="shared" si="10"/>
        <v>0.1</v>
      </c>
      <c r="J358" t="str">
        <f t="shared" si="11"/>
        <v/>
      </c>
    </row>
    <row r="359" spans="1:10">
      <c r="A359" t="s">
        <v>145</v>
      </c>
      <c r="B359">
        <v>0</v>
      </c>
      <c r="C359">
        <v>2</v>
      </c>
      <c r="D359">
        <v>6</v>
      </c>
      <c r="E359">
        <v>0</v>
      </c>
      <c r="F359">
        <v>4</v>
      </c>
      <c r="G359">
        <v>0</v>
      </c>
      <c r="H359">
        <v>10</v>
      </c>
      <c r="I359" s="1">
        <f t="shared" si="10"/>
        <v>0.6</v>
      </c>
      <c r="J359" t="str">
        <f t="shared" si="11"/>
        <v/>
      </c>
    </row>
    <row r="360" spans="1:10">
      <c r="A360" t="s">
        <v>145</v>
      </c>
      <c r="B360">
        <v>0</v>
      </c>
      <c r="C360">
        <v>3</v>
      </c>
      <c r="D360">
        <v>10</v>
      </c>
      <c r="E360">
        <v>0</v>
      </c>
      <c r="F360">
        <v>0</v>
      </c>
      <c r="G360">
        <v>0</v>
      </c>
      <c r="H360">
        <v>10</v>
      </c>
      <c r="I360" s="1">
        <f t="shared" si="10"/>
        <v>1</v>
      </c>
      <c r="J360" t="str">
        <f t="shared" si="11"/>
        <v/>
      </c>
    </row>
    <row r="361" spans="1:10">
      <c r="A361" t="s">
        <v>145</v>
      </c>
      <c r="B361">
        <v>1</v>
      </c>
      <c r="C361">
        <v>1</v>
      </c>
      <c r="D361">
        <v>11</v>
      </c>
      <c r="E361">
        <v>0</v>
      </c>
      <c r="F361">
        <v>8</v>
      </c>
      <c r="G361">
        <v>0</v>
      </c>
      <c r="H361">
        <v>113</v>
      </c>
      <c r="I361" s="1">
        <f t="shared" si="10"/>
        <v>9.7345132743362831E-2</v>
      </c>
      <c r="J361" t="str">
        <f t="shared" si="11"/>
        <v/>
      </c>
    </row>
    <row r="362" spans="1:10">
      <c r="A362" t="s">
        <v>145</v>
      </c>
      <c r="B362">
        <v>1</v>
      </c>
      <c r="C362">
        <v>2</v>
      </c>
      <c r="D362">
        <v>30</v>
      </c>
      <c r="E362">
        <v>0</v>
      </c>
      <c r="F362">
        <v>5</v>
      </c>
      <c r="G362">
        <v>0</v>
      </c>
      <c r="H362">
        <v>113</v>
      </c>
      <c r="I362" s="1">
        <f t="shared" si="10"/>
        <v>0.26548672566371684</v>
      </c>
      <c r="J362" t="str">
        <f t="shared" si="11"/>
        <v/>
      </c>
    </row>
    <row r="363" spans="1:10">
      <c r="A363" t="s">
        <v>145</v>
      </c>
      <c r="B363">
        <v>1</v>
      </c>
      <c r="C363">
        <v>3</v>
      </c>
      <c r="D363">
        <v>58</v>
      </c>
      <c r="E363">
        <v>0</v>
      </c>
      <c r="F363">
        <v>2</v>
      </c>
      <c r="G363">
        <v>0</v>
      </c>
      <c r="H363">
        <v>113</v>
      </c>
      <c r="I363" s="1">
        <f t="shared" si="10"/>
        <v>0.51327433628318586</v>
      </c>
      <c r="J363" t="str">
        <f t="shared" si="11"/>
        <v/>
      </c>
    </row>
    <row r="364" spans="1:10">
      <c r="A364" t="s">
        <v>145</v>
      </c>
      <c r="B364">
        <v>1</v>
      </c>
      <c r="C364">
        <v>4</v>
      </c>
      <c r="D364">
        <v>113</v>
      </c>
      <c r="E364">
        <v>0</v>
      </c>
      <c r="F364">
        <v>0</v>
      </c>
      <c r="G364">
        <v>0</v>
      </c>
      <c r="H364">
        <v>113</v>
      </c>
      <c r="I364" s="1">
        <f t="shared" si="10"/>
        <v>1</v>
      </c>
      <c r="J364" t="str">
        <f t="shared" si="11"/>
        <v/>
      </c>
    </row>
    <row r="365" spans="1:10">
      <c r="A365" t="s">
        <v>149</v>
      </c>
      <c r="B365">
        <v>1</v>
      </c>
      <c r="C365">
        <v>1</v>
      </c>
      <c r="D365">
        <v>10</v>
      </c>
      <c r="E365">
        <v>0</v>
      </c>
      <c r="F365">
        <v>7</v>
      </c>
      <c r="G365">
        <v>0</v>
      </c>
      <c r="H365">
        <v>94</v>
      </c>
      <c r="I365" s="1">
        <f t="shared" si="10"/>
        <v>0.10638297872340426</v>
      </c>
      <c r="J365" t="str">
        <f t="shared" si="11"/>
        <v/>
      </c>
    </row>
    <row r="366" spans="1:10">
      <c r="A366" t="s">
        <v>149</v>
      </c>
      <c r="B366">
        <v>1</v>
      </c>
      <c r="C366">
        <v>2</v>
      </c>
      <c r="D366">
        <v>17</v>
      </c>
      <c r="E366">
        <v>0</v>
      </c>
      <c r="F366">
        <v>8</v>
      </c>
      <c r="G366">
        <v>0</v>
      </c>
      <c r="H366">
        <v>94</v>
      </c>
      <c r="I366" s="1">
        <f t="shared" si="10"/>
        <v>0.18085106382978725</v>
      </c>
      <c r="J366" t="str">
        <f t="shared" si="11"/>
        <v/>
      </c>
    </row>
    <row r="367" spans="1:10">
      <c r="A367" t="s">
        <v>149</v>
      </c>
      <c r="B367">
        <v>1</v>
      </c>
      <c r="C367">
        <v>3</v>
      </c>
      <c r="D367">
        <v>28</v>
      </c>
      <c r="E367">
        <v>0</v>
      </c>
      <c r="F367">
        <v>6</v>
      </c>
      <c r="G367">
        <v>0</v>
      </c>
      <c r="H367">
        <v>94</v>
      </c>
      <c r="I367" s="1">
        <f t="shared" si="10"/>
        <v>0.2978723404255319</v>
      </c>
      <c r="J367" t="str">
        <f t="shared" si="11"/>
        <v/>
      </c>
    </row>
    <row r="368" spans="1:10">
      <c r="A368" t="s">
        <v>149</v>
      </c>
      <c r="B368">
        <v>1</v>
      </c>
      <c r="C368">
        <v>4</v>
      </c>
      <c r="D368">
        <v>41</v>
      </c>
      <c r="E368">
        <v>0</v>
      </c>
      <c r="F368">
        <v>6</v>
      </c>
      <c r="G368">
        <v>0</v>
      </c>
      <c r="H368">
        <v>94</v>
      </c>
      <c r="I368" s="1">
        <f t="shared" si="10"/>
        <v>0.43617021276595747</v>
      </c>
      <c r="J368" t="str">
        <f t="shared" si="11"/>
        <v/>
      </c>
    </row>
    <row r="369" spans="1:10">
      <c r="A369" t="s">
        <v>149</v>
      </c>
      <c r="B369">
        <v>1</v>
      </c>
      <c r="C369">
        <v>5</v>
      </c>
      <c r="D369">
        <v>53</v>
      </c>
      <c r="E369">
        <v>0</v>
      </c>
      <c r="F369">
        <v>4</v>
      </c>
      <c r="G369">
        <v>0</v>
      </c>
      <c r="H369">
        <v>94</v>
      </c>
      <c r="I369" s="1">
        <f t="shared" si="10"/>
        <v>0.56382978723404253</v>
      </c>
      <c r="J369" t="str">
        <f t="shared" si="11"/>
        <v/>
      </c>
    </row>
    <row r="370" spans="1:10">
      <c r="A370" t="s">
        <v>149</v>
      </c>
      <c r="B370">
        <v>1</v>
      </c>
      <c r="C370">
        <v>6</v>
      </c>
      <c r="D370">
        <v>65</v>
      </c>
      <c r="E370">
        <v>0</v>
      </c>
      <c r="F370">
        <v>2</v>
      </c>
      <c r="G370">
        <v>0</v>
      </c>
      <c r="H370">
        <v>94</v>
      </c>
      <c r="I370" s="1">
        <f t="shared" si="10"/>
        <v>0.69148936170212771</v>
      </c>
      <c r="J370" t="str">
        <f t="shared" si="11"/>
        <v/>
      </c>
    </row>
    <row r="371" spans="1:10">
      <c r="A371" t="s">
        <v>149</v>
      </c>
      <c r="B371">
        <v>1</v>
      </c>
      <c r="C371">
        <v>7</v>
      </c>
      <c r="D371">
        <v>80</v>
      </c>
      <c r="E371">
        <v>0</v>
      </c>
      <c r="F371">
        <v>2</v>
      </c>
      <c r="G371">
        <v>0</v>
      </c>
      <c r="H371">
        <v>94</v>
      </c>
      <c r="I371" s="1">
        <f t="shared" si="10"/>
        <v>0.85106382978723405</v>
      </c>
      <c r="J371" t="str">
        <f t="shared" si="11"/>
        <v/>
      </c>
    </row>
    <row r="372" spans="1:10">
      <c r="A372" t="s">
        <v>149</v>
      </c>
      <c r="B372">
        <v>1</v>
      </c>
      <c r="C372">
        <v>8</v>
      </c>
      <c r="D372">
        <v>94</v>
      </c>
      <c r="E372">
        <v>0</v>
      </c>
      <c r="F372">
        <v>0</v>
      </c>
      <c r="G372">
        <v>0</v>
      </c>
      <c r="H372">
        <v>94</v>
      </c>
      <c r="I372" s="1">
        <f t="shared" si="10"/>
        <v>1</v>
      </c>
      <c r="J372" t="str">
        <f t="shared" si="11"/>
        <v/>
      </c>
    </row>
    <row r="373" spans="1:10">
      <c r="A373" t="s">
        <v>304</v>
      </c>
      <c r="B373">
        <v>5</v>
      </c>
      <c r="C373">
        <v>1</v>
      </c>
      <c r="D373">
        <v>27</v>
      </c>
      <c r="E373">
        <v>0</v>
      </c>
      <c r="F373">
        <v>6</v>
      </c>
      <c r="G373">
        <v>0</v>
      </c>
      <c r="H373">
        <v>211</v>
      </c>
      <c r="I373" s="1">
        <f t="shared" si="10"/>
        <v>0.12796208530805686</v>
      </c>
      <c r="J373" t="str">
        <f t="shared" si="11"/>
        <v/>
      </c>
    </row>
    <row r="374" spans="1:10">
      <c r="A374" t="s">
        <v>304</v>
      </c>
      <c r="B374">
        <v>5</v>
      </c>
      <c r="C374">
        <v>2</v>
      </c>
      <c r="D374">
        <v>42</v>
      </c>
      <c r="E374">
        <v>0</v>
      </c>
      <c r="F374">
        <v>7</v>
      </c>
      <c r="G374">
        <v>0</v>
      </c>
      <c r="H374">
        <v>211</v>
      </c>
      <c r="I374" s="1">
        <f t="shared" si="10"/>
        <v>0.1990521327014218</v>
      </c>
      <c r="J374" t="str">
        <f t="shared" si="11"/>
        <v/>
      </c>
    </row>
    <row r="375" spans="1:10">
      <c r="A375" t="s">
        <v>304</v>
      </c>
      <c r="B375">
        <v>5</v>
      </c>
      <c r="C375">
        <v>3</v>
      </c>
      <c r="D375">
        <v>69</v>
      </c>
      <c r="E375">
        <v>0</v>
      </c>
      <c r="F375">
        <v>11</v>
      </c>
      <c r="G375">
        <v>0</v>
      </c>
      <c r="H375">
        <v>211</v>
      </c>
      <c r="I375" s="1">
        <f t="shared" si="10"/>
        <v>0.32701421800947866</v>
      </c>
      <c r="J375" t="str">
        <f t="shared" si="11"/>
        <v/>
      </c>
    </row>
    <row r="376" spans="1:10">
      <c r="A376" t="s">
        <v>304</v>
      </c>
      <c r="B376">
        <v>5</v>
      </c>
      <c r="C376">
        <v>4</v>
      </c>
      <c r="D376">
        <v>78</v>
      </c>
      <c r="E376">
        <v>0</v>
      </c>
      <c r="F376">
        <v>11</v>
      </c>
      <c r="G376">
        <v>0</v>
      </c>
      <c r="H376">
        <v>211</v>
      </c>
      <c r="I376" s="1">
        <f t="shared" si="10"/>
        <v>0.36966824644549762</v>
      </c>
      <c r="J376" t="str">
        <f t="shared" si="11"/>
        <v/>
      </c>
    </row>
    <row r="377" spans="1:10">
      <c r="A377" t="s">
        <v>304</v>
      </c>
      <c r="B377">
        <v>5</v>
      </c>
      <c r="C377">
        <v>5</v>
      </c>
      <c r="D377">
        <v>82</v>
      </c>
      <c r="E377">
        <v>0</v>
      </c>
      <c r="F377">
        <v>11</v>
      </c>
      <c r="G377">
        <v>0</v>
      </c>
      <c r="H377">
        <v>211</v>
      </c>
      <c r="I377" s="1">
        <f t="shared" si="10"/>
        <v>0.38862559241706163</v>
      </c>
      <c r="J377" t="str">
        <f t="shared" si="11"/>
        <v/>
      </c>
    </row>
    <row r="378" spans="1:10">
      <c r="A378" t="s">
        <v>304</v>
      </c>
      <c r="B378">
        <v>5</v>
      </c>
      <c r="C378">
        <v>6</v>
      </c>
      <c r="D378">
        <v>91</v>
      </c>
      <c r="E378">
        <v>0</v>
      </c>
      <c r="F378">
        <v>11</v>
      </c>
      <c r="G378">
        <v>0</v>
      </c>
      <c r="H378">
        <v>211</v>
      </c>
      <c r="I378" s="1">
        <f t="shared" si="10"/>
        <v>0.43127962085308058</v>
      </c>
      <c r="J378" t="str">
        <f t="shared" si="11"/>
        <v/>
      </c>
    </row>
    <row r="379" spans="1:10">
      <c r="A379" t="s">
        <v>304</v>
      </c>
      <c r="B379">
        <v>5</v>
      </c>
      <c r="C379">
        <v>7</v>
      </c>
      <c r="D379">
        <v>100</v>
      </c>
      <c r="E379">
        <v>0</v>
      </c>
      <c r="F379">
        <v>11</v>
      </c>
      <c r="G379">
        <v>0</v>
      </c>
      <c r="H379">
        <v>211</v>
      </c>
      <c r="I379" s="1">
        <f t="shared" si="10"/>
        <v>0.47393364928909953</v>
      </c>
      <c r="J379" t="str">
        <f t="shared" si="11"/>
        <v/>
      </c>
    </row>
    <row r="380" spans="1:10">
      <c r="A380" t="s">
        <v>304</v>
      </c>
      <c r="B380">
        <v>5</v>
      </c>
      <c r="C380">
        <v>8</v>
      </c>
      <c r="D380">
        <v>102</v>
      </c>
      <c r="E380">
        <v>0</v>
      </c>
      <c r="F380">
        <v>10</v>
      </c>
      <c r="G380">
        <v>0</v>
      </c>
      <c r="H380">
        <v>211</v>
      </c>
      <c r="I380" s="1">
        <f t="shared" si="10"/>
        <v>0.48341232227488151</v>
      </c>
      <c r="J380" t="str">
        <f t="shared" si="11"/>
        <v/>
      </c>
    </row>
    <row r="381" spans="1:10">
      <c r="A381" t="s">
        <v>304</v>
      </c>
      <c r="B381">
        <v>5</v>
      </c>
      <c r="C381">
        <v>9</v>
      </c>
      <c r="D381">
        <v>111</v>
      </c>
      <c r="E381">
        <v>0</v>
      </c>
      <c r="F381">
        <v>10</v>
      </c>
      <c r="G381">
        <v>0</v>
      </c>
      <c r="H381">
        <v>211</v>
      </c>
      <c r="I381" s="1">
        <f t="shared" si="10"/>
        <v>0.52606635071090047</v>
      </c>
      <c r="J381" t="str">
        <f t="shared" si="11"/>
        <v/>
      </c>
    </row>
    <row r="382" spans="1:10">
      <c r="A382" t="s">
        <v>304</v>
      </c>
      <c r="B382">
        <v>5</v>
      </c>
      <c r="C382">
        <v>10</v>
      </c>
      <c r="D382">
        <v>115</v>
      </c>
      <c r="E382">
        <v>0</v>
      </c>
      <c r="F382">
        <v>10</v>
      </c>
      <c r="G382">
        <v>0</v>
      </c>
      <c r="H382">
        <v>211</v>
      </c>
      <c r="I382" s="1">
        <f t="shared" si="10"/>
        <v>0.54502369668246442</v>
      </c>
      <c r="J382" t="str">
        <f t="shared" si="11"/>
        <v/>
      </c>
    </row>
    <row r="383" spans="1:10">
      <c r="A383" t="s">
        <v>304</v>
      </c>
      <c r="B383">
        <v>5</v>
      </c>
      <c r="C383">
        <v>11</v>
      </c>
      <c r="D383">
        <v>143</v>
      </c>
      <c r="E383">
        <v>0</v>
      </c>
      <c r="F383">
        <v>10</v>
      </c>
      <c r="G383">
        <v>0</v>
      </c>
      <c r="H383">
        <v>211</v>
      </c>
      <c r="I383" s="1">
        <f t="shared" si="10"/>
        <v>0.67772511848341233</v>
      </c>
      <c r="J383" t="str">
        <f t="shared" si="11"/>
        <v/>
      </c>
    </row>
    <row r="384" spans="1:10">
      <c r="A384" t="s">
        <v>304</v>
      </c>
      <c r="B384">
        <v>5</v>
      </c>
      <c r="C384">
        <v>12</v>
      </c>
      <c r="D384">
        <v>156</v>
      </c>
      <c r="E384">
        <v>0</v>
      </c>
      <c r="F384">
        <v>8</v>
      </c>
      <c r="G384">
        <v>0</v>
      </c>
      <c r="H384">
        <v>211</v>
      </c>
      <c r="I384" s="1">
        <f t="shared" si="10"/>
        <v>0.73933649289099523</v>
      </c>
      <c r="J384" t="str">
        <f t="shared" si="11"/>
        <v/>
      </c>
    </row>
    <row r="385" spans="1:10">
      <c r="A385" t="s">
        <v>304</v>
      </c>
      <c r="B385">
        <v>5</v>
      </c>
      <c r="C385">
        <v>13</v>
      </c>
      <c r="D385">
        <v>168</v>
      </c>
      <c r="E385">
        <v>0</v>
      </c>
      <c r="F385">
        <v>8</v>
      </c>
      <c r="G385">
        <v>0</v>
      </c>
      <c r="H385">
        <v>211</v>
      </c>
      <c r="I385" s="1">
        <f t="shared" si="10"/>
        <v>0.79620853080568721</v>
      </c>
      <c r="J385" t="str">
        <f t="shared" si="11"/>
        <v/>
      </c>
    </row>
    <row r="386" spans="1:10">
      <c r="A386" t="s">
        <v>304</v>
      </c>
      <c r="B386">
        <v>5</v>
      </c>
      <c r="C386">
        <v>14</v>
      </c>
      <c r="D386">
        <v>168</v>
      </c>
      <c r="E386">
        <v>0</v>
      </c>
      <c r="F386">
        <v>8</v>
      </c>
      <c r="G386">
        <v>0</v>
      </c>
      <c r="H386">
        <v>211</v>
      </c>
      <c r="I386" s="1">
        <f t="shared" si="10"/>
        <v>0.79620853080568721</v>
      </c>
      <c r="J386" t="str">
        <f t="shared" si="11"/>
        <v/>
      </c>
    </row>
    <row r="387" spans="1:10">
      <c r="A387" t="s">
        <v>304</v>
      </c>
      <c r="B387">
        <v>5</v>
      </c>
      <c r="C387">
        <v>15</v>
      </c>
      <c r="D387">
        <v>178</v>
      </c>
      <c r="E387">
        <v>0</v>
      </c>
      <c r="F387">
        <v>6</v>
      </c>
      <c r="G387">
        <v>0</v>
      </c>
      <c r="H387">
        <v>211</v>
      </c>
      <c r="I387" s="1">
        <f t="shared" ref="I387:I450" si="12">D387/H387</f>
        <v>0.84360189573459721</v>
      </c>
      <c r="J387" t="str">
        <f t="shared" ref="J387:J450" si="13">IF(I387&gt;1,"!","")</f>
        <v/>
      </c>
    </row>
    <row r="388" spans="1:10">
      <c r="A388" t="s">
        <v>304</v>
      </c>
      <c r="B388">
        <v>5</v>
      </c>
      <c r="C388">
        <v>16</v>
      </c>
      <c r="D388">
        <v>178</v>
      </c>
      <c r="E388">
        <v>0</v>
      </c>
      <c r="F388">
        <v>6</v>
      </c>
      <c r="G388">
        <v>0</v>
      </c>
      <c r="H388">
        <v>211</v>
      </c>
      <c r="I388" s="1">
        <f t="shared" si="12"/>
        <v>0.84360189573459721</v>
      </c>
      <c r="J388" t="str">
        <f t="shared" si="13"/>
        <v/>
      </c>
    </row>
    <row r="389" spans="1:10">
      <c r="A389" t="s">
        <v>304</v>
      </c>
      <c r="B389">
        <v>5</v>
      </c>
      <c r="C389">
        <v>17</v>
      </c>
      <c r="D389">
        <v>207</v>
      </c>
      <c r="E389">
        <v>0</v>
      </c>
      <c r="F389">
        <v>4</v>
      </c>
      <c r="G389">
        <v>0</v>
      </c>
      <c r="H389">
        <v>211</v>
      </c>
      <c r="I389" s="1">
        <f t="shared" si="12"/>
        <v>0.98104265402843605</v>
      </c>
      <c r="J389" t="str">
        <f t="shared" si="13"/>
        <v/>
      </c>
    </row>
    <row r="390" spans="1:10">
      <c r="A390" t="s">
        <v>304</v>
      </c>
      <c r="B390">
        <v>5</v>
      </c>
      <c r="C390">
        <v>18</v>
      </c>
      <c r="D390">
        <v>211</v>
      </c>
      <c r="E390">
        <v>0</v>
      </c>
      <c r="F390">
        <v>0</v>
      </c>
      <c r="G390">
        <v>0</v>
      </c>
      <c r="H390">
        <v>211</v>
      </c>
      <c r="I390" s="1">
        <f t="shared" si="12"/>
        <v>1</v>
      </c>
      <c r="J390" t="str">
        <f t="shared" si="13"/>
        <v/>
      </c>
    </row>
    <row r="391" spans="1:10">
      <c r="A391" t="s">
        <v>304</v>
      </c>
      <c r="B391">
        <v>6</v>
      </c>
      <c r="C391">
        <v>1</v>
      </c>
      <c r="D391">
        <v>215</v>
      </c>
      <c r="E391">
        <v>0</v>
      </c>
      <c r="F391">
        <v>14</v>
      </c>
      <c r="G391">
        <v>0</v>
      </c>
      <c r="H391">
        <v>775</v>
      </c>
      <c r="I391" s="1">
        <f t="shared" si="12"/>
        <v>0.27741935483870966</v>
      </c>
      <c r="J391" t="str">
        <f t="shared" si="13"/>
        <v/>
      </c>
    </row>
    <row r="392" spans="1:10">
      <c r="A392" t="s">
        <v>304</v>
      </c>
      <c r="B392">
        <v>6</v>
      </c>
      <c r="C392">
        <v>2</v>
      </c>
      <c r="D392">
        <v>216</v>
      </c>
      <c r="E392">
        <v>0</v>
      </c>
      <c r="F392">
        <v>13</v>
      </c>
      <c r="G392">
        <v>0</v>
      </c>
      <c r="H392">
        <v>775</v>
      </c>
      <c r="I392" s="1">
        <f t="shared" si="12"/>
        <v>0.27870967741935482</v>
      </c>
      <c r="J392" t="str">
        <f t="shared" si="13"/>
        <v/>
      </c>
    </row>
    <row r="393" spans="1:10">
      <c r="A393" t="s">
        <v>304</v>
      </c>
      <c r="B393">
        <v>6</v>
      </c>
      <c r="C393">
        <v>3</v>
      </c>
      <c r="D393">
        <v>232</v>
      </c>
      <c r="E393">
        <v>0</v>
      </c>
      <c r="F393">
        <v>17</v>
      </c>
      <c r="G393">
        <v>0</v>
      </c>
      <c r="H393">
        <v>775</v>
      </c>
      <c r="I393" s="1">
        <f t="shared" si="12"/>
        <v>0.29935483870967744</v>
      </c>
      <c r="J393" t="str">
        <f t="shared" si="13"/>
        <v/>
      </c>
    </row>
    <row r="394" spans="1:10">
      <c r="A394" t="s">
        <v>304</v>
      </c>
      <c r="B394">
        <v>6</v>
      </c>
      <c r="C394">
        <v>4</v>
      </c>
      <c r="D394">
        <v>293</v>
      </c>
      <c r="E394">
        <v>0</v>
      </c>
      <c r="F394">
        <v>15</v>
      </c>
      <c r="G394">
        <v>0</v>
      </c>
      <c r="H394">
        <v>775</v>
      </c>
      <c r="I394" s="1">
        <f t="shared" si="12"/>
        <v>0.37806451612903225</v>
      </c>
      <c r="J394" t="str">
        <f t="shared" si="13"/>
        <v/>
      </c>
    </row>
    <row r="395" spans="1:10">
      <c r="A395" t="s">
        <v>304</v>
      </c>
      <c r="B395">
        <v>6</v>
      </c>
      <c r="C395">
        <v>5</v>
      </c>
      <c r="D395">
        <v>329</v>
      </c>
      <c r="E395">
        <v>0</v>
      </c>
      <c r="F395">
        <v>13</v>
      </c>
      <c r="G395">
        <v>0</v>
      </c>
      <c r="H395">
        <v>775</v>
      </c>
      <c r="I395" s="1">
        <f t="shared" si="12"/>
        <v>0.42451612903225805</v>
      </c>
      <c r="J395" t="str">
        <f t="shared" si="13"/>
        <v/>
      </c>
    </row>
    <row r="396" spans="1:10">
      <c r="A396" t="s">
        <v>304</v>
      </c>
      <c r="B396">
        <v>6</v>
      </c>
      <c r="C396">
        <v>6</v>
      </c>
      <c r="D396">
        <v>358</v>
      </c>
      <c r="E396">
        <v>0</v>
      </c>
      <c r="F396">
        <v>11</v>
      </c>
      <c r="G396">
        <v>0</v>
      </c>
      <c r="H396">
        <v>775</v>
      </c>
      <c r="I396" s="1">
        <f t="shared" si="12"/>
        <v>0.46193548387096772</v>
      </c>
      <c r="J396" t="str">
        <f t="shared" si="13"/>
        <v/>
      </c>
    </row>
    <row r="397" spans="1:10">
      <c r="A397" t="s">
        <v>304</v>
      </c>
      <c r="B397">
        <v>6</v>
      </c>
      <c r="C397">
        <v>7</v>
      </c>
      <c r="D397">
        <v>409</v>
      </c>
      <c r="E397">
        <v>0</v>
      </c>
      <c r="F397">
        <v>9</v>
      </c>
      <c r="G397">
        <v>0</v>
      </c>
      <c r="H397">
        <v>775</v>
      </c>
      <c r="I397" s="1">
        <f t="shared" si="12"/>
        <v>0.52774193548387094</v>
      </c>
      <c r="J397" t="str">
        <f t="shared" si="13"/>
        <v/>
      </c>
    </row>
    <row r="398" spans="1:10">
      <c r="A398" t="s">
        <v>304</v>
      </c>
      <c r="B398">
        <v>6</v>
      </c>
      <c r="C398">
        <v>8</v>
      </c>
      <c r="D398">
        <v>410</v>
      </c>
      <c r="E398">
        <v>0</v>
      </c>
      <c r="F398">
        <v>8</v>
      </c>
      <c r="G398">
        <v>0</v>
      </c>
      <c r="H398">
        <v>775</v>
      </c>
      <c r="I398" s="1">
        <f t="shared" si="12"/>
        <v>0.52903225806451615</v>
      </c>
      <c r="J398" t="str">
        <f t="shared" si="13"/>
        <v/>
      </c>
    </row>
    <row r="399" spans="1:10">
      <c r="A399" t="s">
        <v>304</v>
      </c>
      <c r="B399">
        <v>6</v>
      </c>
      <c r="C399">
        <v>9</v>
      </c>
      <c r="D399">
        <v>423</v>
      </c>
      <c r="E399">
        <v>0</v>
      </c>
      <c r="F399">
        <v>6</v>
      </c>
      <c r="G399">
        <v>0</v>
      </c>
      <c r="H399">
        <v>775</v>
      </c>
      <c r="I399" s="1">
        <f t="shared" si="12"/>
        <v>0.5458064516129032</v>
      </c>
      <c r="J399" t="str">
        <f t="shared" si="13"/>
        <v/>
      </c>
    </row>
    <row r="400" spans="1:10">
      <c r="A400" t="s">
        <v>304</v>
      </c>
      <c r="B400">
        <v>6</v>
      </c>
      <c r="C400">
        <v>10</v>
      </c>
      <c r="D400">
        <v>436</v>
      </c>
      <c r="E400">
        <v>0</v>
      </c>
      <c r="F400">
        <v>4</v>
      </c>
      <c r="G400">
        <v>0</v>
      </c>
      <c r="H400">
        <v>775</v>
      </c>
      <c r="I400" s="1">
        <f t="shared" si="12"/>
        <v>0.56258064516129036</v>
      </c>
      <c r="J400" t="str">
        <f t="shared" si="13"/>
        <v/>
      </c>
    </row>
    <row r="401" spans="1:10">
      <c r="A401" t="s">
        <v>304</v>
      </c>
      <c r="B401">
        <v>6</v>
      </c>
      <c r="C401">
        <v>11</v>
      </c>
      <c r="D401">
        <v>561</v>
      </c>
      <c r="E401">
        <v>0</v>
      </c>
      <c r="F401">
        <v>4</v>
      </c>
      <c r="G401">
        <v>0</v>
      </c>
      <c r="H401">
        <v>775</v>
      </c>
      <c r="I401" s="1">
        <f t="shared" si="12"/>
        <v>0.72387096774193549</v>
      </c>
      <c r="J401" t="str">
        <f t="shared" si="13"/>
        <v/>
      </c>
    </row>
    <row r="402" spans="1:10">
      <c r="A402" t="s">
        <v>304</v>
      </c>
      <c r="B402">
        <v>6</v>
      </c>
      <c r="C402">
        <v>12</v>
      </c>
      <c r="D402">
        <v>648</v>
      </c>
      <c r="E402">
        <v>0</v>
      </c>
      <c r="F402">
        <v>4</v>
      </c>
      <c r="G402">
        <v>0</v>
      </c>
      <c r="H402">
        <v>775</v>
      </c>
      <c r="I402" s="1">
        <f t="shared" si="12"/>
        <v>0.83612903225806456</v>
      </c>
      <c r="J402" t="str">
        <f t="shared" si="13"/>
        <v/>
      </c>
    </row>
    <row r="403" spans="1:10">
      <c r="A403" t="s">
        <v>304</v>
      </c>
      <c r="B403">
        <v>6</v>
      </c>
      <c r="C403">
        <v>13</v>
      </c>
      <c r="D403">
        <v>655</v>
      </c>
      <c r="E403">
        <v>0</v>
      </c>
      <c r="F403">
        <v>2</v>
      </c>
      <c r="G403">
        <v>0</v>
      </c>
      <c r="H403">
        <v>775</v>
      </c>
      <c r="I403" s="1">
        <f t="shared" si="12"/>
        <v>0.84516129032258069</v>
      </c>
      <c r="J403" t="str">
        <f t="shared" si="13"/>
        <v/>
      </c>
    </row>
    <row r="404" spans="1:10">
      <c r="A404" t="s">
        <v>304</v>
      </c>
      <c r="B404">
        <v>6</v>
      </c>
      <c r="C404">
        <v>14</v>
      </c>
      <c r="D404">
        <v>656</v>
      </c>
      <c r="E404">
        <v>0</v>
      </c>
      <c r="F404">
        <v>1</v>
      </c>
      <c r="G404">
        <v>0</v>
      </c>
      <c r="H404">
        <v>775</v>
      </c>
      <c r="I404" s="1">
        <f t="shared" si="12"/>
        <v>0.84645161290322579</v>
      </c>
      <c r="J404" t="str">
        <f t="shared" si="13"/>
        <v/>
      </c>
    </row>
    <row r="405" spans="1:10">
      <c r="A405" t="s">
        <v>304</v>
      </c>
      <c r="B405">
        <v>6</v>
      </c>
      <c r="C405">
        <v>15</v>
      </c>
      <c r="D405">
        <v>775</v>
      </c>
      <c r="E405">
        <v>0</v>
      </c>
      <c r="F405">
        <v>0</v>
      </c>
      <c r="G405">
        <v>0</v>
      </c>
      <c r="H405">
        <v>775</v>
      </c>
      <c r="I405" s="1">
        <f t="shared" si="12"/>
        <v>1</v>
      </c>
      <c r="J405" t="str">
        <f t="shared" si="13"/>
        <v/>
      </c>
    </row>
    <row r="406" spans="1:10">
      <c r="A406" t="s">
        <v>155</v>
      </c>
      <c r="B406">
        <v>9</v>
      </c>
      <c r="C406">
        <v>1</v>
      </c>
      <c r="D406">
        <v>6</v>
      </c>
      <c r="E406">
        <v>0</v>
      </c>
      <c r="F406">
        <v>5</v>
      </c>
      <c r="G406">
        <v>0</v>
      </c>
      <c r="H406">
        <v>36</v>
      </c>
      <c r="I406" s="1">
        <f t="shared" si="12"/>
        <v>0.16666666666666666</v>
      </c>
      <c r="J406" t="str">
        <f t="shared" si="13"/>
        <v/>
      </c>
    </row>
    <row r="407" spans="1:10">
      <c r="A407" t="s">
        <v>155</v>
      </c>
      <c r="B407">
        <v>9</v>
      </c>
      <c r="C407">
        <v>2</v>
      </c>
      <c r="D407">
        <v>8</v>
      </c>
      <c r="E407">
        <v>0</v>
      </c>
      <c r="F407">
        <v>4</v>
      </c>
      <c r="G407">
        <v>0</v>
      </c>
      <c r="H407">
        <v>36</v>
      </c>
      <c r="I407" s="1">
        <f t="shared" si="12"/>
        <v>0.22222222222222221</v>
      </c>
      <c r="J407" t="str">
        <f t="shared" si="13"/>
        <v/>
      </c>
    </row>
    <row r="408" spans="1:10">
      <c r="A408" t="s">
        <v>155</v>
      </c>
      <c r="B408">
        <v>9</v>
      </c>
      <c r="C408">
        <v>3</v>
      </c>
      <c r="D408">
        <v>12</v>
      </c>
      <c r="E408">
        <v>0</v>
      </c>
      <c r="F408">
        <v>5</v>
      </c>
      <c r="G408">
        <v>0</v>
      </c>
      <c r="H408">
        <v>36</v>
      </c>
      <c r="I408" s="1">
        <f t="shared" si="12"/>
        <v>0.33333333333333331</v>
      </c>
      <c r="J408" t="str">
        <f t="shared" si="13"/>
        <v/>
      </c>
    </row>
    <row r="409" spans="1:10">
      <c r="A409" t="s">
        <v>155</v>
      </c>
      <c r="B409">
        <v>9</v>
      </c>
      <c r="C409">
        <v>4</v>
      </c>
      <c r="D409">
        <v>17</v>
      </c>
      <c r="E409">
        <v>0</v>
      </c>
      <c r="F409">
        <v>5</v>
      </c>
      <c r="G409">
        <v>0</v>
      </c>
      <c r="H409">
        <v>36</v>
      </c>
      <c r="I409" s="1">
        <f t="shared" si="12"/>
        <v>0.47222222222222221</v>
      </c>
      <c r="J409" t="str">
        <f t="shared" si="13"/>
        <v/>
      </c>
    </row>
    <row r="410" spans="1:10">
      <c r="A410" t="s">
        <v>155</v>
      </c>
      <c r="B410">
        <v>9</v>
      </c>
      <c r="C410">
        <v>5</v>
      </c>
      <c r="D410">
        <v>21</v>
      </c>
      <c r="E410">
        <v>0</v>
      </c>
      <c r="F410">
        <v>5</v>
      </c>
      <c r="G410">
        <v>0</v>
      </c>
      <c r="H410">
        <v>36</v>
      </c>
      <c r="I410" s="1">
        <f t="shared" si="12"/>
        <v>0.58333333333333337</v>
      </c>
      <c r="J410" t="str">
        <f t="shared" si="13"/>
        <v/>
      </c>
    </row>
    <row r="411" spans="1:10">
      <c r="A411" t="s">
        <v>155</v>
      </c>
      <c r="B411">
        <v>9</v>
      </c>
      <c r="C411">
        <v>6</v>
      </c>
      <c r="D411">
        <v>22</v>
      </c>
      <c r="E411">
        <v>0</v>
      </c>
      <c r="F411">
        <v>4</v>
      </c>
      <c r="G411">
        <v>0</v>
      </c>
      <c r="H411">
        <v>36</v>
      </c>
      <c r="I411" s="1">
        <f t="shared" si="12"/>
        <v>0.61111111111111116</v>
      </c>
      <c r="J411" t="str">
        <f t="shared" si="13"/>
        <v/>
      </c>
    </row>
    <row r="412" spans="1:10">
      <c r="A412" t="s">
        <v>155</v>
      </c>
      <c r="B412">
        <v>9</v>
      </c>
      <c r="C412">
        <v>7</v>
      </c>
      <c r="D412">
        <v>23</v>
      </c>
      <c r="E412">
        <v>0</v>
      </c>
      <c r="F412">
        <v>3</v>
      </c>
      <c r="G412">
        <v>0</v>
      </c>
      <c r="H412">
        <v>36</v>
      </c>
      <c r="I412" s="1">
        <f t="shared" si="12"/>
        <v>0.63888888888888884</v>
      </c>
      <c r="J412" t="str">
        <f t="shared" si="13"/>
        <v/>
      </c>
    </row>
    <row r="413" spans="1:10">
      <c r="A413" t="s">
        <v>155</v>
      </c>
      <c r="B413">
        <v>9</v>
      </c>
      <c r="C413">
        <v>8</v>
      </c>
      <c r="D413">
        <v>23</v>
      </c>
      <c r="E413">
        <v>0</v>
      </c>
      <c r="F413">
        <v>3</v>
      </c>
      <c r="G413">
        <v>0</v>
      </c>
      <c r="H413">
        <v>36</v>
      </c>
      <c r="I413" s="1">
        <f t="shared" si="12"/>
        <v>0.63888888888888884</v>
      </c>
      <c r="J413" t="str">
        <f t="shared" si="13"/>
        <v/>
      </c>
    </row>
    <row r="414" spans="1:10">
      <c r="A414" t="s">
        <v>155</v>
      </c>
      <c r="B414">
        <v>9</v>
      </c>
      <c r="C414">
        <v>9</v>
      </c>
      <c r="D414">
        <v>23</v>
      </c>
      <c r="E414">
        <v>0</v>
      </c>
      <c r="F414">
        <v>3</v>
      </c>
      <c r="G414">
        <v>0</v>
      </c>
      <c r="H414">
        <v>36</v>
      </c>
      <c r="I414" s="1">
        <f t="shared" si="12"/>
        <v>0.63888888888888884</v>
      </c>
      <c r="J414" t="str">
        <f t="shared" si="13"/>
        <v/>
      </c>
    </row>
    <row r="415" spans="1:10">
      <c r="A415" t="s">
        <v>155</v>
      </c>
      <c r="B415">
        <v>9</v>
      </c>
      <c r="C415">
        <v>10</v>
      </c>
      <c r="D415">
        <v>24</v>
      </c>
      <c r="E415">
        <v>0</v>
      </c>
      <c r="F415">
        <v>2</v>
      </c>
      <c r="G415">
        <v>0</v>
      </c>
      <c r="H415">
        <v>36</v>
      </c>
      <c r="I415" s="1">
        <f t="shared" si="12"/>
        <v>0.66666666666666663</v>
      </c>
      <c r="J415" t="str">
        <f t="shared" si="13"/>
        <v/>
      </c>
    </row>
    <row r="416" spans="1:10">
      <c r="A416" t="s">
        <v>155</v>
      </c>
      <c r="B416">
        <v>9</v>
      </c>
      <c r="C416">
        <v>11</v>
      </c>
      <c r="D416">
        <v>28</v>
      </c>
      <c r="E416">
        <v>0</v>
      </c>
      <c r="F416">
        <v>3</v>
      </c>
      <c r="G416">
        <v>0</v>
      </c>
      <c r="H416">
        <v>36</v>
      </c>
      <c r="I416" s="1">
        <f t="shared" si="12"/>
        <v>0.77777777777777779</v>
      </c>
      <c r="J416" t="str">
        <f t="shared" si="13"/>
        <v/>
      </c>
    </row>
    <row r="417" spans="1:10">
      <c r="A417" t="s">
        <v>155</v>
      </c>
      <c r="B417">
        <v>9</v>
      </c>
      <c r="C417">
        <v>12</v>
      </c>
      <c r="D417">
        <v>28</v>
      </c>
      <c r="E417">
        <v>0</v>
      </c>
      <c r="F417">
        <v>3</v>
      </c>
      <c r="G417">
        <v>0</v>
      </c>
      <c r="H417">
        <v>36</v>
      </c>
      <c r="I417" s="1">
        <f t="shared" si="12"/>
        <v>0.77777777777777779</v>
      </c>
      <c r="J417" t="str">
        <f t="shared" si="13"/>
        <v/>
      </c>
    </row>
    <row r="418" spans="1:10">
      <c r="A418" t="s">
        <v>155</v>
      </c>
      <c r="B418">
        <v>9</v>
      </c>
      <c r="C418">
        <v>13</v>
      </c>
      <c r="D418">
        <v>28</v>
      </c>
      <c r="E418">
        <v>0</v>
      </c>
      <c r="F418">
        <v>3</v>
      </c>
      <c r="G418">
        <v>0</v>
      </c>
      <c r="H418">
        <v>36</v>
      </c>
      <c r="I418" s="1">
        <f t="shared" si="12"/>
        <v>0.77777777777777779</v>
      </c>
      <c r="J418" t="str">
        <f t="shared" si="13"/>
        <v/>
      </c>
    </row>
    <row r="419" spans="1:10">
      <c r="A419" t="s">
        <v>155</v>
      </c>
      <c r="B419">
        <v>9</v>
      </c>
      <c r="C419">
        <v>14</v>
      </c>
      <c r="D419">
        <v>28</v>
      </c>
      <c r="E419">
        <v>0</v>
      </c>
      <c r="F419">
        <v>3</v>
      </c>
      <c r="G419">
        <v>0</v>
      </c>
      <c r="H419">
        <v>36</v>
      </c>
      <c r="I419" s="1">
        <f t="shared" si="12"/>
        <v>0.77777777777777779</v>
      </c>
      <c r="J419" t="str">
        <f t="shared" si="13"/>
        <v/>
      </c>
    </row>
    <row r="420" spans="1:10">
      <c r="A420" t="s">
        <v>155</v>
      </c>
      <c r="B420">
        <v>9</v>
      </c>
      <c r="C420">
        <v>15</v>
      </c>
      <c r="D420">
        <v>35</v>
      </c>
      <c r="E420">
        <v>0</v>
      </c>
      <c r="F420">
        <v>1</v>
      </c>
      <c r="G420">
        <v>0</v>
      </c>
      <c r="H420">
        <v>36</v>
      </c>
      <c r="I420" s="1">
        <f t="shared" si="12"/>
        <v>0.97222222222222221</v>
      </c>
      <c r="J420" t="str">
        <f t="shared" si="13"/>
        <v/>
      </c>
    </row>
    <row r="421" spans="1:10">
      <c r="A421" t="s">
        <v>155</v>
      </c>
      <c r="B421">
        <v>9</v>
      </c>
      <c r="C421">
        <v>16</v>
      </c>
      <c r="D421">
        <v>36</v>
      </c>
      <c r="E421">
        <v>0</v>
      </c>
      <c r="F421">
        <v>0</v>
      </c>
      <c r="G421">
        <v>0</v>
      </c>
      <c r="H421">
        <v>36</v>
      </c>
      <c r="I421" s="1">
        <f t="shared" si="12"/>
        <v>1</v>
      </c>
      <c r="J421" t="str">
        <f t="shared" si="13"/>
        <v/>
      </c>
    </row>
    <row r="422" spans="1:10">
      <c r="A422" t="s">
        <v>155</v>
      </c>
      <c r="B422">
        <v>9</v>
      </c>
      <c r="C422">
        <v>17</v>
      </c>
      <c r="D422">
        <v>36</v>
      </c>
      <c r="E422">
        <v>0</v>
      </c>
      <c r="F422">
        <v>0</v>
      </c>
      <c r="G422">
        <v>0</v>
      </c>
      <c r="H422">
        <v>36</v>
      </c>
      <c r="I422" s="1">
        <f t="shared" si="12"/>
        <v>1</v>
      </c>
      <c r="J422" t="str">
        <f t="shared" si="13"/>
        <v/>
      </c>
    </row>
    <row r="423" spans="1:10">
      <c r="A423" t="s">
        <v>155</v>
      </c>
      <c r="B423">
        <v>9</v>
      </c>
      <c r="C423">
        <v>18</v>
      </c>
      <c r="D423">
        <v>36</v>
      </c>
      <c r="E423">
        <v>0</v>
      </c>
      <c r="F423">
        <v>0</v>
      </c>
      <c r="G423">
        <v>0</v>
      </c>
      <c r="H423">
        <v>36</v>
      </c>
      <c r="I423" s="1">
        <f t="shared" si="12"/>
        <v>1</v>
      </c>
      <c r="J423" t="str">
        <f t="shared" si="13"/>
        <v/>
      </c>
    </row>
    <row r="424" spans="1:10">
      <c r="A424" t="s">
        <v>155</v>
      </c>
      <c r="B424">
        <v>10</v>
      </c>
      <c r="C424">
        <v>1</v>
      </c>
      <c r="D424">
        <v>25</v>
      </c>
      <c r="E424">
        <v>0</v>
      </c>
      <c r="F424">
        <v>4</v>
      </c>
      <c r="G424">
        <v>0</v>
      </c>
      <c r="H424">
        <v>30</v>
      </c>
      <c r="I424" s="1">
        <f t="shared" si="12"/>
        <v>0.83333333333333337</v>
      </c>
      <c r="J424" t="str">
        <f t="shared" si="13"/>
        <v/>
      </c>
    </row>
    <row r="425" spans="1:10">
      <c r="A425" t="s">
        <v>155</v>
      </c>
      <c r="B425">
        <v>10</v>
      </c>
      <c r="C425">
        <v>2</v>
      </c>
      <c r="D425">
        <v>29</v>
      </c>
      <c r="E425">
        <v>0</v>
      </c>
      <c r="F425">
        <v>1</v>
      </c>
      <c r="G425">
        <v>0</v>
      </c>
      <c r="H425">
        <v>30</v>
      </c>
      <c r="I425" s="1">
        <f t="shared" si="12"/>
        <v>0.96666666666666667</v>
      </c>
      <c r="J425" t="str">
        <f t="shared" si="13"/>
        <v/>
      </c>
    </row>
    <row r="426" spans="1:10">
      <c r="A426" t="s">
        <v>155</v>
      </c>
      <c r="B426">
        <v>10</v>
      </c>
      <c r="C426">
        <v>3</v>
      </c>
      <c r="D426">
        <v>30</v>
      </c>
      <c r="E426">
        <v>0</v>
      </c>
      <c r="F426">
        <v>0</v>
      </c>
      <c r="G426">
        <v>0</v>
      </c>
      <c r="H426">
        <v>30</v>
      </c>
      <c r="I426" s="1">
        <f t="shared" si="12"/>
        <v>1</v>
      </c>
      <c r="J426" t="str">
        <f t="shared" si="13"/>
        <v/>
      </c>
    </row>
    <row r="427" spans="1:10">
      <c r="A427" t="s">
        <v>155</v>
      </c>
      <c r="B427">
        <v>10</v>
      </c>
      <c r="C427">
        <v>4</v>
      </c>
      <c r="D427">
        <v>30</v>
      </c>
      <c r="E427">
        <v>0</v>
      </c>
      <c r="F427">
        <v>0</v>
      </c>
      <c r="G427">
        <v>0</v>
      </c>
      <c r="H427">
        <v>30</v>
      </c>
      <c r="I427" s="1">
        <f t="shared" si="12"/>
        <v>1</v>
      </c>
      <c r="J427" t="str">
        <f t="shared" si="13"/>
        <v/>
      </c>
    </row>
    <row r="428" spans="1:10">
      <c r="A428" t="s">
        <v>155</v>
      </c>
      <c r="B428">
        <v>11</v>
      </c>
      <c r="C428">
        <v>1</v>
      </c>
      <c r="D428">
        <v>7</v>
      </c>
      <c r="E428">
        <v>0</v>
      </c>
      <c r="F428">
        <v>3</v>
      </c>
      <c r="G428">
        <v>0</v>
      </c>
      <c r="H428">
        <v>88</v>
      </c>
      <c r="I428" s="1">
        <f t="shared" si="12"/>
        <v>7.9545454545454544E-2</v>
      </c>
      <c r="J428" t="str">
        <f t="shared" si="13"/>
        <v/>
      </c>
    </row>
    <row r="429" spans="1:10">
      <c r="A429" t="s">
        <v>155</v>
      </c>
      <c r="B429">
        <v>11</v>
      </c>
      <c r="C429">
        <v>2</v>
      </c>
      <c r="D429">
        <v>34</v>
      </c>
      <c r="E429">
        <v>0</v>
      </c>
      <c r="F429">
        <v>9</v>
      </c>
      <c r="G429">
        <v>0</v>
      </c>
      <c r="H429">
        <v>88</v>
      </c>
      <c r="I429" s="1">
        <f t="shared" si="12"/>
        <v>0.38636363636363635</v>
      </c>
      <c r="J429" t="str">
        <f t="shared" si="13"/>
        <v/>
      </c>
    </row>
    <row r="430" spans="1:10">
      <c r="A430" t="s">
        <v>155</v>
      </c>
      <c r="B430">
        <v>11</v>
      </c>
      <c r="C430">
        <v>3</v>
      </c>
      <c r="D430">
        <v>42</v>
      </c>
      <c r="E430">
        <v>0</v>
      </c>
      <c r="F430">
        <v>10</v>
      </c>
      <c r="G430">
        <v>0</v>
      </c>
      <c r="H430">
        <v>88</v>
      </c>
      <c r="I430" s="1">
        <f t="shared" si="12"/>
        <v>0.47727272727272729</v>
      </c>
      <c r="J430" t="str">
        <f t="shared" si="13"/>
        <v/>
      </c>
    </row>
    <row r="431" spans="1:10">
      <c r="A431" t="s">
        <v>155</v>
      </c>
      <c r="B431">
        <v>11</v>
      </c>
      <c r="C431">
        <v>4</v>
      </c>
      <c r="D431">
        <v>51</v>
      </c>
      <c r="E431">
        <v>0</v>
      </c>
      <c r="F431">
        <v>8</v>
      </c>
      <c r="G431">
        <v>0</v>
      </c>
      <c r="H431">
        <v>88</v>
      </c>
      <c r="I431" s="1">
        <f t="shared" si="12"/>
        <v>0.57954545454545459</v>
      </c>
      <c r="J431" t="str">
        <f t="shared" si="13"/>
        <v/>
      </c>
    </row>
    <row r="432" spans="1:10">
      <c r="A432" t="s">
        <v>155</v>
      </c>
      <c r="B432">
        <v>11</v>
      </c>
      <c r="C432">
        <v>5</v>
      </c>
      <c r="D432">
        <v>54</v>
      </c>
      <c r="E432">
        <v>0</v>
      </c>
      <c r="F432">
        <v>6</v>
      </c>
      <c r="G432">
        <v>0</v>
      </c>
      <c r="H432">
        <v>88</v>
      </c>
      <c r="I432" s="1">
        <f t="shared" si="12"/>
        <v>0.61363636363636365</v>
      </c>
      <c r="J432" t="str">
        <f t="shared" si="13"/>
        <v/>
      </c>
    </row>
    <row r="433" spans="1:10">
      <c r="A433" t="s">
        <v>155</v>
      </c>
      <c r="B433">
        <v>11</v>
      </c>
      <c r="C433">
        <v>6</v>
      </c>
      <c r="D433">
        <v>54</v>
      </c>
      <c r="E433">
        <v>0</v>
      </c>
      <c r="F433">
        <v>6</v>
      </c>
      <c r="G433">
        <v>0</v>
      </c>
      <c r="H433">
        <v>88</v>
      </c>
      <c r="I433" s="1">
        <f t="shared" si="12"/>
        <v>0.61363636363636365</v>
      </c>
      <c r="J433" t="str">
        <f t="shared" si="13"/>
        <v/>
      </c>
    </row>
    <row r="434" spans="1:10">
      <c r="A434" t="s">
        <v>155</v>
      </c>
      <c r="B434">
        <v>11</v>
      </c>
      <c r="C434">
        <v>7</v>
      </c>
      <c r="D434">
        <v>54</v>
      </c>
      <c r="E434">
        <v>0</v>
      </c>
      <c r="F434">
        <v>6</v>
      </c>
      <c r="G434">
        <v>0</v>
      </c>
      <c r="H434">
        <v>88</v>
      </c>
      <c r="I434" s="1">
        <f t="shared" si="12"/>
        <v>0.61363636363636365</v>
      </c>
      <c r="J434" t="str">
        <f t="shared" si="13"/>
        <v/>
      </c>
    </row>
    <row r="435" spans="1:10">
      <c r="A435" t="s">
        <v>155</v>
      </c>
      <c r="B435">
        <v>11</v>
      </c>
      <c r="C435">
        <v>8</v>
      </c>
      <c r="D435">
        <v>63</v>
      </c>
      <c r="E435">
        <v>0</v>
      </c>
      <c r="F435">
        <v>6</v>
      </c>
      <c r="G435">
        <v>0</v>
      </c>
      <c r="H435">
        <v>88</v>
      </c>
      <c r="I435" s="1">
        <f t="shared" si="12"/>
        <v>0.71590909090909094</v>
      </c>
      <c r="J435" t="str">
        <f t="shared" si="13"/>
        <v/>
      </c>
    </row>
    <row r="436" spans="1:10">
      <c r="A436" t="s">
        <v>155</v>
      </c>
      <c r="B436">
        <v>11</v>
      </c>
      <c r="C436">
        <v>9</v>
      </c>
      <c r="D436">
        <v>76</v>
      </c>
      <c r="E436">
        <v>0</v>
      </c>
      <c r="F436">
        <v>6</v>
      </c>
      <c r="G436">
        <v>0</v>
      </c>
      <c r="H436">
        <v>88</v>
      </c>
      <c r="I436" s="1">
        <f t="shared" si="12"/>
        <v>0.86363636363636365</v>
      </c>
      <c r="J436" t="str">
        <f t="shared" si="13"/>
        <v/>
      </c>
    </row>
    <row r="437" spans="1:10">
      <c r="A437" t="s">
        <v>155</v>
      </c>
      <c r="B437">
        <v>11</v>
      </c>
      <c r="C437">
        <v>10</v>
      </c>
      <c r="D437">
        <v>83</v>
      </c>
      <c r="E437">
        <v>0</v>
      </c>
      <c r="F437">
        <v>3</v>
      </c>
      <c r="G437">
        <v>0</v>
      </c>
      <c r="H437">
        <v>88</v>
      </c>
      <c r="I437" s="1">
        <f t="shared" si="12"/>
        <v>0.94318181818181823</v>
      </c>
      <c r="J437" t="str">
        <f t="shared" si="13"/>
        <v/>
      </c>
    </row>
    <row r="438" spans="1:10">
      <c r="A438" t="s">
        <v>155</v>
      </c>
      <c r="B438">
        <v>11</v>
      </c>
      <c r="C438">
        <v>11</v>
      </c>
      <c r="D438">
        <v>83</v>
      </c>
      <c r="E438">
        <v>0</v>
      </c>
      <c r="F438">
        <v>3</v>
      </c>
      <c r="G438">
        <v>0</v>
      </c>
      <c r="H438">
        <v>88</v>
      </c>
      <c r="I438" s="1">
        <f t="shared" si="12"/>
        <v>0.94318181818181823</v>
      </c>
      <c r="J438" t="str">
        <f t="shared" si="13"/>
        <v/>
      </c>
    </row>
    <row r="439" spans="1:10">
      <c r="A439" t="s">
        <v>155</v>
      </c>
      <c r="B439">
        <v>11</v>
      </c>
      <c r="C439">
        <v>12</v>
      </c>
      <c r="D439">
        <v>83</v>
      </c>
      <c r="E439">
        <v>0</v>
      </c>
      <c r="F439">
        <v>3</v>
      </c>
      <c r="G439">
        <v>0</v>
      </c>
      <c r="H439">
        <v>88</v>
      </c>
      <c r="I439" s="1">
        <f t="shared" si="12"/>
        <v>0.94318181818181823</v>
      </c>
      <c r="J439" t="str">
        <f t="shared" si="13"/>
        <v/>
      </c>
    </row>
    <row r="440" spans="1:10">
      <c r="A440" t="s">
        <v>155</v>
      </c>
      <c r="B440">
        <v>11</v>
      </c>
      <c r="C440">
        <v>13</v>
      </c>
      <c r="D440">
        <v>88</v>
      </c>
      <c r="E440">
        <v>0</v>
      </c>
      <c r="F440">
        <v>0</v>
      </c>
      <c r="G440">
        <v>0</v>
      </c>
      <c r="H440">
        <v>88</v>
      </c>
      <c r="I440" s="1">
        <f t="shared" si="12"/>
        <v>1</v>
      </c>
      <c r="J440" t="str">
        <f t="shared" si="13"/>
        <v/>
      </c>
    </row>
    <row r="441" spans="1:10">
      <c r="A441" t="s">
        <v>155</v>
      </c>
      <c r="B441">
        <v>11</v>
      </c>
      <c r="C441">
        <v>14</v>
      </c>
      <c r="D441">
        <v>88</v>
      </c>
      <c r="E441">
        <v>0</v>
      </c>
      <c r="F441">
        <v>0</v>
      </c>
      <c r="G441">
        <v>0</v>
      </c>
      <c r="H441">
        <v>88</v>
      </c>
      <c r="I441" s="1">
        <f t="shared" si="12"/>
        <v>1</v>
      </c>
      <c r="J441" t="str">
        <f t="shared" si="13"/>
        <v/>
      </c>
    </row>
    <row r="442" spans="1:10">
      <c r="A442" t="s">
        <v>155</v>
      </c>
      <c r="B442">
        <v>11</v>
      </c>
      <c r="C442">
        <v>15</v>
      </c>
      <c r="D442">
        <v>88</v>
      </c>
      <c r="E442">
        <v>0</v>
      </c>
      <c r="F442">
        <v>0</v>
      </c>
      <c r="G442">
        <v>0</v>
      </c>
      <c r="H442">
        <v>88</v>
      </c>
      <c r="I442" s="1">
        <f t="shared" si="12"/>
        <v>1</v>
      </c>
      <c r="J442" t="str">
        <f t="shared" si="13"/>
        <v/>
      </c>
    </row>
    <row r="443" spans="1:10">
      <c r="A443" t="s">
        <v>155</v>
      </c>
      <c r="B443">
        <v>11</v>
      </c>
      <c r="C443">
        <v>16</v>
      </c>
      <c r="D443">
        <v>88</v>
      </c>
      <c r="E443">
        <v>0</v>
      </c>
      <c r="F443">
        <v>0</v>
      </c>
      <c r="G443">
        <v>0</v>
      </c>
      <c r="H443">
        <v>88</v>
      </c>
      <c r="I443" s="1">
        <f t="shared" si="12"/>
        <v>1</v>
      </c>
      <c r="J443" t="str">
        <f t="shared" si="13"/>
        <v/>
      </c>
    </row>
    <row r="444" spans="1:10">
      <c r="A444" t="s">
        <v>155</v>
      </c>
      <c r="B444">
        <v>11</v>
      </c>
      <c r="C444">
        <v>17</v>
      </c>
      <c r="D444">
        <v>88</v>
      </c>
      <c r="E444">
        <v>0</v>
      </c>
      <c r="F444">
        <v>0</v>
      </c>
      <c r="G444">
        <v>0</v>
      </c>
      <c r="H444">
        <v>88</v>
      </c>
      <c r="I444" s="1">
        <f t="shared" si="12"/>
        <v>1</v>
      </c>
      <c r="J444" t="str">
        <f t="shared" si="13"/>
        <v/>
      </c>
    </row>
    <row r="445" spans="1:10">
      <c r="A445" t="s">
        <v>155</v>
      </c>
      <c r="B445">
        <v>11</v>
      </c>
      <c r="C445">
        <v>18</v>
      </c>
      <c r="D445">
        <v>88</v>
      </c>
      <c r="E445">
        <v>0</v>
      </c>
      <c r="F445">
        <v>0</v>
      </c>
      <c r="G445">
        <v>0</v>
      </c>
      <c r="H445">
        <v>88</v>
      </c>
      <c r="I445" s="1">
        <f t="shared" si="12"/>
        <v>1</v>
      </c>
      <c r="J445" t="str">
        <f t="shared" si="13"/>
        <v/>
      </c>
    </row>
    <row r="446" spans="1:10">
      <c r="A446" t="s">
        <v>155</v>
      </c>
      <c r="B446">
        <v>11</v>
      </c>
      <c r="C446">
        <v>19</v>
      </c>
      <c r="D446">
        <v>88</v>
      </c>
      <c r="E446">
        <v>0</v>
      </c>
      <c r="F446">
        <v>0</v>
      </c>
      <c r="G446">
        <v>0</v>
      </c>
      <c r="H446">
        <v>88</v>
      </c>
      <c r="I446" s="1">
        <f t="shared" si="12"/>
        <v>1</v>
      </c>
      <c r="J446" t="str">
        <f t="shared" si="13"/>
        <v/>
      </c>
    </row>
    <row r="447" spans="1:10">
      <c r="A447" t="s">
        <v>155</v>
      </c>
      <c r="B447">
        <v>12</v>
      </c>
      <c r="C447">
        <v>1</v>
      </c>
      <c r="D447">
        <v>7</v>
      </c>
      <c r="E447">
        <v>0</v>
      </c>
      <c r="F447">
        <v>3</v>
      </c>
      <c r="G447">
        <v>0</v>
      </c>
      <c r="H447">
        <v>56</v>
      </c>
      <c r="I447" s="1">
        <f t="shared" si="12"/>
        <v>0.125</v>
      </c>
      <c r="J447" t="str">
        <f t="shared" si="13"/>
        <v/>
      </c>
    </row>
    <row r="448" spans="1:10">
      <c r="A448" t="s">
        <v>155</v>
      </c>
      <c r="B448">
        <v>12</v>
      </c>
      <c r="C448">
        <v>2</v>
      </c>
      <c r="D448">
        <v>29</v>
      </c>
      <c r="E448">
        <v>0</v>
      </c>
      <c r="F448">
        <v>7</v>
      </c>
      <c r="G448">
        <v>0</v>
      </c>
      <c r="H448">
        <v>56</v>
      </c>
      <c r="I448" s="1">
        <f t="shared" si="12"/>
        <v>0.5178571428571429</v>
      </c>
      <c r="J448" t="str">
        <f t="shared" si="13"/>
        <v/>
      </c>
    </row>
    <row r="449" spans="1:10">
      <c r="A449" t="s">
        <v>155</v>
      </c>
      <c r="B449">
        <v>12</v>
      </c>
      <c r="C449">
        <v>3</v>
      </c>
      <c r="D449">
        <v>32</v>
      </c>
      <c r="E449">
        <v>0</v>
      </c>
      <c r="F449">
        <v>4</v>
      </c>
      <c r="G449">
        <v>0</v>
      </c>
      <c r="H449">
        <v>56</v>
      </c>
      <c r="I449" s="1">
        <f t="shared" si="12"/>
        <v>0.5714285714285714</v>
      </c>
      <c r="J449" t="str">
        <f t="shared" si="13"/>
        <v/>
      </c>
    </row>
    <row r="450" spans="1:10">
      <c r="A450" t="s">
        <v>155</v>
      </c>
      <c r="B450">
        <v>12</v>
      </c>
      <c r="C450">
        <v>4</v>
      </c>
      <c r="D450">
        <v>43</v>
      </c>
      <c r="E450">
        <v>0</v>
      </c>
      <c r="F450">
        <v>2</v>
      </c>
      <c r="G450">
        <v>0</v>
      </c>
      <c r="H450">
        <v>56</v>
      </c>
      <c r="I450" s="1">
        <f t="shared" si="12"/>
        <v>0.7678571428571429</v>
      </c>
      <c r="J450" t="str">
        <f t="shared" si="13"/>
        <v/>
      </c>
    </row>
    <row r="451" spans="1:10">
      <c r="A451" t="s">
        <v>155</v>
      </c>
      <c r="B451">
        <v>12</v>
      </c>
      <c r="C451">
        <v>5</v>
      </c>
      <c r="D451">
        <v>43</v>
      </c>
      <c r="E451">
        <v>0</v>
      </c>
      <c r="F451">
        <v>2</v>
      </c>
      <c r="G451">
        <v>0</v>
      </c>
      <c r="H451">
        <v>56</v>
      </c>
      <c r="I451" s="1">
        <f t="shared" ref="I451:I472" si="14">D451/H451</f>
        <v>0.7678571428571429</v>
      </c>
      <c r="J451" t="str">
        <f t="shared" ref="J451:J472" si="15">IF(I451&gt;1,"!","")</f>
        <v/>
      </c>
    </row>
    <row r="452" spans="1:10">
      <c r="A452" t="s">
        <v>155</v>
      </c>
      <c r="B452">
        <v>12</v>
      </c>
      <c r="C452">
        <v>6</v>
      </c>
      <c r="D452">
        <v>50</v>
      </c>
      <c r="E452">
        <v>0</v>
      </c>
      <c r="F452">
        <v>3</v>
      </c>
      <c r="G452">
        <v>0</v>
      </c>
      <c r="H452">
        <v>56</v>
      </c>
      <c r="I452" s="1">
        <f t="shared" si="14"/>
        <v>0.8928571428571429</v>
      </c>
      <c r="J452" t="str">
        <f t="shared" si="15"/>
        <v/>
      </c>
    </row>
    <row r="453" spans="1:10">
      <c r="A453" t="s">
        <v>155</v>
      </c>
      <c r="B453">
        <v>12</v>
      </c>
      <c r="C453">
        <v>7</v>
      </c>
      <c r="D453">
        <v>56</v>
      </c>
      <c r="E453">
        <v>0</v>
      </c>
      <c r="F453">
        <v>0</v>
      </c>
      <c r="G453">
        <v>0</v>
      </c>
      <c r="H453">
        <v>56</v>
      </c>
      <c r="I453" s="1">
        <f t="shared" si="14"/>
        <v>1</v>
      </c>
      <c r="J453" t="str">
        <f t="shared" si="15"/>
        <v/>
      </c>
    </row>
    <row r="454" spans="1:10">
      <c r="A454" t="s">
        <v>155</v>
      </c>
      <c r="B454">
        <v>12</v>
      </c>
      <c r="C454">
        <v>8</v>
      </c>
      <c r="D454">
        <v>56</v>
      </c>
      <c r="E454">
        <v>0</v>
      </c>
      <c r="F454">
        <v>0</v>
      </c>
      <c r="G454">
        <v>0</v>
      </c>
      <c r="H454">
        <v>56</v>
      </c>
      <c r="I454" s="1">
        <f t="shared" si="14"/>
        <v>1</v>
      </c>
      <c r="J454" t="str">
        <f t="shared" si="15"/>
        <v/>
      </c>
    </row>
    <row r="455" spans="1:10">
      <c r="A455" t="s">
        <v>155</v>
      </c>
      <c r="B455">
        <v>12</v>
      </c>
      <c r="C455">
        <v>9</v>
      </c>
      <c r="D455">
        <v>56</v>
      </c>
      <c r="E455">
        <v>0</v>
      </c>
      <c r="F455">
        <v>0</v>
      </c>
      <c r="G455">
        <v>0</v>
      </c>
      <c r="H455">
        <v>56</v>
      </c>
      <c r="I455" s="1">
        <f t="shared" si="14"/>
        <v>1</v>
      </c>
      <c r="J455" t="str">
        <f t="shared" si="15"/>
        <v/>
      </c>
    </row>
    <row r="456" spans="1:10">
      <c r="A456" t="s">
        <v>155</v>
      </c>
      <c r="B456">
        <v>13</v>
      </c>
      <c r="C456">
        <v>1</v>
      </c>
      <c r="D456">
        <v>3</v>
      </c>
      <c r="E456">
        <v>0</v>
      </c>
      <c r="F456">
        <v>1</v>
      </c>
      <c r="G456">
        <v>0</v>
      </c>
      <c r="H456">
        <v>7</v>
      </c>
      <c r="I456" s="1">
        <f t="shared" si="14"/>
        <v>0.42857142857142855</v>
      </c>
      <c r="J456" t="str">
        <f t="shared" si="15"/>
        <v/>
      </c>
    </row>
    <row r="457" spans="1:10">
      <c r="A457" t="s">
        <v>155</v>
      </c>
      <c r="B457">
        <v>13</v>
      </c>
      <c r="C457">
        <v>2</v>
      </c>
      <c r="D457">
        <v>7</v>
      </c>
      <c r="E457">
        <v>0</v>
      </c>
      <c r="F457">
        <v>0</v>
      </c>
      <c r="G457">
        <v>0</v>
      </c>
      <c r="H457">
        <v>7</v>
      </c>
      <c r="I457" s="1">
        <f t="shared" si="14"/>
        <v>1</v>
      </c>
      <c r="J457" t="str">
        <f t="shared" si="15"/>
        <v/>
      </c>
    </row>
    <row r="458" spans="1:10">
      <c r="A458" t="s">
        <v>199</v>
      </c>
      <c r="B458">
        <v>2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71</v>
      </c>
      <c r="I458" s="1">
        <f t="shared" si="14"/>
        <v>0</v>
      </c>
      <c r="J458" t="str">
        <f t="shared" si="15"/>
        <v/>
      </c>
    </row>
    <row r="459" spans="1:10">
      <c r="A459" t="s">
        <v>199</v>
      </c>
      <c r="B459">
        <v>2</v>
      </c>
      <c r="C459">
        <v>2</v>
      </c>
      <c r="D459">
        <v>23</v>
      </c>
      <c r="E459">
        <v>0</v>
      </c>
      <c r="F459">
        <v>5</v>
      </c>
      <c r="G459">
        <v>0</v>
      </c>
      <c r="H459">
        <v>71</v>
      </c>
      <c r="I459" s="1">
        <f t="shared" si="14"/>
        <v>0.323943661971831</v>
      </c>
      <c r="J459" t="str">
        <f t="shared" si="15"/>
        <v/>
      </c>
    </row>
    <row r="460" spans="1:10">
      <c r="A460" t="s">
        <v>199</v>
      </c>
      <c r="B460">
        <v>2</v>
      </c>
      <c r="C460">
        <v>3</v>
      </c>
      <c r="D460">
        <v>25</v>
      </c>
      <c r="E460">
        <v>0</v>
      </c>
      <c r="F460">
        <v>3</v>
      </c>
      <c r="G460">
        <v>0</v>
      </c>
      <c r="H460">
        <v>71</v>
      </c>
      <c r="I460" s="1">
        <f t="shared" si="14"/>
        <v>0.352112676056338</v>
      </c>
      <c r="J460" t="str">
        <f t="shared" si="15"/>
        <v/>
      </c>
    </row>
    <row r="461" spans="1:10">
      <c r="A461" t="s">
        <v>199</v>
      </c>
      <c r="B461">
        <v>2</v>
      </c>
      <c r="C461">
        <v>4</v>
      </c>
      <c r="D461">
        <v>47</v>
      </c>
      <c r="E461">
        <v>0</v>
      </c>
      <c r="F461">
        <v>4</v>
      </c>
      <c r="G461">
        <v>0</v>
      </c>
      <c r="H461">
        <v>71</v>
      </c>
      <c r="I461" s="1">
        <f t="shared" si="14"/>
        <v>0.6619718309859155</v>
      </c>
      <c r="J461" t="str">
        <f t="shared" si="15"/>
        <v/>
      </c>
    </row>
    <row r="462" spans="1:10">
      <c r="A462" t="s">
        <v>199</v>
      </c>
      <c r="B462">
        <v>2</v>
      </c>
      <c r="C462">
        <v>5</v>
      </c>
      <c r="D462">
        <v>50</v>
      </c>
      <c r="E462">
        <v>0</v>
      </c>
      <c r="F462">
        <v>2</v>
      </c>
      <c r="G462">
        <v>0</v>
      </c>
      <c r="H462">
        <v>71</v>
      </c>
      <c r="I462" s="1">
        <f t="shared" si="14"/>
        <v>0.70422535211267601</v>
      </c>
      <c r="J462" t="str">
        <f t="shared" si="15"/>
        <v/>
      </c>
    </row>
    <row r="463" spans="1:10">
      <c r="A463" t="s">
        <v>199</v>
      </c>
      <c r="B463">
        <v>2</v>
      </c>
      <c r="C463">
        <v>6</v>
      </c>
      <c r="D463">
        <v>71</v>
      </c>
      <c r="E463">
        <v>0</v>
      </c>
      <c r="F463">
        <v>0</v>
      </c>
      <c r="G463">
        <v>0</v>
      </c>
      <c r="H463">
        <v>71</v>
      </c>
      <c r="I463" s="1">
        <f t="shared" si="14"/>
        <v>1</v>
      </c>
      <c r="J463" t="str">
        <f t="shared" si="15"/>
        <v/>
      </c>
    </row>
    <row r="464" spans="1:10">
      <c r="A464" t="s">
        <v>199</v>
      </c>
      <c r="B464">
        <v>2</v>
      </c>
      <c r="C464">
        <v>7</v>
      </c>
      <c r="D464">
        <v>71</v>
      </c>
      <c r="E464">
        <v>0</v>
      </c>
      <c r="F464">
        <v>0</v>
      </c>
      <c r="G464">
        <v>0</v>
      </c>
      <c r="H464">
        <v>71</v>
      </c>
      <c r="I464" s="1">
        <f t="shared" si="14"/>
        <v>1</v>
      </c>
      <c r="J464" t="str">
        <f t="shared" si="15"/>
        <v/>
      </c>
    </row>
    <row r="465" spans="1:10">
      <c r="A465" t="s">
        <v>199</v>
      </c>
      <c r="B465">
        <v>6</v>
      </c>
      <c r="C465">
        <v>1</v>
      </c>
      <c r="D465">
        <v>21</v>
      </c>
      <c r="E465">
        <v>0</v>
      </c>
      <c r="F465">
        <v>3</v>
      </c>
      <c r="G465">
        <v>1</v>
      </c>
      <c r="H465">
        <v>31</v>
      </c>
      <c r="I465" s="1">
        <f t="shared" si="14"/>
        <v>0.67741935483870963</v>
      </c>
      <c r="J465" t="str">
        <f t="shared" si="15"/>
        <v/>
      </c>
    </row>
    <row r="466" spans="1:10">
      <c r="A466" t="s">
        <v>199</v>
      </c>
      <c r="B466">
        <v>6</v>
      </c>
      <c r="C466">
        <v>2</v>
      </c>
      <c r="D466">
        <v>23</v>
      </c>
      <c r="E466">
        <v>0</v>
      </c>
      <c r="F466">
        <v>2</v>
      </c>
      <c r="G466">
        <v>0</v>
      </c>
      <c r="H466">
        <v>31</v>
      </c>
      <c r="I466" s="1">
        <f t="shared" si="14"/>
        <v>0.74193548387096775</v>
      </c>
      <c r="J466" t="str">
        <f t="shared" si="15"/>
        <v/>
      </c>
    </row>
    <row r="467" spans="1:10">
      <c r="A467" t="s">
        <v>199</v>
      </c>
      <c r="B467">
        <v>6</v>
      </c>
      <c r="C467">
        <v>3</v>
      </c>
      <c r="D467">
        <v>30</v>
      </c>
      <c r="E467">
        <v>0</v>
      </c>
      <c r="F467">
        <v>1</v>
      </c>
      <c r="G467">
        <v>0</v>
      </c>
      <c r="H467">
        <v>31</v>
      </c>
      <c r="I467" s="1">
        <f t="shared" si="14"/>
        <v>0.967741935483871</v>
      </c>
      <c r="J467" t="str">
        <f t="shared" si="15"/>
        <v/>
      </c>
    </row>
    <row r="468" spans="1:10">
      <c r="A468" t="s">
        <v>199</v>
      </c>
      <c r="B468">
        <v>6</v>
      </c>
      <c r="C468">
        <v>4</v>
      </c>
      <c r="D468">
        <v>31</v>
      </c>
      <c r="E468">
        <v>0</v>
      </c>
      <c r="F468">
        <v>0</v>
      </c>
      <c r="G468">
        <v>0</v>
      </c>
      <c r="H468">
        <v>31</v>
      </c>
      <c r="I468" s="1">
        <f t="shared" si="14"/>
        <v>1</v>
      </c>
      <c r="J468" t="str">
        <f t="shared" si="15"/>
        <v/>
      </c>
    </row>
    <row r="469" spans="1:10">
      <c r="A469" t="s">
        <v>199</v>
      </c>
      <c r="B469">
        <v>6</v>
      </c>
      <c r="C469">
        <v>5</v>
      </c>
      <c r="D469">
        <v>31</v>
      </c>
      <c r="E469">
        <v>0</v>
      </c>
      <c r="F469">
        <v>0</v>
      </c>
      <c r="G469">
        <v>0</v>
      </c>
      <c r="H469">
        <v>31</v>
      </c>
      <c r="I469" s="1">
        <f t="shared" si="14"/>
        <v>1</v>
      </c>
      <c r="J469" t="str">
        <f t="shared" si="15"/>
        <v/>
      </c>
    </row>
    <row r="470" spans="1:10">
      <c r="A470" t="s">
        <v>199</v>
      </c>
      <c r="B470">
        <v>6</v>
      </c>
      <c r="C470">
        <v>6</v>
      </c>
      <c r="D470">
        <v>31</v>
      </c>
      <c r="E470">
        <v>0</v>
      </c>
      <c r="F470">
        <v>0</v>
      </c>
      <c r="G470">
        <v>0</v>
      </c>
      <c r="H470">
        <v>31</v>
      </c>
      <c r="I470" s="1">
        <f t="shared" si="14"/>
        <v>1</v>
      </c>
      <c r="J470" t="str">
        <f t="shared" si="15"/>
        <v/>
      </c>
    </row>
    <row r="471" spans="1:10">
      <c r="A471" t="s">
        <v>199</v>
      </c>
      <c r="B471">
        <v>8</v>
      </c>
      <c r="C471">
        <v>1</v>
      </c>
      <c r="D471">
        <v>27</v>
      </c>
      <c r="E471">
        <v>0</v>
      </c>
      <c r="F471">
        <v>2</v>
      </c>
      <c r="G471">
        <v>0</v>
      </c>
      <c r="H471">
        <v>29</v>
      </c>
      <c r="I471" s="1">
        <f t="shared" si="14"/>
        <v>0.93103448275862066</v>
      </c>
      <c r="J471" t="str">
        <f t="shared" si="15"/>
        <v/>
      </c>
    </row>
    <row r="472" spans="1:10">
      <c r="A472" t="s">
        <v>199</v>
      </c>
      <c r="B472">
        <v>8</v>
      </c>
      <c r="C472">
        <v>2</v>
      </c>
      <c r="D472">
        <v>29</v>
      </c>
      <c r="E472">
        <v>0</v>
      </c>
      <c r="F472">
        <v>0</v>
      </c>
      <c r="G472">
        <v>0</v>
      </c>
      <c r="H472">
        <v>29</v>
      </c>
      <c r="I472" s="1">
        <f t="shared" si="14"/>
        <v>1</v>
      </c>
      <c r="J472" t="str">
        <f t="shared" si="15"/>
        <v/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6"/>
  <sheetViews>
    <sheetView topLeftCell="A259" workbookViewId="0">
      <selection activeCell="F280" sqref="F280"/>
    </sheetView>
  </sheetViews>
  <sheetFormatPr baseColWidth="10" defaultRowHeight="15" x14ac:dyDescent="0"/>
  <sheetData>
    <row r="1" spans="1:7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A2" t="s">
        <v>4</v>
      </c>
      <c r="B2">
        <v>1</v>
      </c>
      <c r="C2" t="s">
        <v>310</v>
      </c>
      <c r="D2">
        <v>1</v>
      </c>
      <c r="E2">
        <v>5328</v>
      </c>
      <c r="F2">
        <v>5156</v>
      </c>
      <c r="G2" s="1">
        <f t="shared" ref="G2:G65" si="0">F2/E2</f>
        <v>0.96771771771771775</v>
      </c>
    </row>
    <row r="3" spans="1:7">
      <c r="A3" t="s">
        <v>4</v>
      </c>
      <c r="B3">
        <v>1</v>
      </c>
      <c r="C3" t="s">
        <v>309</v>
      </c>
      <c r="D3">
        <v>2</v>
      </c>
      <c r="E3">
        <v>5328</v>
      </c>
      <c r="F3">
        <v>5158</v>
      </c>
      <c r="G3" s="1">
        <f t="shared" si="0"/>
        <v>0.9680930930930931</v>
      </c>
    </row>
    <row r="4" spans="1:7">
      <c r="A4" t="s">
        <v>4</v>
      </c>
      <c r="B4">
        <v>1</v>
      </c>
      <c r="C4" t="s">
        <v>306</v>
      </c>
      <c r="D4">
        <v>3</v>
      </c>
      <c r="E4">
        <v>5328</v>
      </c>
      <c r="F4">
        <v>5161</v>
      </c>
      <c r="G4" s="1">
        <f t="shared" si="0"/>
        <v>0.96865615615615619</v>
      </c>
    </row>
    <row r="5" spans="1:7">
      <c r="A5" t="s">
        <v>4</v>
      </c>
      <c r="B5">
        <v>1</v>
      </c>
      <c r="C5" t="s">
        <v>308</v>
      </c>
      <c r="D5">
        <v>4</v>
      </c>
      <c r="E5">
        <v>5328</v>
      </c>
      <c r="F5">
        <v>5163</v>
      </c>
      <c r="G5" s="1">
        <f t="shared" si="0"/>
        <v>0.96903153153153154</v>
      </c>
    </row>
    <row r="6" spans="1:7">
      <c r="A6" t="s">
        <v>4</v>
      </c>
      <c r="B6">
        <v>1</v>
      </c>
      <c r="C6" t="s">
        <v>180</v>
      </c>
      <c r="D6">
        <v>5</v>
      </c>
      <c r="E6">
        <v>5328</v>
      </c>
      <c r="F6">
        <v>5219</v>
      </c>
      <c r="G6" s="1">
        <f t="shared" si="0"/>
        <v>0.97954204204204209</v>
      </c>
    </row>
    <row r="7" spans="1:7">
      <c r="A7" t="s">
        <v>4</v>
      </c>
      <c r="B7">
        <v>1</v>
      </c>
      <c r="C7" t="s">
        <v>311</v>
      </c>
      <c r="D7">
        <v>6</v>
      </c>
      <c r="E7">
        <v>5328</v>
      </c>
      <c r="F7">
        <v>5231</v>
      </c>
      <c r="G7" s="1">
        <f t="shared" si="0"/>
        <v>0.98179429429429432</v>
      </c>
    </row>
    <row r="8" spans="1:7">
      <c r="A8" t="s">
        <v>4</v>
      </c>
      <c r="B8">
        <v>1</v>
      </c>
      <c r="C8" t="s">
        <v>307</v>
      </c>
      <c r="D8">
        <v>7</v>
      </c>
      <c r="E8">
        <v>5328</v>
      </c>
      <c r="F8">
        <v>5316</v>
      </c>
      <c r="G8" s="1">
        <f t="shared" si="0"/>
        <v>0.99774774774774777</v>
      </c>
    </row>
    <row r="9" spans="1:7">
      <c r="A9" t="s">
        <v>4</v>
      </c>
      <c r="B9">
        <v>1</v>
      </c>
      <c r="C9" t="s">
        <v>312</v>
      </c>
      <c r="D9">
        <v>8</v>
      </c>
      <c r="E9">
        <v>5328</v>
      </c>
      <c r="F9">
        <v>5412</v>
      </c>
      <c r="G9" s="1">
        <f t="shared" si="0"/>
        <v>1.0157657657657657</v>
      </c>
    </row>
    <row r="10" spans="1:7">
      <c r="A10" t="s">
        <v>4</v>
      </c>
      <c r="B10">
        <v>2</v>
      </c>
      <c r="C10" t="s">
        <v>3</v>
      </c>
      <c r="D10">
        <v>1</v>
      </c>
      <c r="E10">
        <v>837</v>
      </c>
      <c r="F10">
        <v>340</v>
      </c>
      <c r="G10" s="1">
        <f t="shared" si="0"/>
        <v>0.40621266427718039</v>
      </c>
    </row>
    <row r="11" spans="1:7">
      <c r="A11" t="s">
        <v>4</v>
      </c>
      <c r="B11">
        <v>2</v>
      </c>
      <c r="C11" t="s">
        <v>5</v>
      </c>
      <c r="D11">
        <v>2</v>
      </c>
      <c r="E11">
        <v>837</v>
      </c>
      <c r="F11">
        <v>473</v>
      </c>
      <c r="G11" s="1">
        <f t="shared" si="0"/>
        <v>0.56511350059737153</v>
      </c>
    </row>
    <row r="12" spans="1:7">
      <c r="A12" t="s">
        <v>4</v>
      </c>
      <c r="B12">
        <v>2</v>
      </c>
      <c r="C12" t="s">
        <v>18</v>
      </c>
      <c r="D12">
        <v>3</v>
      </c>
      <c r="E12">
        <v>837</v>
      </c>
      <c r="F12">
        <v>529</v>
      </c>
      <c r="G12" s="1">
        <f t="shared" si="0"/>
        <v>0.63201911589008364</v>
      </c>
    </row>
    <row r="13" spans="1:7">
      <c r="A13" t="s">
        <v>4</v>
      </c>
      <c r="B13">
        <v>2</v>
      </c>
      <c r="C13" t="s">
        <v>12</v>
      </c>
      <c r="D13">
        <v>4</v>
      </c>
      <c r="E13">
        <v>837</v>
      </c>
      <c r="F13">
        <v>559</v>
      </c>
      <c r="G13" s="1">
        <f t="shared" si="0"/>
        <v>0.66786140979689368</v>
      </c>
    </row>
    <row r="14" spans="1:7">
      <c r="A14" t="s">
        <v>4</v>
      </c>
      <c r="B14">
        <v>2</v>
      </c>
      <c r="C14" t="s">
        <v>6</v>
      </c>
      <c r="D14">
        <v>5</v>
      </c>
      <c r="E14">
        <v>837</v>
      </c>
      <c r="F14">
        <v>618</v>
      </c>
      <c r="G14" s="1">
        <f t="shared" si="0"/>
        <v>0.73835125448028671</v>
      </c>
    </row>
    <row r="15" spans="1:7">
      <c r="A15" t="s">
        <v>4</v>
      </c>
      <c r="B15">
        <v>2</v>
      </c>
      <c r="C15" t="s">
        <v>11</v>
      </c>
      <c r="D15">
        <v>6</v>
      </c>
      <c r="E15">
        <v>837</v>
      </c>
      <c r="F15">
        <v>622</v>
      </c>
      <c r="G15" s="1">
        <f t="shared" si="0"/>
        <v>0.7431302270011948</v>
      </c>
    </row>
    <row r="16" spans="1:7">
      <c r="A16" t="s">
        <v>4</v>
      </c>
      <c r="B16">
        <v>2</v>
      </c>
      <c r="C16" t="s">
        <v>15</v>
      </c>
      <c r="D16">
        <v>7</v>
      </c>
      <c r="E16">
        <v>837</v>
      </c>
      <c r="F16">
        <v>633</v>
      </c>
      <c r="G16" s="1">
        <f t="shared" si="0"/>
        <v>0.75627240143369179</v>
      </c>
    </row>
    <row r="17" spans="1:7">
      <c r="A17" t="s">
        <v>4</v>
      </c>
      <c r="B17">
        <v>2</v>
      </c>
      <c r="C17" t="s">
        <v>9</v>
      </c>
      <c r="D17">
        <v>8</v>
      </c>
      <c r="E17">
        <v>837</v>
      </c>
      <c r="F17">
        <v>678</v>
      </c>
      <c r="G17" s="1">
        <f t="shared" si="0"/>
        <v>0.81003584229390679</v>
      </c>
    </row>
    <row r="18" spans="1:7">
      <c r="A18" t="s">
        <v>4</v>
      </c>
      <c r="B18">
        <v>2</v>
      </c>
      <c r="C18" t="s">
        <v>16</v>
      </c>
      <c r="D18">
        <v>9</v>
      </c>
      <c r="E18">
        <v>837</v>
      </c>
      <c r="F18">
        <v>683</v>
      </c>
      <c r="G18" s="1">
        <f t="shared" si="0"/>
        <v>0.81600955794504182</v>
      </c>
    </row>
    <row r="19" spans="1:7">
      <c r="A19" t="s">
        <v>4</v>
      </c>
      <c r="B19">
        <v>2</v>
      </c>
      <c r="C19" t="s">
        <v>7</v>
      </c>
      <c r="D19">
        <v>10</v>
      </c>
      <c r="E19">
        <v>837</v>
      </c>
      <c r="F19">
        <v>688</v>
      </c>
      <c r="G19" s="1">
        <f t="shared" si="0"/>
        <v>0.82198327359617684</v>
      </c>
    </row>
    <row r="20" spans="1:7">
      <c r="A20" t="s">
        <v>4</v>
      </c>
      <c r="B20">
        <v>2</v>
      </c>
      <c r="C20" t="s">
        <v>17</v>
      </c>
      <c r="D20">
        <v>11</v>
      </c>
      <c r="E20">
        <v>837</v>
      </c>
      <c r="F20">
        <v>696</v>
      </c>
      <c r="G20" s="1">
        <f t="shared" si="0"/>
        <v>0.8315412186379928</v>
      </c>
    </row>
    <row r="21" spans="1:7">
      <c r="A21" t="s">
        <v>4</v>
      </c>
      <c r="B21">
        <v>2</v>
      </c>
      <c r="C21" t="s">
        <v>10</v>
      </c>
      <c r="D21">
        <v>12</v>
      </c>
      <c r="E21">
        <v>837</v>
      </c>
      <c r="F21">
        <v>741</v>
      </c>
      <c r="G21" s="1">
        <f t="shared" si="0"/>
        <v>0.88530465949820791</v>
      </c>
    </row>
    <row r="22" spans="1:7">
      <c r="A22" t="s">
        <v>4</v>
      </c>
      <c r="B22">
        <v>2</v>
      </c>
      <c r="C22" t="s">
        <v>13</v>
      </c>
      <c r="D22">
        <v>13</v>
      </c>
      <c r="E22">
        <v>837</v>
      </c>
      <c r="F22">
        <v>746</v>
      </c>
      <c r="G22" s="1">
        <f t="shared" si="0"/>
        <v>0.89127837514934294</v>
      </c>
    </row>
    <row r="23" spans="1:7">
      <c r="A23" t="s">
        <v>4</v>
      </c>
      <c r="B23">
        <v>2</v>
      </c>
      <c r="C23" t="s">
        <v>8</v>
      </c>
      <c r="D23">
        <v>14</v>
      </c>
      <c r="E23">
        <v>837</v>
      </c>
      <c r="F23">
        <v>782</v>
      </c>
      <c r="G23" s="1">
        <f t="shared" si="0"/>
        <v>0.93428912783751494</v>
      </c>
    </row>
    <row r="24" spans="1:7">
      <c r="A24" t="s">
        <v>4</v>
      </c>
      <c r="B24">
        <v>2</v>
      </c>
      <c r="C24" t="s">
        <v>14</v>
      </c>
      <c r="D24">
        <v>15</v>
      </c>
      <c r="E24">
        <v>837</v>
      </c>
      <c r="F24">
        <v>801</v>
      </c>
      <c r="G24" s="1">
        <f t="shared" si="0"/>
        <v>0.956989247311828</v>
      </c>
    </row>
    <row r="25" spans="1:7">
      <c r="A25" t="s">
        <v>4</v>
      </c>
      <c r="B25">
        <v>6</v>
      </c>
      <c r="C25" t="s">
        <v>19</v>
      </c>
      <c r="D25">
        <v>1</v>
      </c>
      <c r="E25">
        <v>485</v>
      </c>
      <c r="F25">
        <v>78</v>
      </c>
      <c r="G25" s="1">
        <f t="shared" si="0"/>
        <v>0.16082474226804125</v>
      </c>
    </row>
    <row r="26" spans="1:7">
      <c r="A26" t="s">
        <v>4</v>
      </c>
      <c r="B26">
        <v>6</v>
      </c>
      <c r="C26" t="s">
        <v>1</v>
      </c>
      <c r="D26">
        <v>2</v>
      </c>
      <c r="E26">
        <v>485</v>
      </c>
      <c r="F26">
        <v>147</v>
      </c>
      <c r="G26" s="1">
        <f t="shared" si="0"/>
        <v>0.30309278350515462</v>
      </c>
    </row>
    <row r="27" spans="1:7">
      <c r="A27" t="s">
        <v>4</v>
      </c>
      <c r="B27">
        <v>6</v>
      </c>
      <c r="C27" t="s">
        <v>22</v>
      </c>
      <c r="D27">
        <v>3</v>
      </c>
      <c r="E27">
        <v>485</v>
      </c>
      <c r="F27">
        <v>331</v>
      </c>
      <c r="G27" s="1">
        <f t="shared" si="0"/>
        <v>0.68247422680412373</v>
      </c>
    </row>
    <row r="28" spans="1:7">
      <c r="A28" t="s">
        <v>4</v>
      </c>
      <c r="B28">
        <v>6</v>
      </c>
      <c r="C28" t="s">
        <v>21</v>
      </c>
      <c r="D28">
        <v>4</v>
      </c>
      <c r="E28">
        <v>485</v>
      </c>
      <c r="F28">
        <v>459</v>
      </c>
      <c r="G28" s="1">
        <f t="shared" si="0"/>
        <v>0.94639175257731956</v>
      </c>
    </row>
    <row r="29" spans="1:7">
      <c r="A29" t="s">
        <v>4</v>
      </c>
      <c r="B29">
        <v>6</v>
      </c>
      <c r="C29" t="s">
        <v>20</v>
      </c>
      <c r="D29">
        <v>5</v>
      </c>
      <c r="E29">
        <v>485</v>
      </c>
      <c r="F29">
        <v>2451</v>
      </c>
      <c r="G29" s="1">
        <f t="shared" si="0"/>
        <v>5.0536082474226802</v>
      </c>
    </row>
    <row r="30" spans="1:7">
      <c r="A30" t="s">
        <v>4</v>
      </c>
      <c r="B30">
        <v>9</v>
      </c>
      <c r="C30" t="s">
        <v>26</v>
      </c>
      <c r="D30">
        <v>1</v>
      </c>
      <c r="E30">
        <v>1498</v>
      </c>
      <c r="F30">
        <v>129</v>
      </c>
      <c r="G30" s="1">
        <f t="shared" si="0"/>
        <v>8.6114819759679578E-2</v>
      </c>
    </row>
    <row r="31" spans="1:7">
      <c r="A31" t="s">
        <v>4</v>
      </c>
      <c r="B31">
        <v>9</v>
      </c>
      <c r="C31" t="s">
        <v>23</v>
      </c>
      <c r="D31">
        <v>2</v>
      </c>
      <c r="E31">
        <v>1498</v>
      </c>
      <c r="F31">
        <v>130</v>
      </c>
      <c r="G31" s="1">
        <f t="shared" si="0"/>
        <v>8.678237650200267E-2</v>
      </c>
    </row>
    <row r="32" spans="1:7">
      <c r="A32" t="s">
        <v>4</v>
      </c>
      <c r="B32">
        <v>9</v>
      </c>
      <c r="C32" t="s">
        <v>24</v>
      </c>
      <c r="D32">
        <v>3</v>
      </c>
      <c r="E32">
        <v>1498</v>
      </c>
      <c r="F32">
        <v>140</v>
      </c>
      <c r="G32" s="1">
        <f t="shared" si="0"/>
        <v>9.3457943925233641E-2</v>
      </c>
    </row>
    <row r="33" spans="1:7">
      <c r="A33" t="s">
        <v>4</v>
      </c>
      <c r="B33">
        <v>9</v>
      </c>
      <c r="C33" t="s">
        <v>25</v>
      </c>
      <c r="D33">
        <v>4</v>
      </c>
      <c r="E33">
        <v>1498</v>
      </c>
      <c r="F33">
        <v>245</v>
      </c>
      <c r="G33" s="1">
        <f t="shared" si="0"/>
        <v>0.16355140186915887</v>
      </c>
    </row>
    <row r="34" spans="1:7">
      <c r="A34" t="s">
        <v>4</v>
      </c>
      <c r="B34">
        <v>9</v>
      </c>
      <c r="C34" t="s">
        <v>3</v>
      </c>
      <c r="D34">
        <v>5</v>
      </c>
      <c r="E34">
        <v>1498</v>
      </c>
      <c r="F34">
        <v>250</v>
      </c>
      <c r="G34" s="1">
        <f t="shared" si="0"/>
        <v>0.16688918558077437</v>
      </c>
    </row>
    <row r="35" spans="1:7">
      <c r="A35" t="s">
        <v>4</v>
      </c>
      <c r="B35">
        <v>9</v>
      </c>
      <c r="C35" t="s">
        <v>31</v>
      </c>
      <c r="D35">
        <v>6</v>
      </c>
      <c r="E35">
        <v>1498</v>
      </c>
      <c r="F35">
        <v>517</v>
      </c>
      <c r="G35" s="1">
        <f t="shared" si="0"/>
        <v>0.34512683578104136</v>
      </c>
    </row>
    <row r="36" spans="1:7">
      <c r="A36" t="s">
        <v>4</v>
      </c>
      <c r="B36">
        <v>9</v>
      </c>
      <c r="C36" t="s">
        <v>30</v>
      </c>
      <c r="D36">
        <v>7</v>
      </c>
      <c r="E36">
        <v>1498</v>
      </c>
      <c r="F36">
        <v>519</v>
      </c>
      <c r="G36" s="1">
        <f t="shared" si="0"/>
        <v>0.34646194926568757</v>
      </c>
    </row>
    <row r="37" spans="1:7">
      <c r="A37" t="s">
        <v>4</v>
      </c>
      <c r="B37">
        <v>9</v>
      </c>
      <c r="C37" t="s">
        <v>27</v>
      </c>
      <c r="D37">
        <v>8</v>
      </c>
      <c r="E37">
        <v>1498</v>
      </c>
      <c r="F37">
        <v>533</v>
      </c>
      <c r="G37" s="1">
        <f t="shared" si="0"/>
        <v>0.35580774365821094</v>
      </c>
    </row>
    <row r="38" spans="1:7">
      <c r="A38" t="s">
        <v>4</v>
      </c>
      <c r="B38">
        <v>9</v>
      </c>
      <c r="C38" t="s">
        <v>28</v>
      </c>
      <c r="D38">
        <v>9</v>
      </c>
      <c r="E38">
        <v>1498</v>
      </c>
      <c r="F38">
        <v>604</v>
      </c>
      <c r="G38" s="1">
        <f t="shared" si="0"/>
        <v>0.40320427236315087</v>
      </c>
    </row>
    <row r="39" spans="1:7">
      <c r="A39" t="s">
        <v>4</v>
      </c>
      <c r="B39">
        <v>9</v>
      </c>
      <c r="C39" t="s">
        <v>29</v>
      </c>
      <c r="D39">
        <v>10</v>
      </c>
      <c r="E39">
        <v>1498</v>
      </c>
      <c r="F39">
        <v>634</v>
      </c>
      <c r="G39" s="1">
        <f t="shared" si="0"/>
        <v>0.42323097463284381</v>
      </c>
    </row>
    <row r="40" spans="1:7">
      <c r="A40" t="s">
        <v>32</v>
      </c>
      <c r="B40">
        <v>2</v>
      </c>
      <c r="C40" t="s">
        <v>33</v>
      </c>
      <c r="D40">
        <v>1</v>
      </c>
      <c r="E40">
        <v>853</v>
      </c>
      <c r="F40">
        <v>241</v>
      </c>
      <c r="G40" s="1">
        <f t="shared" si="0"/>
        <v>0.2825322391559203</v>
      </c>
    </row>
    <row r="41" spans="1:7">
      <c r="A41" t="s">
        <v>32</v>
      </c>
      <c r="B41">
        <v>2</v>
      </c>
      <c r="C41" t="s">
        <v>34</v>
      </c>
      <c r="D41">
        <v>2</v>
      </c>
      <c r="E41">
        <v>853</v>
      </c>
      <c r="F41">
        <v>532</v>
      </c>
      <c r="G41" s="1">
        <f t="shared" si="0"/>
        <v>0.62368112543962484</v>
      </c>
    </row>
    <row r="42" spans="1:7">
      <c r="A42" t="s">
        <v>32</v>
      </c>
      <c r="B42">
        <v>2</v>
      </c>
      <c r="C42" t="s">
        <v>0</v>
      </c>
      <c r="D42">
        <v>3</v>
      </c>
      <c r="E42">
        <v>853</v>
      </c>
      <c r="F42">
        <v>542</v>
      </c>
      <c r="G42" s="1">
        <f t="shared" si="0"/>
        <v>0.63540445486518171</v>
      </c>
    </row>
    <row r="43" spans="1:7">
      <c r="A43" t="s">
        <v>32</v>
      </c>
      <c r="B43">
        <v>2</v>
      </c>
      <c r="C43" t="s">
        <v>35</v>
      </c>
      <c r="D43">
        <v>4</v>
      </c>
      <c r="E43">
        <v>853</v>
      </c>
      <c r="F43">
        <v>777</v>
      </c>
      <c r="G43" s="1">
        <f t="shared" si="0"/>
        <v>0.91090269636576793</v>
      </c>
    </row>
    <row r="44" spans="1:7">
      <c r="A44" t="s">
        <v>32</v>
      </c>
      <c r="B44">
        <v>4</v>
      </c>
      <c r="C44" t="s">
        <v>33</v>
      </c>
      <c r="D44">
        <v>1</v>
      </c>
      <c r="E44">
        <v>828</v>
      </c>
      <c r="F44">
        <v>245</v>
      </c>
      <c r="G44" s="1">
        <f t="shared" si="0"/>
        <v>0.29589371980676327</v>
      </c>
    </row>
    <row r="45" spans="1:7">
      <c r="A45" t="s">
        <v>32</v>
      </c>
      <c r="B45">
        <v>4</v>
      </c>
      <c r="C45" t="s">
        <v>34</v>
      </c>
      <c r="D45">
        <v>2</v>
      </c>
      <c r="E45">
        <v>828</v>
      </c>
      <c r="F45">
        <v>542</v>
      </c>
      <c r="G45" s="1">
        <f t="shared" si="0"/>
        <v>0.65458937198067635</v>
      </c>
    </row>
    <row r="46" spans="1:7">
      <c r="A46" t="s">
        <v>32</v>
      </c>
      <c r="B46">
        <v>4</v>
      </c>
      <c r="C46" t="s">
        <v>0</v>
      </c>
      <c r="D46">
        <v>3</v>
      </c>
      <c r="E46">
        <v>828</v>
      </c>
      <c r="F46">
        <v>543</v>
      </c>
      <c r="G46" s="1">
        <f t="shared" si="0"/>
        <v>0.65579710144927539</v>
      </c>
    </row>
    <row r="47" spans="1:7">
      <c r="A47" t="s">
        <v>32</v>
      </c>
      <c r="B47">
        <v>4</v>
      </c>
      <c r="C47" t="s">
        <v>35</v>
      </c>
      <c r="D47">
        <v>4</v>
      </c>
      <c r="E47">
        <v>828</v>
      </c>
      <c r="F47">
        <v>789</v>
      </c>
      <c r="G47" s="1">
        <f t="shared" si="0"/>
        <v>0.95289855072463769</v>
      </c>
    </row>
    <row r="48" spans="1:7">
      <c r="A48" t="s">
        <v>32</v>
      </c>
      <c r="B48">
        <v>13</v>
      </c>
      <c r="C48" t="s">
        <v>314</v>
      </c>
      <c r="D48">
        <v>1</v>
      </c>
      <c r="E48">
        <v>244</v>
      </c>
      <c r="F48">
        <v>258</v>
      </c>
      <c r="G48" s="1">
        <f t="shared" si="0"/>
        <v>1.0573770491803278</v>
      </c>
    </row>
    <row r="49" spans="1:7">
      <c r="A49" t="s">
        <v>32</v>
      </c>
      <c r="B49">
        <v>13</v>
      </c>
      <c r="C49" t="s">
        <v>313</v>
      </c>
      <c r="D49">
        <v>2</v>
      </c>
      <c r="E49">
        <v>244</v>
      </c>
      <c r="F49">
        <v>262</v>
      </c>
      <c r="G49" s="1">
        <f t="shared" si="0"/>
        <v>1.0737704918032787</v>
      </c>
    </row>
    <row r="50" spans="1:7">
      <c r="A50" t="s">
        <v>32</v>
      </c>
      <c r="B50">
        <v>16</v>
      </c>
      <c r="C50" t="s">
        <v>36</v>
      </c>
      <c r="D50">
        <v>1</v>
      </c>
      <c r="E50">
        <v>14834</v>
      </c>
      <c r="F50">
        <v>194</v>
      </c>
      <c r="G50" s="1">
        <f t="shared" si="0"/>
        <v>1.3078063907240124E-2</v>
      </c>
    </row>
    <row r="51" spans="1:7">
      <c r="A51" t="s">
        <v>32</v>
      </c>
      <c r="B51">
        <v>16</v>
      </c>
      <c r="C51" t="s">
        <v>37</v>
      </c>
      <c r="D51">
        <v>2</v>
      </c>
      <c r="E51">
        <v>14834</v>
      </c>
      <c r="F51">
        <v>260</v>
      </c>
      <c r="G51" s="1">
        <f t="shared" si="0"/>
        <v>1.7527302143723878E-2</v>
      </c>
    </row>
    <row r="52" spans="1:7">
      <c r="A52" t="s">
        <v>32</v>
      </c>
      <c r="B52">
        <v>16</v>
      </c>
      <c r="C52" t="s">
        <v>38</v>
      </c>
      <c r="D52">
        <v>3</v>
      </c>
      <c r="E52">
        <v>14834</v>
      </c>
      <c r="F52">
        <v>14317</v>
      </c>
      <c r="G52" s="1">
        <f t="shared" si="0"/>
        <v>0.96514763381421065</v>
      </c>
    </row>
    <row r="53" spans="1:7">
      <c r="A53" t="s">
        <v>32</v>
      </c>
      <c r="B53">
        <v>16</v>
      </c>
      <c r="C53" t="s">
        <v>39</v>
      </c>
      <c r="D53">
        <v>4</v>
      </c>
      <c r="E53">
        <v>14834</v>
      </c>
      <c r="F53">
        <v>14822</v>
      </c>
      <c r="G53" s="1">
        <f t="shared" si="0"/>
        <v>0.99919104759336663</v>
      </c>
    </row>
    <row r="54" spans="1:7">
      <c r="A54" t="s">
        <v>32</v>
      </c>
      <c r="B54">
        <v>18</v>
      </c>
      <c r="C54" t="s">
        <v>33</v>
      </c>
      <c r="D54">
        <v>1</v>
      </c>
      <c r="E54">
        <v>7907</v>
      </c>
      <c r="F54">
        <v>144</v>
      </c>
      <c r="G54" s="1">
        <f t="shared" si="0"/>
        <v>1.8211711142026053E-2</v>
      </c>
    </row>
    <row r="55" spans="1:7">
      <c r="A55" t="s">
        <v>32</v>
      </c>
      <c r="B55">
        <v>18</v>
      </c>
      <c r="C55" t="s">
        <v>2</v>
      </c>
      <c r="D55">
        <v>2</v>
      </c>
      <c r="E55">
        <v>7907</v>
      </c>
      <c r="F55">
        <v>233</v>
      </c>
      <c r="G55" s="1">
        <f t="shared" si="0"/>
        <v>2.9467560389528268E-2</v>
      </c>
    </row>
    <row r="56" spans="1:7">
      <c r="A56" t="s">
        <v>32</v>
      </c>
      <c r="B56">
        <v>18</v>
      </c>
      <c r="C56" t="s">
        <v>40</v>
      </c>
      <c r="D56">
        <v>3</v>
      </c>
      <c r="E56">
        <v>7907</v>
      </c>
      <c r="F56">
        <v>531</v>
      </c>
      <c r="G56" s="1">
        <f t="shared" si="0"/>
        <v>6.7155684836221072E-2</v>
      </c>
    </row>
    <row r="57" spans="1:7">
      <c r="A57" t="s">
        <v>32</v>
      </c>
      <c r="B57">
        <v>18</v>
      </c>
      <c r="C57" t="s">
        <v>41</v>
      </c>
      <c r="D57">
        <v>4</v>
      </c>
      <c r="E57">
        <v>7907</v>
      </c>
      <c r="F57">
        <v>627</v>
      </c>
      <c r="G57" s="1">
        <f t="shared" si="0"/>
        <v>7.9296825597571771E-2</v>
      </c>
    </row>
    <row r="58" spans="1:7">
      <c r="A58" t="s">
        <v>32</v>
      </c>
      <c r="B58">
        <v>18</v>
      </c>
      <c r="C58" t="s">
        <v>53</v>
      </c>
      <c r="D58">
        <v>5</v>
      </c>
      <c r="E58">
        <v>7907</v>
      </c>
      <c r="F58">
        <v>821</v>
      </c>
      <c r="G58" s="1">
        <f t="shared" si="0"/>
        <v>0.10383204755280132</v>
      </c>
    </row>
    <row r="59" spans="1:7">
      <c r="A59" t="s">
        <v>32</v>
      </c>
      <c r="B59">
        <v>18</v>
      </c>
      <c r="C59" t="s">
        <v>45</v>
      </c>
      <c r="D59">
        <v>6</v>
      </c>
      <c r="E59">
        <v>7907</v>
      </c>
      <c r="F59">
        <v>873</v>
      </c>
      <c r="G59" s="1">
        <f t="shared" si="0"/>
        <v>0.11040849879853294</v>
      </c>
    </row>
    <row r="60" spans="1:7">
      <c r="A60" t="s">
        <v>32</v>
      </c>
      <c r="B60">
        <v>18</v>
      </c>
      <c r="C60" t="s">
        <v>42</v>
      </c>
      <c r="D60">
        <v>7</v>
      </c>
      <c r="E60">
        <v>7907</v>
      </c>
      <c r="F60">
        <v>876</v>
      </c>
      <c r="G60" s="1">
        <f t="shared" si="0"/>
        <v>0.11078790944732515</v>
      </c>
    </row>
    <row r="61" spans="1:7">
      <c r="A61" t="s">
        <v>32</v>
      </c>
      <c r="B61">
        <v>18</v>
      </c>
      <c r="C61" t="s">
        <v>47</v>
      </c>
      <c r="D61">
        <v>8</v>
      </c>
      <c r="E61">
        <v>7907</v>
      </c>
      <c r="F61">
        <v>884</v>
      </c>
      <c r="G61" s="1">
        <f t="shared" si="0"/>
        <v>0.11179967117743771</v>
      </c>
    </row>
    <row r="62" spans="1:7">
      <c r="A62" t="s">
        <v>32</v>
      </c>
      <c r="B62">
        <v>18</v>
      </c>
      <c r="C62" t="s">
        <v>44</v>
      </c>
      <c r="D62">
        <v>9</v>
      </c>
      <c r="E62">
        <v>7907</v>
      </c>
      <c r="F62">
        <v>895</v>
      </c>
      <c r="G62" s="1">
        <f t="shared" si="0"/>
        <v>0.11319084355634249</v>
      </c>
    </row>
    <row r="63" spans="1:7">
      <c r="A63" t="s">
        <v>32</v>
      </c>
      <c r="B63">
        <v>18</v>
      </c>
      <c r="C63" t="s">
        <v>48</v>
      </c>
      <c r="D63">
        <v>10</v>
      </c>
      <c r="E63">
        <v>7907</v>
      </c>
      <c r="F63">
        <v>938</v>
      </c>
      <c r="G63" s="1">
        <f t="shared" si="0"/>
        <v>0.11862906285569748</v>
      </c>
    </row>
    <row r="64" spans="1:7">
      <c r="A64" t="s">
        <v>32</v>
      </c>
      <c r="B64">
        <v>18</v>
      </c>
      <c r="C64" t="s">
        <v>52</v>
      </c>
      <c r="D64">
        <v>11</v>
      </c>
      <c r="E64">
        <v>7907</v>
      </c>
      <c r="F64">
        <v>939</v>
      </c>
      <c r="G64" s="1">
        <f t="shared" si="0"/>
        <v>0.11875553307196156</v>
      </c>
    </row>
    <row r="65" spans="1:7">
      <c r="A65" t="s">
        <v>32</v>
      </c>
      <c r="B65">
        <v>18</v>
      </c>
      <c r="C65" t="s">
        <v>51</v>
      </c>
      <c r="D65">
        <v>12</v>
      </c>
      <c r="E65">
        <v>7907</v>
      </c>
      <c r="F65">
        <v>940</v>
      </c>
      <c r="G65" s="1">
        <f t="shared" si="0"/>
        <v>0.11888200328822562</v>
      </c>
    </row>
    <row r="66" spans="1:7">
      <c r="A66" t="s">
        <v>32</v>
      </c>
      <c r="B66">
        <v>18</v>
      </c>
      <c r="C66" t="s">
        <v>54</v>
      </c>
      <c r="D66">
        <v>13</v>
      </c>
      <c r="E66">
        <v>7907</v>
      </c>
      <c r="F66">
        <v>943</v>
      </c>
      <c r="G66" s="1">
        <f t="shared" ref="G66:G129" si="1">F66/E66</f>
        <v>0.11926141393701783</v>
      </c>
    </row>
    <row r="67" spans="1:7">
      <c r="A67" t="s">
        <v>32</v>
      </c>
      <c r="B67">
        <v>18</v>
      </c>
      <c r="C67" t="s">
        <v>55</v>
      </c>
      <c r="D67">
        <v>14</v>
      </c>
      <c r="E67">
        <v>7907</v>
      </c>
      <c r="F67">
        <v>950</v>
      </c>
      <c r="G67" s="1">
        <f t="shared" si="1"/>
        <v>0.12014670545086632</v>
      </c>
    </row>
    <row r="68" spans="1:7">
      <c r="A68" t="s">
        <v>32</v>
      </c>
      <c r="B68">
        <v>18</v>
      </c>
      <c r="C68" t="s">
        <v>50</v>
      </c>
      <c r="D68">
        <v>15</v>
      </c>
      <c r="E68">
        <v>7907</v>
      </c>
      <c r="F68">
        <v>992</v>
      </c>
      <c r="G68" s="1">
        <f t="shared" si="1"/>
        <v>0.12545845453395726</v>
      </c>
    </row>
    <row r="69" spans="1:7">
      <c r="A69" t="s">
        <v>32</v>
      </c>
      <c r="B69">
        <v>18</v>
      </c>
      <c r="C69" t="s">
        <v>46</v>
      </c>
      <c r="D69">
        <v>16</v>
      </c>
      <c r="E69">
        <v>7907</v>
      </c>
      <c r="F69">
        <v>993</v>
      </c>
      <c r="G69" s="1">
        <f t="shared" si="1"/>
        <v>0.12558492475022132</v>
      </c>
    </row>
    <row r="70" spans="1:7">
      <c r="A70" t="s">
        <v>32</v>
      </c>
      <c r="B70">
        <v>18</v>
      </c>
      <c r="C70" t="s">
        <v>43</v>
      </c>
      <c r="D70">
        <v>17</v>
      </c>
      <c r="E70">
        <v>7907</v>
      </c>
      <c r="F70">
        <v>1019</v>
      </c>
      <c r="G70" s="1">
        <f t="shared" si="1"/>
        <v>0.12887315037308714</v>
      </c>
    </row>
    <row r="71" spans="1:7">
      <c r="A71" t="s">
        <v>32</v>
      </c>
      <c r="B71">
        <v>18</v>
      </c>
      <c r="C71" t="s">
        <v>49</v>
      </c>
      <c r="D71">
        <v>18</v>
      </c>
      <c r="E71">
        <v>7907</v>
      </c>
      <c r="F71">
        <v>1055</v>
      </c>
      <c r="G71" s="1">
        <f t="shared" si="1"/>
        <v>0.13342607815859364</v>
      </c>
    </row>
    <row r="72" spans="1:7">
      <c r="A72" t="s">
        <v>32</v>
      </c>
      <c r="B72">
        <v>18</v>
      </c>
      <c r="C72" t="s">
        <v>318</v>
      </c>
      <c r="D72">
        <v>19</v>
      </c>
      <c r="E72">
        <v>7907</v>
      </c>
      <c r="F72">
        <v>7120</v>
      </c>
      <c r="G72" s="1">
        <f t="shared" si="1"/>
        <v>0.90046793980017703</v>
      </c>
    </row>
    <row r="73" spans="1:7">
      <c r="A73" t="s">
        <v>32</v>
      </c>
      <c r="B73">
        <v>18</v>
      </c>
      <c r="C73" t="s">
        <v>316</v>
      </c>
      <c r="D73">
        <v>20</v>
      </c>
      <c r="E73">
        <v>7907</v>
      </c>
      <c r="F73">
        <v>7258</v>
      </c>
      <c r="G73" s="1">
        <f t="shared" si="1"/>
        <v>0.91792082964461874</v>
      </c>
    </row>
    <row r="74" spans="1:7">
      <c r="A74" t="s">
        <v>32</v>
      </c>
      <c r="B74">
        <v>18</v>
      </c>
      <c r="C74" t="s">
        <v>315</v>
      </c>
      <c r="D74">
        <v>21</v>
      </c>
      <c r="E74">
        <v>7907</v>
      </c>
      <c r="F74">
        <v>7259</v>
      </c>
      <c r="G74" s="1">
        <f t="shared" si="1"/>
        <v>0.91804729986088274</v>
      </c>
    </row>
    <row r="75" spans="1:7">
      <c r="A75" t="s">
        <v>32</v>
      </c>
      <c r="B75">
        <v>18</v>
      </c>
      <c r="C75" t="s">
        <v>320</v>
      </c>
      <c r="D75">
        <v>22</v>
      </c>
      <c r="E75">
        <v>7907</v>
      </c>
      <c r="F75">
        <v>7277</v>
      </c>
      <c r="G75" s="1">
        <f t="shared" si="1"/>
        <v>0.920323763753636</v>
      </c>
    </row>
    <row r="76" spans="1:7">
      <c r="A76" t="s">
        <v>32</v>
      </c>
      <c r="B76">
        <v>18</v>
      </c>
      <c r="C76" t="s">
        <v>317</v>
      </c>
      <c r="D76">
        <v>23</v>
      </c>
      <c r="E76">
        <v>7907</v>
      </c>
      <c r="F76">
        <v>7350</v>
      </c>
      <c r="G76" s="1">
        <f t="shared" si="1"/>
        <v>0.92955608954091307</v>
      </c>
    </row>
    <row r="77" spans="1:7">
      <c r="A77" t="s">
        <v>32</v>
      </c>
      <c r="B77">
        <v>18</v>
      </c>
      <c r="C77" t="s">
        <v>319</v>
      </c>
      <c r="D77">
        <v>24</v>
      </c>
      <c r="E77">
        <v>7907</v>
      </c>
      <c r="F77">
        <v>7367</v>
      </c>
      <c r="G77" s="1">
        <f t="shared" si="1"/>
        <v>0.93170608321740234</v>
      </c>
    </row>
    <row r="78" spans="1:7">
      <c r="A78" t="s">
        <v>32</v>
      </c>
      <c r="B78">
        <v>18</v>
      </c>
      <c r="C78" t="s">
        <v>321</v>
      </c>
      <c r="D78">
        <v>25</v>
      </c>
      <c r="E78">
        <v>7907</v>
      </c>
      <c r="F78">
        <v>7623</v>
      </c>
      <c r="G78" s="1">
        <f t="shared" si="1"/>
        <v>0.96408245858100416</v>
      </c>
    </row>
    <row r="79" spans="1:7">
      <c r="A79" t="s">
        <v>32</v>
      </c>
      <c r="B79">
        <v>19</v>
      </c>
      <c r="C79" t="s">
        <v>33</v>
      </c>
      <c r="D79">
        <v>1</v>
      </c>
      <c r="E79">
        <v>6854</v>
      </c>
      <c r="F79">
        <v>126</v>
      </c>
      <c r="G79" s="1">
        <f t="shared" si="1"/>
        <v>1.8383425736796032E-2</v>
      </c>
    </row>
    <row r="80" spans="1:7">
      <c r="A80" t="s">
        <v>32</v>
      </c>
      <c r="B80">
        <v>19</v>
      </c>
      <c r="C80" t="s">
        <v>2</v>
      </c>
      <c r="D80">
        <v>2</v>
      </c>
      <c r="E80">
        <v>6854</v>
      </c>
      <c r="F80">
        <v>225</v>
      </c>
      <c r="G80" s="1">
        <f t="shared" si="1"/>
        <v>3.2827545958564339E-2</v>
      </c>
    </row>
    <row r="81" spans="1:7">
      <c r="A81" t="s">
        <v>32</v>
      </c>
      <c r="B81">
        <v>19</v>
      </c>
      <c r="C81" t="s">
        <v>307</v>
      </c>
      <c r="D81">
        <v>3</v>
      </c>
      <c r="E81">
        <v>6854</v>
      </c>
      <c r="F81">
        <v>5992</v>
      </c>
      <c r="G81" s="1">
        <f t="shared" si="1"/>
        <v>0.8742340239276335</v>
      </c>
    </row>
    <row r="82" spans="1:7">
      <c r="A82" t="s">
        <v>32</v>
      </c>
      <c r="B82">
        <v>19</v>
      </c>
      <c r="C82" t="s">
        <v>325</v>
      </c>
      <c r="D82">
        <v>4</v>
      </c>
      <c r="E82">
        <v>6854</v>
      </c>
      <c r="F82">
        <v>6197</v>
      </c>
      <c r="G82" s="1">
        <f t="shared" si="1"/>
        <v>0.90414356580099209</v>
      </c>
    </row>
    <row r="83" spans="1:7">
      <c r="A83" t="s">
        <v>32</v>
      </c>
      <c r="B83">
        <v>19</v>
      </c>
      <c r="C83" t="s">
        <v>340</v>
      </c>
      <c r="D83">
        <v>5</v>
      </c>
      <c r="E83">
        <v>6854</v>
      </c>
      <c r="F83">
        <v>6278</v>
      </c>
      <c r="G83" s="1">
        <f t="shared" si="1"/>
        <v>0.91596148234607533</v>
      </c>
    </row>
    <row r="84" spans="1:7">
      <c r="A84" t="s">
        <v>32</v>
      </c>
      <c r="B84">
        <v>19</v>
      </c>
      <c r="C84" t="s">
        <v>342</v>
      </c>
      <c r="D84">
        <v>6</v>
      </c>
      <c r="E84">
        <v>6854</v>
      </c>
      <c r="F84">
        <v>6282</v>
      </c>
      <c r="G84" s="1">
        <f t="shared" si="1"/>
        <v>0.91654508316311645</v>
      </c>
    </row>
    <row r="85" spans="1:7">
      <c r="A85" t="s">
        <v>32</v>
      </c>
      <c r="B85">
        <v>19</v>
      </c>
      <c r="C85" t="s">
        <v>328</v>
      </c>
      <c r="D85">
        <v>7</v>
      </c>
      <c r="E85">
        <v>6854</v>
      </c>
      <c r="F85">
        <v>6299</v>
      </c>
      <c r="G85" s="1">
        <f t="shared" si="1"/>
        <v>0.91902538663554134</v>
      </c>
    </row>
    <row r="86" spans="1:7">
      <c r="A86" t="s">
        <v>32</v>
      </c>
      <c r="B86">
        <v>19</v>
      </c>
      <c r="C86" t="s">
        <v>338</v>
      </c>
      <c r="D86">
        <v>8</v>
      </c>
      <c r="E86">
        <v>6854</v>
      </c>
      <c r="F86">
        <v>6300</v>
      </c>
      <c r="G86" s="1">
        <f t="shared" si="1"/>
        <v>0.91917128683980154</v>
      </c>
    </row>
    <row r="87" spans="1:7">
      <c r="A87" t="s">
        <v>32</v>
      </c>
      <c r="B87">
        <v>19</v>
      </c>
      <c r="C87" t="s">
        <v>323</v>
      </c>
      <c r="D87">
        <v>9</v>
      </c>
      <c r="E87">
        <v>6854</v>
      </c>
      <c r="F87">
        <v>6304</v>
      </c>
      <c r="G87" s="1">
        <f t="shared" si="1"/>
        <v>0.91975488765684277</v>
      </c>
    </row>
    <row r="88" spans="1:7">
      <c r="A88" t="s">
        <v>32</v>
      </c>
      <c r="B88">
        <v>19</v>
      </c>
      <c r="C88" t="s">
        <v>327</v>
      </c>
      <c r="D88">
        <v>10</v>
      </c>
      <c r="E88">
        <v>6854</v>
      </c>
      <c r="F88">
        <v>6322</v>
      </c>
      <c r="G88" s="1">
        <f t="shared" si="1"/>
        <v>0.92238109133352786</v>
      </c>
    </row>
    <row r="89" spans="1:7">
      <c r="A89" t="s">
        <v>32</v>
      </c>
      <c r="B89">
        <v>19</v>
      </c>
      <c r="C89" t="s">
        <v>326</v>
      </c>
      <c r="D89">
        <v>11</v>
      </c>
      <c r="E89">
        <v>6854</v>
      </c>
      <c r="F89">
        <v>6340</v>
      </c>
      <c r="G89" s="1">
        <f t="shared" si="1"/>
        <v>0.92500729501021306</v>
      </c>
    </row>
    <row r="90" spans="1:7">
      <c r="A90" t="s">
        <v>32</v>
      </c>
      <c r="B90">
        <v>19</v>
      </c>
      <c r="C90" t="s">
        <v>330</v>
      </c>
      <c r="D90">
        <v>12</v>
      </c>
      <c r="E90">
        <v>6854</v>
      </c>
      <c r="F90">
        <v>6359</v>
      </c>
      <c r="G90" s="1">
        <f t="shared" si="1"/>
        <v>0.92777939889115846</v>
      </c>
    </row>
    <row r="91" spans="1:7">
      <c r="A91" t="s">
        <v>32</v>
      </c>
      <c r="B91">
        <v>19</v>
      </c>
      <c r="C91" t="s">
        <v>329</v>
      </c>
      <c r="D91">
        <v>13</v>
      </c>
      <c r="E91">
        <v>6854</v>
      </c>
      <c r="F91">
        <v>6378</v>
      </c>
      <c r="G91" s="1">
        <f t="shared" si="1"/>
        <v>0.93055150277210386</v>
      </c>
    </row>
    <row r="92" spans="1:7">
      <c r="A92" t="s">
        <v>32</v>
      </c>
      <c r="B92">
        <v>19</v>
      </c>
      <c r="C92" t="s">
        <v>339</v>
      </c>
      <c r="D92">
        <v>14</v>
      </c>
      <c r="E92">
        <v>6854</v>
      </c>
      <c r="F92">
        <v>6389</v>
      </c>
      <c r="G92" s="1">
        <f t="shared" si="1"/>
        <v>0.93215640501896702</v>
      </c>
    </row>
    <row r="93" spans="1:7">
      <c r="A93" t="s">
        <v>32</v>
      </c>
      <c r="B93">
        <v>19</v>
      </c>
      <c r="C93" t="s">
        <v>337</v>
      </c>
      <c r="D93">
        <v>15</v>
      </c>
      <c r="E93">
        <v>6854</v>
      </c>
      <c r="F93">
        <v>6406</v>
      </c>
      <c r="G93" s="1">
        <f t="shared" si="1"/>
        <v>0.93463670849139191</v>
      </c>
    </row>
    <row r="94" spans="1:7">
      <c r="A94" t="s">
        <v>32</v>
      </c>
      <c r="B94">
        <v>19</v>
      </c>
      <c r="C94" t="s">
        <v>341</v>
      </c>
      <c r="D94">
        <v>16</v>
      </c>
      <c r="E94">
        <v>6854</v>
      </c>
      <c r="F94">
        <v>6443</v>
      </c>
      <c r="G94" s="1">
        <f t="shared" si="1"/>
        <v>0.94003501604902251</v>
      </c>
    </row>
    <row r="95" spans="1:7">
      <c r="A95" t="s">
        <v>32</v>
      </c>
      <c r="B95">
        <v>19</v>
      </c>
      <c r="C95" t="s">
        <v>332</v>
      </c>
      <c r="D95">
        <v>17</v>
      </c>
      <c r="E95">
        <v>6854</v>
      </c>
      <c r="F95">
        <v>6456</v>
      </c>
      <c r="G95" s="1">
        <f t="shared" si="1"/>
        <v>0.94193171870440617</v>
      </c>
    </row>
    <row r="96" spans="1:7">
      <c r="A96" t="s">
        <v>32</v>
      </c>
      <c r="B96">
        <v>19</v>
      </c>
      <c r="C96" t="s">
        <v>335</v>
      </c>
      <c r="D96">
        <v>18</v>
      </c>
      <c r="E96">
        <v>6854</v>
      </c>
      <c r="F96">
        <v>6478</v>
      </c>
      <c r="G96" s="1">
        <f t="shared" si="1"/>
        <v>0.94514152319813249</v>
      </c>
    </row>
    <row r="97" spans="1:7">
      <c r="A97" t="s">
        <v>32</v>
      </c>
      <c r="B97">
        <v>19</v>
      </c>
      <c r="C97" t="s">
        <v>336</v>
      </c>
      <c r="D97">
        <v>19</v>
      </c>
      <c r="E97">
        <v>6854</v>
      </c>
      <c r="F97">
        <v>6523</v>
      </c>
      <c r="G97" s="1">
        <f t="shared" si="1"/>
        <v>0.95170703238984533</v>
      </c>
    </row>
    <row r="98" spans="1:7">
      <c r="A98" t="s">
        <v>32</v>
      </c>
      <c r="B98">
        <v>19</v>
      </c>
      <c r="C98" t="s">
        <v>324</v>
      </c>
      <c r="D98">
        <v>20</v>
      </c>
      <c r="E98">
        <v>6854</v>
      </c>
      <c r="F98">
        <v>6535</v>
      </c>
      <c r="G98" s="1">
        <f t="shared" si="1"/>
        <v>0.9534578348409688</v>
      </c>
    </row>
    <row r="99" spans="1:7">
      <c r="A99" t="s">
        <v>32</v>
      </c>
      <c r="B99">
        <v>19</v>
      </c>
      <c r="C99" t="s">
        <v>331</v>
      </c>
      <c r="D99">
        <v>21</v>
      </c>
      <c r="E99">
        <v>6854</v>
      </c>
      <c r="F99">
        <v>6545</v>
      </c>
      <c r="G99" s="1">
        <f t="shared" si="1"/>
        <v>0.95491683688357165</v>
      </c>
    </row>
    <row r="100" spans="1:7">
      <c r="A100" t="s">
        <v>32</v>
      </c>
      <c r="B100">
        <v>19</v>
      </c>
      <c r="C100" t="s">
        <v>343</v>
      </c>
      <c r="D100">
        <v>22</v>
      </c>
      <c r="E100">
        <v>6854</v>
      </c>
      <c r="F100">
        <v>6634</v>
      </c>
      <c r="G100" s="1">
        <f t="shared" si="1"/>
        <v>0.96790195506273713</v>
      </c>
    </row>
    <row r="101" spans="1:7">
      <c r="A101" t="s">
        <v>32</v>
      </c>
      <c r="B101">
        <v>19</v>
      </c>
      <c r="C101" t="s">
        <v>334</v>
      </c>
      <c r="D101">
        <v>23</v>
      </c>
      <c r="E101">
        <v>6854</v>
      </c>
      <c r="F101">
        <v>6696</v>
      </c>
      <c r="G101" s="1">
        <f t="shared" si="1"/>
        <v>0.97694776772687486</v>
      </c>
    </row>
    <row r="102" spans="1:7">
      <c r="A102" t="s">
        <v>32</v>
      </c>
      <c r="B102">
        <v>19</v>
      </c>
      <c r="C102" t="s">
        <v>322</v>
      </c>
      <c r="D102">
        <v>24</v>
      </c>
      <c r="E102">
        <v>6854</v>
      </c>
      <c r="F102">
        <v>11401</v>
      </c>
      <c r="G102" s="1">
        <f t="shared" si="1"/>
        <v>1.6634082287715202</v>
      </c>
    </row>
    <row r="103" spans="1:7">
      <c r="A103" t="s">
        <v>32</v>
      </c>
      <c r="B103">
        <v>19</v>
      </c>
      <c r="C103" t="s">
        <v>333</v>
      </c>
      <c r="D103">
        <v>25</v>
      </c>
      <c r="E103">
        <v>6854</v>
      </c>
      <c r="F103">
        <v>11734</v>
      </c>
      <c r="G103" s="1">
        <f t="shared" si="1"/>
        <v>1.7119929967901955</v>
      </c>
    </row>
    <row r="104" spans="1:7">
      <c r="A104" t="s">
        <v>32</v>
      </c>
      <c r="B104">
        <v>20</v>
      </c>
      <c r="C104" t="s">
        <v>344</v>
      </c>
      <c r="D104">
        <v>1</v>
      </c>
      <c r="E104">
        <v>4488</v>
      </c>
      <c r="F104">
        <v>3857</v>
      </c>
      <c r="G104" s="1">
        <f t="shared" si="1"/>
        <v>0.85940285204991085</v>
      </c>
    </row>
    <row r="105" spans="1:7">
      <c r="A105" t="s">
        <v>32</v>
      </c>
      <c r="B105">
        <v>20</v>
      </c>
      <c r="C105" t="s">
        <v>349</v>
      </c>
      <c r="D105">
        <v>2</v>
      </c>
      <c r="E105">
        <v>4488</v>
      </c>
      <c r="F105">
        <v>3996</v>
      </c>
      <c r="G105" s="1">
        <f t="shared" si="1"/>
        <v>0.89037433155080214</v>
      </c>
    </row>
    <row r="106" spans="1:7">
      <c r="A106" t="s">
        <v>32</v>
      </c>
      <c r="B106">
        <v>20</v>
      </c>
      <c r="C106" t="s">
        <v>353</v>
      </c>
      <c r="D106">
        <v>3</v>
      </c>
      <c r="E106">
        <v>4488</v>
      </c>
      <c r="F106">
        <v>4025</v>
      </c>
      <c r="G106" s="1">
        <f t="shared" si="1"/>
        <v>0.89683600713012479</v>
      </c>
    </row>
    <row r="107" spans="1:7">
      <c r="A107" t="s">
        <v>32</v>
      </c>
      <c r="B107">
        <v>20</v>
      </c>
      <c r="C107" t="s">
        <v>352</v>
      </c>
      <c r="D107">
        <v>4</v>
      </c>
      <c r="E107">
        <v>4488</v>
      </c>
      <c r="F107">
        <v>4036</v>
      </c>
      <c r="G107" s="1">
        <f t="shared" si="1"/>
        <v>0.89928698752228164</v>
      </c>
    </row>
    <row r="108" spans="1:7">
      <c r="A108" t="s">
        <v>32</v>
      </c>
      <c r="B108">
        <v>20</v>
      </c>
      <c r="C108" t="s">
        <v>357</v>
      </c>
      <c r="D108">
        <v>5</v>
      </c>
      <c r="E108">
        <v>4488</v>
      </c>
      <c r="F108">
        <v>4059</v>
      </c>
      <c r="G108" s="1">
        <f t="shared" si="1"/>
        <v>0.90441176470588236</v>
      </c>
    </row>
    <row r="109" spans="1:7">
      <c r="A109" t="s">
        <v>32</v>
      </c>
      <c r="B109">
        <v>20</v>
      </c>
      <c r="C109" t="s">
        <v>358</v>
      </c>
      <c r="D109">
        <v>6</v>
      </c>
      <c r="E109">
        <v>4488</v>
      </c>
      <c r="F109">
        <v>4070</v>
      </c>
      <c r="G109" s="1">
        <f t="shared" si="1"/>
        <v>0.90686274509803921</v>
      </c>
    </row>
    <row r="110" spans="1:7">
      <c r="A110" t="s">
        <v>32</v>
      </c>
      <c r="B110">
        <v>20</v>
      </c>
      <c r="C110" t="s">
        <v>350</v>
      </c>
      <c r="D110">
        <v>7</v>
      </c>
      <c r="E110">
        <v>4488</v>
      </c>
      <c r="F110">
        <v>4075</v>
      </c>
      <c r="G110" s="1">
        <f t="shared" si="1"/>
        <v>0.90797682709447414</v>
      </c>
    </row>
    <row r="111" spans="1:7">
      <c r="A111" t="s">
        <v>32</v>
      </c>
      <c r="B111">
        <v>20</v>
      </c>
      <c r="C111" t="s">
        <v>347</v>
      </c>
      <c r="D111">
        <v>8</v>
      </c>
      <c r="E111">
        <v>4488</v>
      </c>
      <c r="F111">
        <v>4096</v>
      </c>
      <c r="G111" s="1">
        <f t="shared" si="1"/>
        <v>0.91265597147950084</v>
      </c>
    </row>
    <row r="112" spans="1:7">
      <c r="A112" t="s">
        <v>32</v>
      </c>
      <c r="B112">
        <v>20</v>
      </c>
      <c r="C112" t="s">
        <v>363</v>
      </c>
      <c r="D112">
        <v>9</v>
      </c>
      <c r="E112">
        <v>4488</v>
      </c>
      <c r="F112">
        <v>4097</v>
      </c>
      <c r="G112" s="1">
        <f t="shared" si="1"/>
        <v>0.91287878787878785</v>
      </c>
    </row>
    <row r="113" spans="1:7">
      <c r="A113" t="s">
        <v>32</v>
      </c>
      <c r="B113">
        <v>20</v>
      </c>
      <c r="C113" t="s">
        <v>359</v>
      </c>
      <c r="D113">
        <v>10</v>
      </c>
      <c r="E113">
        <v>4488</v>
      </c>
      <c r="F113">
        <v>4108</v>
      </c>
      <c r="G113" s="1">
        <f t="shared" si="1"/>
        <v>0.9153297682709447</v>
      </c>
    </row>
    <row r="114" spans="1:7">
      <c r="A114" t="s">
        <v>32</v>
      </c>
      <c r="B114">
        <v>20</v>
      </c>
      <c r="C114" t="s">
        <v>351</v>
      </c>
      <c r="D114">
        <v>11</v>
      </c>
      <c r="E114">
        <v>4488</v>
      </c>
      <c r="F114">
        <v>4127</v>
      </c>
      <c r="G114" s="1">
        <f t="shared" si="1"/>
        <v>0.9195632798573975</v>
      </c>
    </row>
    <row r="115" spans="1:7">
      <c r="A115" t="s">
        <v>32</v>
      </c>
      <c r="B115">
        <v>20</v>
      </c>
      <c r="C115" t="s">
        <v>345</v>
      </c>
      <c r="D115">
        <v>12</v>
      </c>
      <c r="E115">
        <v>4488</v>
      </c>
      <c r="F115">
        <v>4165</v>
      </c>
      <c r="G115" s="1">
        <f t="shared" si="1"/>
        <v>0.92803030303030298</v>
      </c>
    </row>
    <row r="116" spans="1:7">
      <c r="A116" t="s">
        <v>32</v>
      </c>
      <c r="B116">
        <v>20</v>
      </c>
      <c r="C116" t="s">
        <v>348</v>
      </c>
      <c r="D116">
        <v>13</v>
      </c>
      <c r="E116">
        <v>4488</v>
      </c>
      <c r="F116">
        <v>4210</v>
      </c>
      <c r="G116" s="1">
        <f t="shared" si="1"/>
        <v>0.93805704099821752</v>
      </c>
    </row>
    <row r="117" spans="1:7">
      <c r="A117" t="s">
        <v>32</v>
      </c>
      <c r="B117">
        <v>20</v>
      </c>
      <c r="C117" t="s">
        <v>362</v>
      </c>
      <c r="D117">
        <v>14</v>
      </c>
      <c r="E117">
        <v>4488</v>
      </c>
      <c r="F117">
        <v>4255</v>
      </c>
      <c r="G117" s="1">
        <f t="shared" si="1"/>
        <v>0.94808377896613194</v>
      </c>
    </row>
    <row r="118" spans="1:7">
      <c r="A118" t="s">
        <v>32</v>
      </c>
      <c r="B118">
        <v>20</v>
      </c>
      <c r="C118" t="s">
        <v>361</v>
      </c>
      <c r="D118">
        <v>15</v>
      </c>
      <c r="E118">
        <v>4488</v>
      </c>
      <c r="F118">
        <v>4259</v>
      </c>
      <c r="G118" s="1">
        <f t="shared" si="1"/>
        <v>0.94897504456327986</v>
      </c>
    </row>
    <row r="119" spans="1:7">
      <c r="A119" t="s">
        <v>32</v>
      </c>
      <c r="B119">
        <v>20</v>
      </c>
      <c r="C119" t="s">
        <v>356</v>
      </c>
      <c r="D119">
        <v>16</v>
      </c>
      <c r="E119">
        <v>4488</v>
      </c>
      <c r="F119">
        <v>4269</v>
      </c>
      <c r="G119" s="1">
        <f t="shared" si="1"/>
        <v>0.9512032085561497</v>
      </c>
    </row>
    <row r="120" spans="1:7">
      <c r="A120" t="s">
        <v>32</v>
      </c>
      <c r="B120">
        <v>20</v>
      </c>
      <c r="C120" t="s">
        <v>346</v>
      </c>
      <c r="D120">
        <v>17</v>
      </c>
      <c r="E120">
        <v>4488</v>
      </c>
      <c r="F120">
        <v>4306</v>
      </c>
      <c r="G120" s="1">
        <f t="shared" si="1"/>
        <v>0.95944741532976829</v>
      </c>
    </row>
    <row r="121" spans="1:7">
      <c r="A121" t="s">
        <v>32</v>
      </c>
      <c r="B121">
        <v>20</v>
      </c>
      <c r="C121" t="s">
        <v>354</v>
      </c>
      <c r="D121">
        <v>18</v>
      </c>
      <c r="E121">
        <v>4488</v>
      </c>
      <c r="F121">
        <v>4344</v>
      </c>
      <c r="G121" s="1">
        <f t="shared" si="1"/>
        <v>0.96791443850267378</v>
      </c>
    </row>
    <row r="122" spans="1:7">
      <c r="A122" t="s">
        <v>32</v>
      </c>
      <c r="B122">
        <v>20</v>
      </c>
      <c r="C122" t="s">
        <v>355</v>
      </c>
      <c r="D122">
        <v>19</v>
      </c>
      <c r="E122">
        <v>4488</v>
      </c>
      <c r="F122">
        <v>4422</v>
      </c>
      <c r="G122" s="1">
        <f t="shared" si="1"/>
        <v>0.98529411764705888</v>
      </c>
    </row>
    <row r="123" spans="1:7">
      <c r="A123" t="s">
        <v>32</v>
      </c>
      <c r="B123">
        <v>20</v>
      </c>
      <c r="C123" t="s">
        <v>364</v>
      </c>
      <c r="D123">
        <v>20</v>
      </c>
      <c r="E123">
        <v>4488</v>
      </c>
      <c r="F123">
        <v>4432</v>
      </c>
      <c r="G123" s="1">
        <f t="shared" si="1"/>
        <v>0.98752228163992872</v>
      </c>
    </row>
    <row r="124" spans="1:7">
      <c r="A124" t="s">
        <v>32</v>
      </c>
      <c r="B124">
        <v>20</v>
      </c>
      <c r="C124" t="s">
        <v>360</v>
      </c>
      <c r="D124">
        <v>21</v>
      </c>
      <c r="E124">
        <v>4488</v>
      </c>
      <c r="F124">
        <v>9192</v>
      </c>
      <c r="G124" s="1">
        <f t="shared" si="1"/>
        <v>2.0481283422459895</v>
      </c>
    </row>
    <row r="125" spans="1:7">
      <c r="A125" t="s">
        <v>56</v>
      </c>
      <c r="B125">
        <v>10</v>
      </c>
      <c r="C125" t="s">
        <v>372</v>
      </c>
      <c r="D125">
        <v>1</v>
      </c>
      <c r="E125">
        <v>11589</v>
      </c>
      <c r="F125">
        <v>761</v>
      </c>
      <c r="G125" s="1">
        <f t="shared" si="1"/>
        <v>6.566571749072396E-2</v>
      </c>
    </row>
    <row r="126" spans="1:7">
      <c r="A126" t="s">
        <v>56</v>
      </c>
      <c r="B126">
        <v>10</v>
      </c>
      <c r="C126" t="s">
        <v>371</v>
      </c>
      <c r="D126">
        <v>2</v>
      </c>
      <c r="E126">
        <v>11589</v>
      </c>
      <c r="F126">
        <v>1173</v>
      </c>
      <c r="G126" s="1">
        <f t="shared" si="1"/>
        <v>0.10121667098110276</v>
      </c>
    </row>
    <row r="127" spans="1:7">
      <c r="A127" t="s">
        <v>56</v>
      </c>
      <c r="B127">
        <v>10</v>
      </c>
      <c r="C127" t="s">
        <v>369</v>
      </c>
      <c r="D127">
        <v>3</v>
      </c>
      <c r="E127">
        <v>11589</v>
      </c>
      <c r="F127">
        <v>1249</v>
      </c>
      <c r="G127" s="1">
        <f t="shared" si="1"/>
        <v>0.10777461385796876</v>
      </c>
    </row>
    <row r="128" spans="1:7">
      <c r="A128" t="s">
        <v>56</v>
      </c>
      <c r="B128">
        <v>10</v>
      </c>
      <c r="C128" t="s">
        <v>370</v>
      </c>
      <c r="D128">
        <v>4</v>
      </c>
      <c r="E128">
        <v>11589</v>
      </c>
      <c r="F128">
        <v>1322</v>
      </c>
      <c r="G128" s="1">
        <f t="shared" si="1"/>
        <v>0.11407369056864268</v>
      </c>
    </row>
    <row r="129" spans="1:7">
      <c r="A129" t="s">
        <v>56</v>
      </c>
      <c r="B129">
        <v>10</v>
      </c>
      <c r="C129" t="s">
        <v>381</v>
      </c>
      <c r="D129">
        <v>5</v>
      </c>
      <c r="E129">
        <v>11589</v>
      </c>
      <c r="F129">
        <v>1358</v>
      </c>
      <c r="G129" s="1">
        <f t="shared" si="1"/>
        <v>0.11718008456294762</v>
      </c>
    </row>
    <row r="130" spans="1:7">
      <c r="A130" t="s">
        <v>56</v>
      </c>
      <c r="B130">
        <v>10</v>
      </c>
      <c r="C130" t="s">
        <v>382</v>
      </c>
      <c r="D130">
        <v>6</v>
      </c>
      <c r="E130">
        <v>11589</v>
      </c>
      <c r="F130">
        <v>1374</v>
      </c>
      <c r="G130" s="1">
        <f t="shared" ref="G130:G193" si="2">F130/E130</f>
        <v>0.11856070411597204</v>
      </c>
    </row>
    <row r="131" spans="1:7">
      <c r="A131" t="s">
        <v>56</v>
      </c>
      <c r="B131">
        <v>10</v>
      </c>
      <c r="C131" t="s">
        <v>375</v>
      </c>
      <c r="D131">
        <v>7</v>
      </c>
      <c r="E131">
        <v>11589</v>
      </c>
      <c r="F131">
        <v>1396</v>
      </c>
      <c r="G131" s="1">
        <f t="shared" si="2"/>
        <v>0.12045905600138061</v>
      </c>
    </row>
    <row r="132" spans="1:7">
      <c r="A132" t="s">
        <v>56</v>
      </c>
      <c r="B132">
        <v>10</v>
      </c>
      <c r="C132" t="s">
        <v>367</v>
      </c>
      <c r="D132">
        <v>8</v>
      </c>
      <c r="E132">
        <v>11589</v>
      </c>
      <c r="F132">
        <v>1426</v>
      </c>
      <c r="G132" s="1">
        <f t="shared" si="2"/>
        <v>0.1230477176633014</v>
      </c>
    </row>
    <row r="133" spans="1:7">
      <c r="A133" t="s">
        <v>56</v>
      </c>
      <c r="B133">
        <v>10</v>
      </c>
      <c r="C133" t="s">
        <v>388</v>
      </c>
      <c r="D133">
        <v>9</v>
      </c>
      <c r="E133">
        <v>11589</v>
      </c>
      <c r="F133">
        <v>1433</v>
      </c>
      <c r="G133" s="1">
        <f t="shared" si="2"/>
        <v>0.12365173871774959</v>
      </c>
    </row>
    <row r="134" spans="1:7">
      <c r="A134" t="s">
        <v>56</v>
      </c>
      <c r="B134">
        <v>10</v>
      </c>
      <c r="C134" t="s">
        <v>384</v>
      </c>
      <c r="D134">
        <v>10</v>
      </c>
      <c r="E134">
        <v>11589</v>
      </c>
      <c r="F134">
        <v>1467</v>
      </c>
      <c r="G134" s="1">
        <f t="shared" si="2"/>
        <v>0.12658555526792648</v>
      </c>
    </row>
    <row r="135" spans="1:7">
      <c r="A135" t="s">
        <v>56</v>
      </c>
      <c r="B135">
        <v>10</v>
      </c>
      <c r="C135" t="s">
        <v>377</v>
      </c>
      <c r="D135">
        <v>11</v>
      </c>
      <c r="E135">
        <v>11589</v>
      </c>
      <c r="F135">
        <v>1476</v>
      </c>
      <c r="G135" s="1">
        <f t="shared" si="2"/>
        <v>0.12736215376650273</v>
      </c>
    </row>
    <row r="136" spans="1:7">
      <c r="A136" t="s">
        <v>56</v>
      </c>
      <c r="B136">
        <v>10</v>
      </c>
      <c r="C136" t="s">
        <v>365</v>
      </c>
      <c r="D136">
        <v>12</v>
      </c>
      <c r="E136">
        <v>11589</v>
      </c>
      <c r="F136">
        <v>1493</v>
      </c>
      <c r="G136" s="1">
        <f t="shared" si="2"/>
        <v>0.12882906204159117</v>
      </c>
    </row>
    <row r="137" spans="1:7">
      <c r="A137" t="s">
        <v>56</v>
      </c>
      <c r="B137">
        <v>10</v>
      </c>
      <c r="C137" t="s">
        <v>368</v>
      </c>
      <c r="D137">
        <v>13</v>
      </c>
      <c r="E137">
        <v>11589</v>
      </c>
      <c r="F137">
        <v>1498</v>
      </c>
      <c r="G137" s="1">
        <f t="shared" si="2"/>
        <v>0.1292605056519113</v>
      </c>
    </row>
    <row r="138" spans="1:7">
      <c r="A138" t="s">
        <v>56</v>
      </c>
      <c r="B138">
        <v>10</v>
      </c>
      <c r="C138" t="s">
        <v>5</v>
      </c>
      <c r="D138">
        <v>14</v>
      </c>
      <c r="E138">
        <v>11589</v>
      </c>
      <c r="F138">
        <v>1534</v>
      </c>
      <c r="G138" s="1">
        <f t="shared" si="2"/>
        <v>0.13236689964621623</v>
      </c>
    </row>
    <row r="139" spans="1:7">
      <c r="A139" t="s">
        <v>56</v>
      </c>
      <c r="B139">
        <v>10</v>
      </c>
      <c r="C139" t="s">
        <v>376</v>
      </c>
      <c r="D139">
        <v>15</v>
      </c>
      <c r="E139">
        <v>11589</v>
      </c>
      <c r="F139">
        <v>1540</v>
      </c>
      <c r="G139" s="1">
        <f t="shared" si="2"/>
        <v>0.1328846319786004</v>
      </c>
    </row>
    <row r="140" spans="1:7">
      <c r="A140" t="s">
        <v>56</v>
      </c>
      <c r="B140">
        <v>10</v>
      </c>
      <c r="C140" t="s">
        <v>389</v>
      </c>
      <c r="D140">
        <v>16</v>
      </c>
      <c r="E140">
        <v>11589</v>
      </c>
      <c r="F140">
        <v>1551</v>
      </c>
      <c r="G140" s="1">
        <f t="shared" si="2"/>
        <v>0.1338338079213047</v>
      </c>
    </row>
    <row r="141" spans="1:7">
      <c r="A141" t="s">
        <v>56</v>
      </c>
      <c r="B141">
        <v>10</v>
      </c>
      <c r="C141" t="s">
        <v>392</v>
      </c>
      <c r="D141">
        <v>17</v>
      </c>
      <c r="E141">
        <v>11589</v>
      </c>
      <c r="F141">
        <v>1569</v>
      </c>
      <c r="G141" s="1">
        <f t="shared" si="2"/>
        <v>0.13538700491845715</v>
      </c>
    </row>
    <row r="142" spans="1:7">
      <c r="A142" t="s">
        <v>56</v>
      </c>
      <c r="B142">
        <v>10</v>
      </c>
      <c r="C142" t="s">
        <v>379</v>
      </c>
      <c r="D142">
        <v>18</v>
      </c>
      <c r="E142">
        <v>11589</v>
      </c>
      <c r="F142">
        <v>1584</v>
      </c>
      <c r="G142" s="1">
        <f t="shared" si="2"/>
        <v>0.13668133574941754</v>
      </c>
    </row>
    <row r="143" spans="1:7">
      <c r="A143" t="s">
        <v>56</v>
      </c>
      <c r="B143">
        <v>10</v>
      </c>
      <c r="C143" t="s">
        <v>380</v>
      </c>
      <c r="D143">
        <v>19</v>
      </c>
      <c r="E143">
        <v>11589</v>
      </c>
      <c r="F143">
        <v>1629</v>
      </c>
      <c r="G143" s="1">
        <f t="shared" si="2"/>
        <v>0.14056432824229873</v>
      </c>
    </row>
    <row r="144" spans="1:7">
      <c r="A144" t="s">
        <v>56</v>
      </c>
      <c r="B144">
        <v>10</v>
      </c>
      <c r="C144" t="s">
        <v>366</v>
      </c>
      <c r="D144">
        <v>20</v>
      </c>
      <c r="E144">
        <v>11589</v>
      </c>
      <c r="F144">
        <v>1634</v>
      </c>
      <c r="G144" s="1">
        <f t="shared" si="2"/>
        <v>0.14099577185261886</v>
      </c>
    </row>
    <row r="145" spans="1:7">
      <c r="A145" t="s">
        <v>56</v>
      </c>
      <c r="B145">
        <v>10</v>
      </c>
      <c r="C145" t="s">
        <v>373</v>
      </c>
      <c r="D145">
        <v>21</v>
      </c>
      <c r="E145">
        <v>11589</v>
      </c>
      <c r="F145">
        <v>1743</v>
      </c>
      <c r="G145" s="1">
        <f t="shared" si="2"/>
        <v>0.15040124255759771</v>
      </c>
    </row>
    <row r="146" spans="1:7">
      <c r="A146" t="s">
        <v>56</v>
      </c>
      <c r="B146">
        <v>10</v>
      </c>
      <c r="C146" t="s">
        <v>374</v>
      </c>
      <c r="D146">
        <v>22</v>
      </c>
      <c r="E146">
        <v>11589</v>
      </c>
      <c r="F146">
        <v>1761</v>
      </c>
      <c r="G146" s="1">
        <f t="shared" si="2"/>
        <v>0.15195443955475019</v>
      </c>
    </row>
    <row r="147" spans="1:7">
      <c r="A147" t="s">
        <v>56</v>
      </c>
      <c r="B147">
        <v>10</v>
      </c>
      <c r="C147" t="s">
        <v>383</v>
      </c>
      <c r="D147">
        <v>23</v>
      </c>
      <c r="E147">
        <v>11589</v>
      </c>
      <c r="F147">
        <v>1762</v>
      </c>
      <c r="G147" s="1">
        <f t="shared" si="2"/>
        <v>0.15204072827681422</v>
      </c>
    </row>
    <row r="148" spans="1:7">
      <c r="A148" t="s">
        <v>56</v>
      </c>
      <c r="B148">
        <v>10</v>
      </c>
      <c r="C148" t="s">
        <v>385</v>
      </c>
      <c r="D148">
        <v>24</v>
      </c>
      <c r="E148">
        <v>11589</v>
      </c>
      <c r="F148">
        <v>1846</v>
      </c>
      <c r="G148" s="1">
        <f t="shared" si="2"/>
        <v>0.15928898093019242</v>
      </c>
    </row>
    <row r="149" spans="1:7">
      <c r="A149" t="s">
        <v>56</v>
      </c>
      <c r="B149">
        <v>10</v>
      </c>
      <c r="C149" t="s">
        <v>378</v>
      </c>
      <c r="D149">
        <v>25</v>
      </c>
      <c r="E149">
        <v>11589</v>
      </c>
      <c r="F149">
        <v>1877</v>
      </c>
      <c r="G149" s="1">
        <f t="shared" si="2"/>
        <v>0.16196393131417725</v>
      </c>
    </row>
    <row r="150" spans="1:7">
      <c r="A150" t="s">
        <v>56</v>
      </c>
      <c r="B150">
        <v>10</v>
      </c>
      <c r="C150" t="s">
        <v>58</v>
      </c>
      <c r="D150">
        <v>26</v>
      </c>
      <c r="E150">
        <v>11589</v>
      </c>
      <c r="F150">
        <v>1958</v>
      </c>
      <c r="G150" s="1">
        <f t="shared" si="2"/>
        <v>0.16895331780136336</v>
      </c>
    </row>
    <row r="151" spans="1:7">
      <c r="A151" t="s">
        <v>56</v>
      </c>
      <c r="B151">
        <v>10</v>
      </c>
      <c r="C151" t="s">
        <v>391</v>
      </c>
      <c r="D151">
        <v>27</v>
      </c>
      <c r="E151">
        <v>11589</v>
      </c>
      <c r="F151">
        <v>2029</v>
      </c>
      <c r="G151" s="1">
        <f t="shared" si="2"/>
        <v>0.17507981706790923</v>
      </c>
    </row>
    <row r="152" spans="1:7">
      <c r="A152" t="s">
        <v>56</v>
      </c>
      <c r="B152">
        <v>10</v>
      </c>
      <c r="C152" t="s">
        <v>390</v>
      </c>
      <c r="D152">
        <v>28</v>
      </c>
      <c r="E152">
        <v>11589</v>
      </c>
      <c r="F152">
        <v>2031</v>
      </c>
      <c r="G152" s="1">
        <f t="shared" si="2"/>
        <v>0.17525239451203728</v>
      </c>
    </row>
    <row r="153" spans="1:7">
      <c r="A153" t="s">
        <v>56</v>
      </c>
      <c r="B153">
        <v>10</v>
      </c>
      <c r="C153" t="s">
        <v>387</v>
      </c>
      <c r="D153">
        <v>29</v>
      </c>
      <c r="E153">
        <v>11589</v>
      </c>
      <c r="F153">
        <v>2058</v>
      </c>
      <c r="G153" s="1">
        <f t="shared" si="2"/>
        <v>0.17758219000776598</v>
      </c>
    </row>
    <row r="154" spans="1:7">
      <c r="A154" t="s">
        <v>56</v>
      </c>
      <c r="B154">
        <v>10</v>
      </c>
      <c r="C154" t="s">
        <v>386</v>
      </c>
      <c r="D154">
        <v>30</v>
      </c>
      <c r="E154">
        <v>11589</v>
      </c>
      <c r="F154">
        <v>2130</v>
      </c>
      <c r="G154" s="1">
        <f t="shared" si="2"/>
        <v>0.18379497799637587</v>
      </c>
    </row>
    <row r="155" spans="1:7">
      <c r="A155" t="s">
        <v>56</v>
      </c>
      <c r="B155">
        <v>10</v>
      </c>
      <c r="C155" t="s">
        <v>393</v>
      </c>
      <c r="D155">
        <v>31</v>
      </c>
      <c r="E155">
        <v>11589</v>
      </c>
      <c r="F155">
        <v>2806</v>
      </c>
      <c r="G155" s="1">
        <f t="shared" si="2"/>
        <v>0.24212615411165761</v>
      </c>
    </row>
    <row r="156" spans="1:7">
      <c r="A156" t="s">
        <v>56</v>
      </c>
      <c r="B156">
        <v>10</v>
      </c>
      <c r="C156" t="s">
        <v>33</v>
      </c>
      <c r="D156">
        <v>32</v>
      </c>
      <c r="E156">
        <v>11589</v>
      </c>
      <c r="F156">
        <v>12522</v>
      </c>
      <c r="G156" s="1">
        <f t="shared" si="2"/>
        <v>1.0805073776857366</v>
      </c>
    </row>
    <row r="157" spans="1:7">
      <c r="A157" t="s">
        <v>56</v>
      </c>
      <c r="B157">
        <v>11</v>
      </c>
      <c r="C157" t="s">
        <v>33</v>
      </c>
      <c r="D157">
        <v>1</v>
      </c>
      <c r="E157">
        <v>5198</v>
      </c>
      <c r="F157">
        <v>98</v>
      </c>
      <c r="G157" s="1">
        <f t="shared" si="2"/>
        <v>1.8853405155829166E-2</v>
      </c>
    </row>
    <row r="158" spans="1:7">
      <c r="A158" t="s">
        <v>56</v>
      </c>
      <c r="B158">
        <v>11</v>
      </c>
      <c r="C158" t="s">
        <v>59</v>
      </c>
      <c r="D158">
        <v>2</v>
      </c>
      <c r="E158">
        <v>5198</v>
      </c>
      <c r="F158">
        <v>2195</v>
      </c>
      <c r="G158" s="1">
        <f t="shared" si="2"/>
        <v>0.42227779915352059</v>
      </c>
    </row>
    <row r="159" spans="1:7">
      <c r="A159" t="s">
        <v>56</v>
      </c>
      <c r="B159">
        <v>11</v>
      </c>
      <c r="C159" t="s">
        <v>394</v>
      </c>
      <c r="D159">
        <v>3</v>
      </c>
      <c r="E159">
        <v>5198</v>
      </c>
      <c r="F159">
        <v>2310</v>
      </c>
      <c r="G159" s="1">
        <f t="shared" si="2"/>
        <v>0.44440169295883031</v>
      </c>
    </row>
    <row r="160" spans="1:7">
      <c r="A160" t="s">
        <v>56</v>
      </c>
      <c r="B160">
        <v>11</v>
      </c>
      <c r="C160" t="s">
        <v>63</v>
      </c>
      <c r="D160">
        <v>4</v>
      </c>
      <c r="E160">
        <v>5198</v>
      </c>
      <c r="F160">
        <v>2770</v>
      </c>
      <c r="G160" s="1">
        <f t="shared" si="2"/>
        <v>0.53289726818006922</v>
      </c>
    </row>
    <row r="161" spans="1:7">
      <c r="A161" t="s">
        <v>56</v>
      </c>
      <c r="B161">
        <v>11</v>
      </c>
      <c r="C161" t="s">
        <v>60</v>
      </c>
      <c r="D161">
        <v>5</v>
      </c>
      <c r="E161">
        <v>5198</v>
      </c>
      <c r="F161">
        <v>2878</v>
      </c>
      <c r="G161" s="1">
        <f t="shared" si="2"/>
        <v>0.5536744901885341</v>
      </c>
    </row>
    <row r="162" spans="1:7">
      <c r="A162" t="s">
        <v>56</v>
      </c>
      <c r="B162">
        <v>11</v>
      </c>
      <c r="C162" t="s">
        <v>398</v>
      </c>
      <c r="D162">
        <v>6</v>
      </c>
      <c r="E162">
        <v>5198</v>
      </c>
      <c r="F162">
        <v>2919</v>
      </c>
      <c r="G162" s="1">
        <f t="shared" si="2"/>
        <v>0.56156213928434018</v>
      </c>
    </row>
    <row r="163" spans="1:7">
      <c r="A163" t="s">
        <v>56</v>
      </c>
      <c r="B163">
        <v>11</v>
      </c>
      <c r="C163" t="s">
        <v>396</v>
      </c>
      <c r="D163">
        <v>7</v>
      </c>
      <c r="E163">
        <v>5198</v>
      </c>
      <c r="F163">
        <v>2921</v>
      </c>
      <c r="G163" s="1">
        <f t="shared" si="2"/>
        <v>0.56194690265486724</v>
      </c>
    </row>
    <row r="164" spans="1:7">
      <c r="A164" t="s">
        <v>56</v>
      </c>
      <c r="B164">
        <v>11</v>
      </c>
      <c r="C164" t="s">
        <v>397</v>
      </c>
      <c r="D164">
        <v>8</v>
      </c>
      <c r="E164">
        <v>5198</v>
      </c>
      <c r="F164">
        <v>2932</v>
      </c>
      <c r="G164" s="1">
        <f t="shared" si="2"/>
        <v>0.56406310119276648</v>
      </c>
    </row>
    <row r="165" spans="1:7">
      <c r="A165" t="s">
        <v>56</v>
      </c>
      <c r="B165">
        <v>11</v>
      </c>
      <c r="C165" t="s">
        <v>61</v>
      </c>
      <c r="D165">
        <v>9</v>
      </c>
      <c r="E165">
        <v>5198</v>
      </c>
      <c r="F165">
        <v>2984</v>
      </c>
      <c r="G165" s="1">
        <f t="shared" si="2"/>
        <v>0.57406694882647169</v>
      </c>
    </row>
    <row r="166" spans="1:7">
      <c r="A166" t="s">
        <v>56</v>
      </c>
      <c r="B166">
        <v>11</v>
      </c>
      <c r="C166" t="s">
        <v>62</v>
      </c>
      <c r="D166">
        <v>10</v>
      </c>
      <c r="E166">
        <v>5198</v>
      </c>
      <c r="F166">
        <v>3045</v>
      </c>
      <c r="G166" s="1">
        <f t="shared" si="2"/>
        <v>0.58580223162754907</v>
      </c>
    </row>
    <row r="167" spans="1:7">
      <c r="A167" t="s">
        <v>56</v>
      </c>
      <c r="B167">
        <v>11</v>
      </c>
      <c r="C167" t="s">
        <v>395</v>
      </c>
      <c r="D167">
        <v>11</v>
      </c>
      <c r="E167">
        <v>5198</v>
      </c>
      <c r="F167">
        <v>3109</v>
      </c>
      <c r="G167" s="1">
        <f t="shared" si="2"/>
        <v>0.59811465948441711</v>
      </c>
    </row>
    <row r="168" spans="1:7">
      <c r="A168" t="s">
        <v>56</v>
      </c>
      <c r="B168">
        <v>11</v>
      </c>
      <c r="C168" t="s">
        <v>2</v>
      </c>
      <c r="D168">
        <v>12</v>
      </c>
      <c r="E168">
        <v>5198</v>
      </c>
      <c r="F168">
        <v>5467</v>
      </c>
      <c r="G168" s="1">
        <f t="shared" si="2"/>
        <v>1.0517506733358983</v>
      </c>
    </row>
    <row r="169" spans="1:7">
      <c r="A169" t="s">
        <v>56</v>
      </c>
      <c r="B169">
        <v>12</v>
      </c>
      <c r="C169" t="s">
        <v>33</v>
      </c>
      <c r="D169">
        <v>1</v>
      </c>
      <c r="E169">
        <v>3281</v>
      </c>
      <c r="F169">
        <v>98</v>
      </c>
      <c r="G169" s="1">
        <f t="shared" si="2"/>
        <v>2.9868942395611095E-2</v>
      </c>
    </row>
    <row r="170" spans="1:7">
      <c r="A170" t="s">
        <v>56</v>
      </c>
      <c r="B170">
        <v>12</v>
      </c>
      <c r="C170" t="s">
        <v>407</v>
      </c>
      <c r="D170">
        <v>2</v>
      </c>
      <c r="E170">
        <v>3281</v>
      </c>
      <c r="F170">
        <v>1781</v>
      </c>
      <c r="G170" s="1">
        <f t="shared" si="2"/>
        <v>0.54282231027125871</v>
      </c>
    </row>
    <row r="171" spans="1:7">
      <c r="A171" t="s">
        <v>56</v>
      </c>
      <c r="B171">
        <v>12</v>
      </c>
      <c r="C171" t="s">
        <v>403</v>
      </c>
      <c r="D171">
        <v>3</v>
      </c>
      <c r="E171">
        <v>3281</v>
      </c>
      <c r="F171">
        <v>2053</v>
      </c>
      <c r="G171" s="1">
        <f t="shared" si="2"/>
        <v>0.62572386467540386</v>
      </c>
    </row>
    <row r="172" spans="1:7">
      <c r="A172" t="s">
        <v>56</v>
      </c>
      <c r="B172">
        <v>12</v>
      </c>
      <c r="C172" t="s">
        <v>401</v>
      </c>
      <c r="D172">
        <v>4</v>
      </c>
      <c r="E172">
        <v>3281</v>
      </c>
      <c r="F172">
        <v>2107</v>
      </c>
      <c r="G172" s="1">
        <f t="shared" si="2"/>
        <v>0.64218226150563851</v>
      </c>
    </row>
    <row r="173" spans="1:7">
      <c r="A173" t="s">
        <v>56</v>
      </c>
      <c r="B173">
        <v>12</v>
      </c>
      <c r="C173" t="s">
        <v>400</v>
      </c>
      <c r="D173">
        <v>5</v>
      </c>
      <c r="E173">
        <v>3281</v>
      </c>
      <c r="F173">
        <v>2166</v>
      </c>
      <c r="G173" s="1">
        <f t="shared" si="2"/>
        <v>0.66016458396830235</v>
      </c>
    </row>
    <row r="174" spans="1:7">
      <c r="A174" t="s">
        <v>56</v>
      </c>
      <c r="B174">
        <v>12</v>
      </c>
      <c r="C174" t="s">
        <v>402</v>
      </c>
      <c r="D174">
        <v>6</v>
      </c>
      <c r="E174">
        <v>3281</v>
      </c>
      <c r="F174">
        <v>2262</v>
      </c>
      <c r="G174" s="1">
        <f t="shared" si="2"/>
        <v>0.68942395611094176</v>
      </c>
    </row>
    <row r="175" spans="1:7">
      <c r="A175" t="s">
        <v>56</v>
      </c>
      <c r="B175">
        <v>12</v>
      </c>
      <c r="C175" t="s">
        <v>404</v>
      </c>
      <c r="D175">
        <v>7</v>
      </c>
      <c r="E175">
        <v>3281</v>
      </c>
      <c r="F175">
        <v>2263</v>
      </c>
      <c r="G175" s="1">
        <f t="shared" si="2"/>
        <v>0.68972874123742767</v>
      </c>
    </row>
    <row r="176" spans="1:7">
      <c r="A176" t="s">
        <v>56</v>
      </c>
      <c r="B176">
        <v>12</v>
      </c>
      <c r="C176" t="s">
        <v>399</v>
      </c>
      <c r="D176">
        <v>8</v>
      </c>
      <c r="E176">
        <v>3281</v>
      </c>
      <c r="F176">
        <v>2296</v>
      </c>
      <c r="G176" s="1">
        <f t="shared" si="2"/>
        <v>0.69978665041145993</v>
      </c>
    </row>
    <row r="177" spans="1:7">
      <c r="A177" t="s">
        <v>56</v>
      </c>
      <c r="B177">
        <v>12</v>
      </c>
      <c r="C177" t="s">
        <v>405</v>
      </c>
      <c r="D177">
        <v>9</v>
      </c>
      <c r="E177">
        <v>3281</v>
      </c>
      <c r="F177">
        <v>2335</v>
      </c>
      <c r="G177" s="1">
        <f t="shared" si="2"/>
        <v>0.71167327034440719</v>
      </c>
    </row>
    <row r="178" spans="1:7">
      <c r="A178" t="s">
        <v>56</v>
      </c>
      <c r="B178">
        <v>12</v>
      </c>
      <c r="C178" t="s">
        <v>406</v>
      </c>
      <c r="D178">
        <v>10</v>
      </c>
      <c r="E178">
        <v>3281</v>
      </c>
      <c r="F178">
        <v>2531</v>
      </c>
      <c r="G178" s="1">
        <f t="shared" si="2"/>
        <v>0.77141115513562941</v>
      </c>
    </row>
    <row r="179" spans="1:7">
      <c r="A179" t="s">
        <v>56</v>
      </c>
      <c r="B179">
        <v>12</v>
      </c>
      <c r="C179" t="s">
        <v>408</v>
      </c>
      <c r="D179">
        <v>11</v>
      </c>
      <c r="E179">
        <v>3281</v>
      </c>
      <c r="F179">
        <v>2905</v>
      </c>
      <c r="G179" s="1">
        <f t="shared" si="2"/>
        <v>0.88540079244132885</v>
      </c>
    </row>
    <row r="180" spans="1:7">
      <c r="A180" t="s">
        <v>56</v>
      </c>
      <c r="B180">
        <v>12</v>
      </c>
      <c r="C180" t="s">
        <v>2</v>
      </c>
      <c r="D180">
        <v>12</v>
      </c>
      <c r="E180">
        <v>3281</v>
      </c>
      <c r="F180">
        <v>3488</v>
      </c>
      <c r="G180" s="1">
        <f t="shared" si="2"/>
        <v>1.0630905211825663</v>
      </c>
    </row>
    <row r="181" spans="1:7">
      <c r="A181" t="s">
        <v>65</v>
      </c>
      <c r="B181">
        <v>1</v>
      </c>
      <c r="C181" t="s">
        <v>409</v>
      </c>
      <c r="D181">
        <v>1</v>
      </c>
      <c r="E181">
        <v>11099</v>
      </c>
      <c r="F181">
        <v>420</v>
      </c>
      <c r="G181" s="1">
        <f t="shared" si="2"/>
        <v>3.7841246959185511E-2</v>
      </c>
    </row>
    <row r="182" spans="1:7">
      <c r="A182" t="s">
        <v>65</v>
      </c>
      <c r="B182">
        <v>1</v>
      </c>
      <c r="C182" t="s">
        <v>410</v>
      </c>
      <c r="D182">
        <v>2</v>
      </c>
      <c r="E182">
        <v>11099</v>
      </c>
      <c r="F182">
        <v>668</v>
      </c>
      <c r="G182" s="1">
        <f t="shared" si="2"/>
        <v>6.0185602306514104E-2</v>
      </c>
    </row>
    <row r="183" spans="1:7">
      <c r="A183" t="s">
        <v>65</v>
      </c>
      <c r="B183">
        <v>1</v>
      </c>
      <c r="C183" t="s">
        <v>411</v>
      </c>
      <c r="D183">
        <v>3</v>
      </c>
      <c r="E183">
        <v>11099</v>
      </c>
      <c r="F183">
        <v>688</v>
      </c>
      <c r="G183" s="1">
        <f t="shared" si="2"/>
        <v>6.1987566447427693E-2</v>
      </c>
    </row>
    <row r="184" spans="1:7">
      <c r="A184" t="s">
        <v>65</v>
      </c>
      <c r="B184">
        <v>1</v>
      </c>
      <c r="C184" t="s">
        <v>415</v>
      </c>
      <c r="D184">
        <v>4</v>
      </c>
      <c r="E184">
        <v>11099</v>
      </c>
      <c r="F184">
        <v>10802</v>
      </c>
      <c r="G184" s="1">
        <f t="shared" si="2"/>
        <v>0.9732408325074331</v>
      </c>
    </row>
    <row r="185" spans="1:7">
      <c r="A185" t="s">
        <v>65</v>
      </c>
      <c r="B185">
        <v>1</v>
      </c>
      <c r="C185" t="s">
        <v>414</v>
      </c>
      <c r="D185">
        <v>5</v>
      </c>
      <c r="E185">
        <v>11099</v>
      </c>
      <c r="F185">
        <v>10809</v>
      </c>
      <c r="G185" s="1">
        <f t="shared" si="2"/>
        <v>0.97387151995675281</v>
      </c>
    </row>
    <row r="186" spans="1:7">
      <c r="A186" t="s">
        <v>65</v>
      </c>
      <c r="B186">
        <v>1</v>
      </c>
      <c r="C186" t="s">
        <v>413</v>
      </c>
      <c r="D186">
        <v>6</v>
      </c>
      <c r="E186">
        <v>11099</v>
      </c>
      <c r="F186">
        <v>11432</v>
      </c>
      <c r="G186" s="1">
        <f t="shared" si="2"/>
        <v>1.0300027029462113</v>
      </c>
    </row>
    <row r="187" spans="1:7">
      <c r="A187" t="s">
        <v>65</v>
      </c>
      <c r="B187">
        <v>1</v>
      </c>
      <c r="C187" t="s">
        <v>412</v>
      </c>
      <c r="D187">
        <v>7</v>
      </c>
      <c r="E187">
        <v>11099</v>
      </c>
      <c r="F187">
        <v>13185</v>
      </c>
      <c r="G187" s="1">
        <f t="shared" si="2"/>
        <v>1.1879448598972882</v>
      </c>
    </row>
    <row r="188" spans="1:7">
      <c r="A188" t="s">
        <v>65</v>
      </c>
      <c r="B188">
        <v>3</v>
      </c>
      <c r="C188" t="s">
        <v>67</v>
      </c>
      <c r="D188">
        <v>1</v>
      </c>
      <c r="E188">
        <v>18058</v>
      </c>
      <c r="F188">
        <v>14656</v>
      </c>
      <c r="G188" s="1">
        <f t="shared" si="2"/>
        <v>0.81160704396943184</v>
      </c>
    </row>
    <row r="189" spans="1:7">
      <c r="A189" t="s">
        <v>65</v>
      </c>
      <c r="B189">
        <v>3</v>
      </c>
      <c r="C189" t="s">
        <v>66</v>
      </c>
      <c r="D189">
        <v>2</v>
      </c>
      <c r="E189">
        <v>18058</v>
      </c>
      <c r="F189">
        <v>16720</v>
      </c>
      <c r="G189" s="1">
        <f t="shared" si="2"/>
        <v>0.92590541588215747</v>
      </c>
    </row>
    <row r="190" spans="1:7">
      <c r="A190" t="s">
        <v>65</v>
      </c>
      <c r="B190">
        <v>3</v>
      </c>
      <c r="C190" t="s">
        <v>68</v>
      </c>
      <c r="D190">
        <v>3</v>
      </c>
      <c r="E190">
        <v>18058</v>
      </c>
      <c r="F190">
        <v>19101</v>
      </c>
      <c r="G190" s="1">
        <f t="shared" si="2"/>
        <v>1.0577583342562853</v>
      </c>
    </row>
    <row r="191" spans="1:7">
      <c r="A191" t="s">
        <v>65</v>
      </c>
      <c r="B191">
        <v>4</v>
      </c>
      <c r="C191" t="s">
        <v>419</v>
      </c>
      <c r="D191">
        <v>1</v>
      </c>
      <c r="E191">
        <v>3843</v>
      </c>
      <c r="F191">
        <v>3181</v>
      </c>
      <c r="G191" s="1">
        <f t="shared" si="2"/>
        <v>0.82773874577153261</v>
      </c>
    </row>
    <row r="192" spans="1:7">
      <c r="A192" t="s">
        <v>65</v>
      </c>
      <c r="B192">
        <v>4</v>
      </c>
      <c r="C192" t="s">
        <v>416</v>
      </c>
      <c r="D192">
        <v>2</v>
      </c>
      <c r="E192">
        <v>3843</v>
      </c>
      <c r="F192">
        <v>3183</v>
      </c>
      <c r="G192" s="1">
        <f t="shared" si="2"/>
        <v>0.82825917252146763</v>
      </c>
    </row>
    <row r="193" spans="1:7">
      <c r="A193" t="s">
        <v>65</v>
      </c>
      <c r="B193">
        <v>4</v>
      </c>
      <c r="C193" t="s">
        <v>418</v>
      </c>
      <c r="D193">
        <v>3</v>
      </c>
      <c r="E193">
        <v>3843</v>
      </c>
      <c r="F193">
        <v>3230</v>
      </c>
      <c r="G193" s="1">
        <f t="shared" si="2"/>
        <v>0.84048920114493886</v>
      </c>
    </row>
    <row r="194" spans="1:7">
      <c r="A194" t="s">
        <v>65</v>
      </c>
      <c r="B194">
        <v>4</v>
      </c>
      <c r="C194" t="s">
        <v>422</v>
      </c>
      <c r="D194">
        <v>4</v>
      </c>
      <c r="E194">
        <v>3843</v>
      </c>
      <c r="F194">
        <v>3243</v>
      </c>
      <c r="G194" s="1">
        <f t="shared" ref="G194:G257" si="3">F194/E194</f>
        <v>0.84387197501951605</v>
      </c>
    </row>
    <row r="195" spans="1:7">
      <c r="A195" t="s">
        <v>65</v>
      </c>
      <c r="B195">
        <v>4</v>
      </c>
      <c r="C195" t="s">
        <v>417</v>
      </c>
      <c r="D195">
        <v>5</v>
      </c>
      <c r="E195">
        <v>3843</v>
      </c>
      <c r="F195">
        <v>3287</v>
      </c>
      <c r="G195" s="1">
        <f t="shared" si="3"/>
        <v>0.85532136351808485</v>
      </c>
    </row>
    <row r="196" spans="1:7">
      <c r="A196" t="s">
        <v>65</v>
      </c>
      <c r="B196">
        <v>4</v>
      </c>
      <c r="C196" t="s">
        <v>421</v>
      </c>
      <c r="D196">
        <v>6</v>
      </c>
      <c r="E196">
        <v>3843</v>
      </c>
      <c r="F196">
        <v>3317</v>
      </c>
      <c r="G196" s="1">
        <f t="shared" si="3"/>
        <v>0.86312776476710906</v>
      </c>
    </row>
    <row r="197" spans="1:7">
      <c r="A197" t="s">
        <v>65</v>
      </c>
      <c r="B197">
        <v>4</v>
      </c>
      <c r="C197" t="s">
        <v>420</v>
      </c>
      <c r="D197">
        <v>7</v>
      </c>
      <c r="E197">
        <v>3843</v>
      </c>
      <c r="F197">
        <v>3322</v>
      </c>
      <c r="G197" s="1">
        <f t="shared" si="3"/>
        <v>0.86442883164194639</v>
      </c>
    </row>
    <row r="198" spans="1:7">
      <c r="A198" t="s">
        <v>65</v>
      </c>
      <c r="B198">
        <v>4</v>
      </c>
      <c r="C198" t="s">
        <v>430</v>
      </c>
      <c r="D198">
        <v>8</v>
      </c>
      <c r="E198">
        <v>3843</v>
      </c>
      <c r="F198">
        <v>3329</v>
      </c>
      <c r="G198" s="1">
        <f t="shared" si="3"/>
        <v>0.86625032526671875</v>
      </c>
    </row>
    <row r="199" spans="1:7">
      <c r="A199" t="s">
        <v>65</v>
      </c>
      <c r="B199">
        <v>4</v>
      </c>
      <c r="C199" t="s">
        <v>423</v>
      </c>
      <c r="D199">
        <v>9</v>
      </c>
      <c r="E199">
        <v>3843</v>
      </c>
      <c r="F199">
        <v>3464</v>
      </c>
      <c r="G199" s="1">
        <f t="shared" si="3"/>
        <v>0.90137913088732757</v>
      </c>
    </row>
    <row r="200" spans="1:7">
      <c r="A200" t="s">
        <v>65</v>
      </c>
      <c r="B200">
        <v>4</v>
      </c>
      <c r="C200" t="s">
        <v>425</v>
      </c>
      <c r="D200">
        <v>10</v>
      </c>
      <c r="E200">
        <v>3843</v>
      </c>
      <c r="F200">
        <v>3493</v>
      </c>
      <c r="G200" s="1">
        <f t="shared" si="3"/>
        <v>0.90892531876138438</v>
      </c>
    </row>
    <row r="201" spans="1:7">
      <c r="A201" t="s">
        <v>65</v>
      </c>
      <c r="B201">
        <v>4</v>
      </c>
      <c r="C201" t="s">
        <v>427</v>
      </c>
      <c r="D201">
        <v>11</v>
      </c>
      <c r="E201">
        <v>3843</v>
      </c>
      <c r="F201">
        <v>3514</v>
      </c>
      <c r="G201" s="1">
        <f t="shared" si="3"/>
        <v>0.91438979963570133</v>
      </c>
    </row>
    <row r="202" spans="1:7">
      <c r="A202" t="s">
        <v>65</v>
      </c>
      <c r="B202">
        <v>4</v>
      </c>
      <c r="C202" t="s">
        <v>428</v>
      </c>
      <c r="D202">
        <v>12</v>
      </c>
      <c r="E202">
        <v>3843</v>
      </c>
      <c r="F202">
        <v>3547</v>
      </c>
      <c r="G202" s="1">
        <f t="shared" si="3"/>
        <v>0.92297684100962785</v>
      </c>
    </row>
    <row r="203" spans="1:7">
      <c r="A203" t="s">
        <v>65</v>
      </c>
      <c r="B203">
        <v>4</v>
      </c>
      <c r="C203" t="s">
        <v>426</v>
      </c>
      <c r="D203">
        <v>13</v>
      </c>
      <c r="E203">
        <v>3843</v>
      </c>
      <c r="F203">
        <v>3559</v>
      </c>
      <c r="G203" s="1">
        <f t="shared" si="3"/>
        <v>0.92609940150923753</v>
      </c>
    </row>
    <row r="204" spans="1:7">
      <c r="A204" t="s">
        <v>65</v>
      </c>
      <c r="B204">
        <v>4</v>
      </c>
      <c r="C204" t="s">
        <v>424</v>
      </c>
      <c r="D204">
        <v>14</v>
      </c>
      <c r="E204">
        <v>3843</v>
      </c>
      <c r="F204">
        <v>3623</v>
      </c>
      <c r="G204" s="1">
        <f t="shared" si="3"/>
        <v>0.94275305750715588</v>
      </c>
    </row>
    <row r="205" spans="1:7">
      <c r="A205" t="s">
        <v>65</v>
      </c>
      <c r="B205">
        <v>4</v>
      </c>
      <c r="C205" t="s">
        <v>429</v>
      </c>
      <c r="D205">
        <v>15</v>
      </c>
      <c r="E205">
        <v>3843</v>
      </c>
      <c r="F205">
        <v>3641</v>
      </c>
      <c r="G205" s="1">
        <f t="shared" si="3"/>
        <v>0.9474368982565704</v>
      </c>
    </row>
    <row r="206" spans="1:7">
      <c r="A206" t="s">
        <v>65</v>
      </c>
      <c r="B206">
        <v>4</v>
      </c>
      <c r="C206" t="s">
        <v>431</v>
      </c>
      <c r="D206">
        <v>16</v>
      </c>
      <c r="E206">
        <v>3843</v>
      </c>
      <c r="F206">
        <v>3656</v>
      </c>
      <c r="G206" s="1">
        <f t="shared" si="3"/>
        <v>0.95134009888108251</v>
      </c>
    </row>
    <row r="207" spans="1:7">
      <c r="A207" t="s">
        <v>65</v>
      </c>
      <c r="B207">
        <v>6</v>
      </c>
      <c r="C207" t="s">
        <v>70</v>
      </c>
      <c r="D207">
        <v>1</v>
      </c>
      <c r="E207">
        <v>5290</v>
      </c>
      <c r="F207">
        <v>3326</v>
      </c>
      <c r="G207" s="1">
        <f t="shared" si="3"/>
        <v>0.62873345935727787</v>
      </c>
    </row>
    <row r="208" spans="1:7">
      <c r="A208" t="s">
        <v>65</v>
      </c>
      <c r="B208">
        <v>6</v>
      </c>
      <c r="C208" t="s">
        <v>69</v>
      </c>
      <c r="D208">
        <v>2</v>
      </c>
      <c r="E208">
        <v>5290</v>
      </c>
      <c r="F208">
        <v>3329</v>
      </c>
      <c r="G208" s="1">
        <f t="shared" si="3"/>
        <v>0.62930056710775051</v>
      </c>
    </row>
    <row r="209" spans="1:7">
      <c r="A209" t="s">
        <v>65</v>
      </c>
      <c r="B209">
        <v>7</v>
      </c>
      <c r="C209" t="s">
        <v>19</v>
      </c>
      <c r="D209">
        <v>1</v>
      </c>
      <c r="E209">
        <v>1021</v>
      </c>
      <c r="F209">
        <v>81</v>
      </c>
      <c r="G209" s="1">
        <f t="shared" si="3"/>
        <v>7.933398628795299E-2</v>
      </c>
    </row>
    <row r="210" spans="1:7">
      <c r="A210" t="s">
        <v>65</v>
      </c>
      <c r="B210">
        <v>7</v>
      </c>
      <c r="C210" t="s">
        <v>1</v>
      </c>
      <c r="D210">
        <v>2</v>
      </c>
      <c r="E210">
        <v>1021</v>
      </c>
      <c r="F210">
        <v>138</v>
      </c>
      <c r="G210" s="1">
        <f t="shared" si="3"/>
        <v>0.13516160626836435</v>
      </c>
    </row>
    <row r="211" spans="1:7">
      <c r="A211" t="s">
        <v>65</v>
      </c>
      <c r="B211">
        <v>7</v>
      </c>
      <c r="C211" t="s">
        <v>22</v>
      </c>
      <c r="D211">
        <v>3</v>
      </c>
      <c r="E211">
        <v>1021</v>
      </c>
      <c r="F211">
        <v>181</v>
      </c>
      <c r="G211" s="1">
        <f t="shared" si="3"/>
        <v>0.17727717923604311</v>
      </c>
    </row>
    <row r="212" spans="1:7">
      <c r="A212" t="s">
        <v>65</v>
      </c>
      <c r="B212">
        <v>7</v>
      </c>
      <c r="C212" t="s">
        <v>20</v>
      </c>
      <c r="D212">
        <v>4</v>
      </c>
      <c r="E212">
        <v>1021</v>
      </c>
      <c r="F212">
        <v>218</v>
      </c>
      <c r="G212" s="1">
        <f t="shared" si="3"/>
        <v>0.21351616062683643</v>
      </c>
    </row>
    <row r="213" spans="1:7">
      <c r="A213" t="s">
        <v>65</v>
      </c>
      <c r="B213">
        <v>7</v>
      </c>
      <c r="C213" t="s">
        <v>433</v>
      </c>
      <c r="D213">
        <v>5</v>
      </c>
      <c r="E213">
        <v>1021</v>
      </c>
      <c r="F213">
        <v>1027</v>
      </c>
      <c r="G213" s="1">
        <f t="shared" si="3"/>
        <v>1.0058765915768855</v>
      </c>
    </row>
    <row r="214" spans="1:7">
      <c r="A214" t="s">
        <v>65</v>
      </c>
      <c r="B214">
        <v>7</v>
      </c>
      <c r="C214" t="s">
        <v>432</v>
      </c>
      <c r="D214">
        <v>6</v>
      </c>
      <c r="E214">
        <v>1021</v>
      </c>
      <c r="F214">
        <v>1028</v>
      </c>
      <c r="G214" s="1">
        <f t="shared" si="3"/>
        <v>1.0068560235063664</v>
      </c>
    </row>
    <row r="215" spans="1:7">
      <c r="A215" t="s">
        <v>71</v>
      </c>
      <c r="B215">
        <v>3</v>
      </c>
      <c r="C215" t="s">
        <v>33</v>
      </c>
      <c r="D215">
        <v>1</v>
      </c>
      <c r="E215">
        <v>4601</v>
      </c>
      <c r="F215">
        <v>330</v>
      </c>
      <c r="G215" s="1">
        <f t="shared" si="3"/>
        <v>7.1723538361225816E-2</v>
      </c>
    </row>
    <row r="216" spans="1:7">
      <c r="A216" t="s">
        <v>71</v>
      </c>
      <c r="B216">
        <v>3</v>
      </c>
      <c r="C216" t="s">
        <v>73</v>
      </c>
      <c r="D216">
        <v>2</v>
      </c>
      <c r="E216">
        <v>4601</v>
      </c>
      <c r="F216">
        <v>2794</v>
      </c>
      <c r="G216" s="1">
        <f t="shared" si="3"/>
        <v>0.60725929145837865</v>
      </c>
    </row>
    <row r="217" spans="1:7">
      <c r="A217" t="s">
        <v>71</v>
      </c>
      <c r="B217">
        <v>3</v>
      </c>
      <c r="C217" t="s">
        <v>72</v>
      </c>
      <c r="D217">
        <v>3</v>
      </c>
      <c r="E217">
        <v>4601</v>
      </c>
      <c r="F217">
        <v>2942</v>
      </c>
      <c r="G217" s="1">
        <f t="shared" si="3"/>
        <v>0.6394262116931102</v>
      </c>
    </row>
    <row r="218" spans="1:7">
      <c r="A218" t="s">
        <v>71</v>
      </c>
      <c r="B218">
        <v>7</v>
      </c>
      <c r="C218" t="s">
        <v>3</v>
      </c>
      <c r="D218">
        <v>1</v>
      </c>
      <c r="E218">
        <v>4258</v>
      </c>
      <c r="F218">
        <v>52</v>
      </c>
      <c r="G218" s="1">
        <f t="shared" si="3"/>
        <v>1.2212306247064349E-2</v>
      </c>
    </row>
    <row r="219" spans="1:7">
      <c r="A219" t="s">
        <v>71</v>
      </c>
      <c r="B219">
        <v>7</v>
      </c>
      <c r="C219" t="s">
        <v>2</v>
      </c>
      <c r="D219">
        <v>2</v>
      </c>
      <c r="E219">
        <v>4258</v>
      </c>
      <c r="F219">
        <v>53</v>
      </c>
      <c r="G219" s="1">
        <f t="shared" si="3"/>
        <v>1.2447158290277125E-2</v>
      </c>
    </row>
    <row r="220" spans="1:7">
      <c r="A220" t="s">
        <v>71</v>
      </c>
      <c r="B220">
        <v>7</v>
      </c>
      <c r="C220" t="s">
        <v>25</v>
      </c>
      <c r="D220">
        <v>3</v>
      </c>
      <c r="E220">
        <v>4258</v>
      </c>
      <c r="F220">
        <v>113</v>
      </c>
      <c r="G220" s="1">
        <f t="shared" si="3"/>
        <v>2.6538280883043684E-2</v>
      </c>
    </row>
    <row r="221" spans="1:7">
      <c r="A221" t="s">
        <v>71</v>
      </c>
      <c r="B221">
        <v>7</v>
      </c>
      <c r="C221" t="s">
        <v>434</v>
      </c>
      <c r="D221">
        <v>4</v>
      </c>
      <c r="E221">
        <v>4258</v>
      </c>
      <c r="F221">
        <v>115</v>
      </c>
      <c r="G221" s="1">
        <f t="shared" si="3"/>
        <v>2.7007984969469233E-2</v>
      </c>
    </row>
    <row r="222" spans="1:7">
      <c r="A222" t="s">
        <v>71</v>
      </c>
      <c r="B222">
        <v>7</v>
      </c>
      <c r="C222" t="s">
        <v>435</v>
      </c>
      <c r="D222">
        <v>5</v>
      </c>
      <c r="E222">
        <v>4258</v>
      </c>
      <c r="F222">
        <v>305</v>
      </c>
      <c r="G222" s="1">
        <f t="shared" si="3"/>
        <v>7.1629873179896664E-2</v>
      </c>
    </row>
    <row r="223" spans="1:7">
      <c r="A223" t="s">
        <v>71</v>
      </c>
      <c r="B223">
        <v>7</v>
      </c>
      <c r="C223" t="s">
        <v>26</v>
      </c>
      <c r="D223">
        <v>6</v>
      </c>
      <c r="E223">
        <v>4258</v>
      </c>
      <c r="F223">
        <v>306</v>
      </c>
      <c r="G223" s="1">
        <f t="shared" si="3"/>
        <v>7.1864725223109438E-2</v>
      </c>
    </row>
    <row r="224" spans="1:7">
      <c r="A224" t="s">
        <v>71</v>
      </c>
      <c r="B224">
        <v>7</v>
      </c>
      <c r="C224" t="s">
        <v>436</v>
      </c>
      <c r="D224">
        <v>7</v>
      </c>
      <c r="E224">
        <v>4258</v>
      </c>
      <c r="F224">
        <v>435</v>
      </c>
      <c r="G224" s="1">
        <f t="shared" si="3"/>
        <v>0.10216063879755753</v>
      </c>
    </row>
    <row r="225" spans="1:7">
      <c r="A225" t="s">
        <v>71</v>
      </c>
      <c r="B225">
        <v>7</v>
      </c>
      <c r="C225" t="s">
        <v>437</v>
      </c>
      <c r="D225">
        <v>8</v>
      </c>
      <c r="E225">
        <v>4258</v>
      </c>
      <c r="F225">
        <v>459</v>
      </c>
      <c r="G225" s="1">
        <f t="shared" si="3"/>
        <v>0.10779708783466416</v>
      </c>
    </row>
    <row r="226" spans="1:7">
      <c r="A226" t="s">
        <v>71</v>
      </c>
      <c r="B226">
        <v>7</v>
      </c>
      <c r="C226" t="s">
        <v>439</v>
      </c>
      <c r="D226">
        <v>9</v>
      </c>
      <c r="E226">
        <v>4258</v>
      </c>
      <c r="F226">
        <v>4156</v>
      </c>
      <c r="G226" s="1">
        <f t="shared" si="3"/>
        <v>0.9760450915922968</v>
      </c>
    </row>
    <row r="227" spans="1:7">
      <c r="A227" t="s">
        <v>71</v>
      </c>
      <c r="B227">
        <v>7</v>
      </c>
      <c r="C227" t="s">
        <v>438</v>
      </c>
      <c r="D227">
        <v>10</v>
      </c>
      <c r="E227">
        <v>4258</v>
      </c>
      <c r="F227">
        <v>4179</v>
      </c>
      <c r="G227" s="1">
        <f t="shared" si="3"/>
        <v>0.98144668858619066</v>
      </c>
    </row>
    <row r="228" spans="1:7">
      <c r="A228" t="s">
        <v>71</v>
      </c>
      <c r="B228">
        <v>8</v>
      </c>
      <c r="C228" t="s">
        <v>33</v>
      </c>
      <c r="D228">
        <v>1</v>
      </c>
      <c r="E228">
        <v>2930</v>
      </c>
      <c r="F228">
        <v>157</v>
      </c>
      <c r="G228" s="1">
        <f t="shared" si="3"/>
        <v>5.3583617747440276E-2</v>
      </c>
    </row>
    <row r="229" spans="1:7">
      <c r="A229" t="s">
        <v>71</v>
      </c>
      <c r="B229">
        <v>8</v>
      </c>
      <c r="C229" t="s">
        <v>34</v>
      </c>
      <c r="D229">
        <v>2</v>
      </c>
      <c r="E229">
        <v>2930</v>
      </c>
      <c r="F229">
        <v>394</v>
      </c>
      <c r="G229" s="1">
        <f t="shared" si="3"/>
        <v>0.13447098976109215</v>
      </c>
    </row>
    <row r="230" spans="1:7">
      <c r="A230" t="s">
        <v>71</v>
      </c>
      <c r="B230">
        <v>8</v>
      </c>
      <c r="C230" t="s">
        <v>35</v>
      </c>
      <c r="D230">
        <v>3</v>
      </c>
      <c r="E230">
        <v>2930</v>
      </c>
      <c r="F230">
        <v>441</v>
      </c>
      <c r="G230" s="1">
        <f t="shared" si="3"/>
        <v>0.15051194539249146</v>
      </c>
    </row>
    <row r="231" spans="1:7">
      <c r="A231" t="s">
        <v>71</v>
      </c>
      <c r="B231">
        <v>8</v>
      </c>
      <c r="C231" t="s">
        <v>76</v>
      </c>
      <c r="D231">
        <v>4</v>
      </c>
      <c r="E231">
        <v>2930</v>
      </c>
      <c r="F231">
        <v>535</v>
      </c>
      <c r="G231" s="1">
        <f t="shared" si="3"/>
        <v>0.1825938566552901</v>
      </c>
    </row>
    <row r="232" spans="1:7">
      <c r="A232" t="s">
        <v>71</v>
      </c>
      <c r="B232">
        <v>8</v>
      </c>
      <c r="C232" t="s">
        <v>75</v>
      </c>
      <c r="D232">
        <v>5</v>
      </c>
      <c r="E232">
        <v>2930</v>
      </c>
      <c r="F232">
        <v>549</v>
      </c>
      <c r="G232" s="1">
        <f t="shared" si="3"/>
        <v>0.18737201365187714</v>
      </c>
    </row>
    <row r="233" spans="1:7">
      <c r="A233" t="s">
        <v>71</v>
      </c>
      <c r="B233">
        <v>8</v>
      </c>
      <c r="C233" t="s">
        <v>77</v>
      </c>
      <c r="D233">
        <v>6</v>
      </c>
      <c r="E233">
        <v>2930</v>
      </c>
      <c r="F233">
        <v>2232</v>
      </c>
      <c r="G233" s="1">
        <f t="shared" si="3"/>
        <v>0.76177474402730372</v>
      </c>
    </row>
    <row r="234" spans="1:7">
      <c r="A234" t="s">
        <v>71</v>
      </c>
      <c r="B234">
        <v>8</v>
      </c>
      <c r="C234" t="s">
        <v>78</v>
      </c>
      <c r="D234">
        <v>7</v>
      </c>
      <c r="E234">
        <v>2930</v>
      </c>
      <c r="F234">
        <v>2359</v>
      </c>
      <c r="G234" s="1">
        <f t="shared" si="3"/>
        <v>0.80511945392491469</v>
      </c>
    </row>
    <row r="235" spans="1:7">
      <c r="A235" t="s">
        <v>71</v>
      </c>
      <c r="B235">
        <v>8</v>
      </c>
      <c r="C235" t="s">
        <v>80</v>
      </c>
      <c r="D235">
        <v>8</v>
      </c>
      <c r="E235">
        <v>2930</v>
      </c>
      <c r="F235">
        <v>2412</v>
      </c>
      <c r="G235" s="1">
        <f t="shared" si="3"/>
        <v>0.82320819112627985</v>
      </c>
    </row>
    <row r="236" spans="1:7">
      <c r="A236" t="s">
        <v>71</v>
      </c>
      <c r="B236">
        <v>8</v>
      </c>
      <c r="C236" t="s">
        <v>81</v>
      </c>
      <c r="D236">
        <v>9</v>
      </c>
      <c r="E236">
        <v>2930</v>
      </c>
      <c r="F236">
        <v>2570</v>
      </c>
      <c r="G236" s="1">
        <f t="shared" si="3"/>
        <v>0.87713310580204773</v>
      </c>
    </row>
    <row r="237" spans="1:7">
      <c r="A237" t="s">
        <v>71</v>
      </c>
      <c r="B237">
        <v>8</v>
      </c>
      <c r="C237" t="s">
        <v>440</v>
      </c>
      <c r="D237">
        <v>10</v>
      </c>
      <c r="E237">
        <v>2930</v>
      </c>
      <c r="F237">
        <v>2603</v>
      </c>
      <c r="G237" s="1">
        <f t="shared" si="3"/>
        <v>0.88839590443686012</v>
      </c>
    </row>
    <row r="238" spans="1:7">
      <c r="A238" t="s">
        <v>71</v>
      </c>
      <c r="B238">
        <v>8</v>
      </c>
      <c r="C238" t="s">
        <v>441</v>
      </c>
      <c r="D238">
        <v>11</v>
      </c>
      <c r="E238">
        <v>2930</v>
      </c>
      <c r="F238">
        <v>2668</v>
      </c>
      <c r="G238" s="1">
        <f t="shared" si="3"/>
        <v>0.91058020477815704</v>
      </c>
    </row>
    <row r="239" spans="1:7">
      <c r="A239" t="s">
        <v>71</v>
      </c>
      <c r="B239">
        <v>8</v>
      </c>
      <c r="C239" t="s">
        <v>79</v>
      </c>
      <c r="D239">
        <v>12</v>
      </c>
      <c r="E239">
        <v>2930</v>
      </c>
      <c r="F239">
        <v>4344</v>
      </c>
      <c r="G239" s="1">
        <f t="shared" si="3"/>
        <v>1.4825938566552901</v>
      </c>
    </row>
    <row r="240" spans="1:7">
      <c r="A240" t="s">
        <v>71</v>
      </c>
      <c r="B240">
        <v>9</v>
      </c>
      <c r="C240" t="s">
        <v>33</v>
      </c>
      <c r="D240">
        <v>1</v>
      </c>
      <c r="E240">
        <v>1887</v>
      </c>
      <c r="F240">
        <v>176</v>
      </c>
      <c r="G240" s="1">
        <f t="shared" si="3"/>
        <v>9.326974032856386E-2</v>
      </c>
    </row>
    <row r="241" spans="1:7">
      <c r="A241" t="s">
        <v>71</v>
      </c>
      <c r="B241">
        <v>9</v>
      </c>
      <c r="C241" t="s">
        <v>2</v>
      </c>
      <c r="D241">
        <v>2</v>
      </c>
      <c r="E241">
        <v>1887</v>
      </c>
      <c r="F241">
        <v>239</v>
      </c>
      <c r="G241" s="1">
        <f t="shared" si="3"/>
        <v>0.12665606783253841</v>
      </c>
    </row>
    <row r="242" spans="1:7">
      <c r="A242" t="s">
        <v>71</v>
      </c>
      <c r="B242">
        <v>9</v>
      </c>
      <c r="C242" t="s">
        <v>442</v>
      </c>
      <c r="D242">
        <v>3</v>
      </c>
      <c r="E242">
        <v>1887</v>
      </c>
      <c r="F242">
        <v>580</v>
      </c>
      <c r="G242" s="1">
        <f t="shared" si="3"/>
        <v>0.30736618971913088</v>
      </c>
    </row>
    <row r="243" spans="1:7">
      <c r="A243" t="s">
        <v>71</v>
      </c>
      <c r="B243">
        <v>9</v>
      </c>
      <c r="C243" t="s">
        <v>76</v>
      </c>
      <c r="D243">
        <v>4</v>
      </c>
      <c r="E243">
        <v>1887</v>
      </c>
      <c r="F243">
        <v>1893</v>
      </c>
      <c r="G243" s="1">
        <f t="shared" si="3"/>
        <v>1.0031796502384738</v>
      </c>
    </row>
    <row r="244" spans="1:7">
      <c r="A244" t="s">
        <v>71</v>
      </c>
      <c r="B244">
        <v>10</v>
      </c>
      <c r="C244" t="s">
        <v>33</v>
      </c>
      <c r="D244">
        <v>1</v>
      </c>
      <c r="E244">
        <v>859</v>
      </c>
      <c r="F244">
        <v>75</v>
      </c>
      <c r="G244" s="1">
        <f t="shared" si="3"/>
        <v>8.7310826542491268E-2</v>
      </c>
    </row>
    <row r="245" spans="1:7">
      <c r="A245" t="s">
        <v>71</v>
      </c>
      <c r="B245">
        <v>10</v>
      </c>
      <c r="C245" t="s">
        <v>34</v>
      </c>
      <c r="D245">
        <v>2</v>
      </c>
      <c r="E245">
        <v>859</v>
      </c>
      <c r="F245">
        <v>310</v>
      </c>
      <c r="G245" s="1">
        <f t="shared" si="3"/>
        <v>0.36088474970896389</v>
      </c>
    </row>
    <row r="246" spans="1:7">
      <c r="A246" t="s">
        <v>71</v>
      </c>
      <c r="B246">
        <v>10</v>
      </c>
      <c r="C246" t="s">
        <v>82</v>
      </c>
      <c r="D246">
        <v>3</v>
      </c>
      <c r="E246">
        <v>859</v>
      </c>
      <c r="F246">
        <v>469</v>
      </c>
      <c r="G246" s="1">
        <f t="shared" si="3"/>
        <v>0.54598370197904544</v>
      </c>
    </row>
    <row r="247" spans="1:7">
      <c r="A247" t="s">
        <v>71</v>
      </c>
      <c r="B247">
        <v>10</v>
      </c>
      <c r="C247" t="s">
        <v>103</v>
      </c>
      <c r="D247">
        <v>4</v>
      </c>
      <c r="E247">
        <v>859</v>
      </c>
      <c r="F247">
        <v>536</v>
      </c>
      <c r="G247" s="1">
        <f t="shared" si="3"/>
        <v>0.62398137369033757</v>
      </c>
    </row>
    <row r="248" spans="1:7">
      <c r="A248" t="s">
        <v>71</v>
      </c>
      <c r="B248">
        <v>10</v>
      </c>
      <c r="C248" t="s">
        <v>107</v>
      </c>
      <c r="D248">
        <v>5</v>
      </c>
      <c r="E248">
        <v>859</v>
      </c>
      <c r="F248">
        <v>579</v>
      </c>
      <c r="G248" s="1">
        <f t="shared" si="3"/>
        <v>0.67403958090803262</v>
      </c>
    </row>
    <row r="249" spans="1:7">
      <c r="A249" t="s">
        <v>71</v>
      </c>
      <c r="B249">
        <v>10</v>
      </c>
      <c r="C249" t="s">
        <v>95</v>
      </c>
      <c r="D249">
        <v>6</v>
      </c>
      <c r="E249">
        <v>859</v>
      </c>
      <c r="F249">
        <v>628</v>
      </c>
      <c r="G249" s="1">
        <f t="shared" si="3"/>
        <v>0.73108265424912688</v>
      </c>
    </row>
    <row r="250" spans="1:7">
      <c r="A250" t="s">
        <v>71</v>
      </c>
      <c r="B250">
        <v>10</v>
      </c>
      <c r="C250" t="s">
        <v>94</v>
      </c>
      <c r="D250">
        <v>7</v>
      </c>
      <c r="E250">
        <v>859</v>
      </c>
      <c r="F250">
        <v>640</v>
      </c>
      <c r="G250" s="1">
        <f t="shared" si="3"/>
        <v>0.74505238649592553</v>
      </c>
    </row>
    <row r="251" spans="1:7">
      <c r="A251" t="s">
        <v>71</v>
      </c>
      <c r="B251">
        <v>10</v>
      </c>
      <c r="C251" t="s">
        <v>88</v>
      </c>
      <c r="D251">
        <v>8</v>
      </c>
      <c r="E251">
        <v>859</v>
      </c>
      <c r="F251">
        <v>658</v>
      </c>
      <c r="G251" s="1">
        <f t="shared" si="3"/>
        <v>0.7660069848661234</v>
      </c>
    </row>
    <row r="252" spans="1:7">
      <c r="A252" t="s">
        <v>71</v>
      </c>
      <c r="B252">
        <v>10</v>
      </c>
      <c r="C252" t="s">
        <v>96</v>
      </c>
      <c r="D252">
        <v>9</v>
      </c>
      <c r="E252">
        <v>859</v>
      </c>
      <c r="F252">
        <v>696</v>
      </c>
      <c r="G252" s="1">
        <f t="shared" si="3"/>
        <v>0.81024447031431901</v>
      </c>
    </row>
    <row r="253" spans="1:7">
      <c r="A253" t="s">
        <v>71</v>
      </c>
      <c r="B253">
        <v>10</v>
      </c>
      <c r="C253" t="s">
        <v>104</v>
      </c>
      <c r="D253">
        <v>10</v>
      </c>
      <c r="E253">
        <v>859</v>
      </c>
      <c r="F253">
        <v>700</v>
      </c>
      <c r="G253" s="1">
        <f t="shared" si="3"/>
        <v>0.81490104772991856</v>
      </c>
    </row>
    <row r="254" spans="1:7">
      <c r="A254" t="s">
        <v>71</v>
      </c>
      <c r="B254">
        <v>10</v>
      </c>
      <c r="C254" t="s">
        <v>87</v>
      </c>
      <c r="D254">
        <v>11</v>
      </c>
      <c r="E254">
        <v>859</v>
      </c>
      <c r="F254">
        <v>703</v>
      </c>
      <c r="G254" s="1">
        <f t="shared" si="3"/>
        <v>0.81839348079161811</v>
      </c>
    </row>
    <row r="255" spans="1:7">
      <c r="A255" t="s">
        <v>71</v>
      </c>
      <c r="B255">
        <v>10</v>
      </c>
      <c r="C255" t="s">
        <v>84</v>
      </c>
      <c r="D255">
        <v>12</v>
      </c>
      <c r="E255">
        <v>859</v>
      </c>
      <c r="F255">
        <v>712</v>
      </c>
      <c r="G255" s="1">
        <f t="shared" si="3"/>
        <v>0.8288707799767171</v>
      </c>
    </row>
    <row r="256" spans="1:7">
      <c r="A256" t="s">
        <v>71</v>
      </c>
      <c r="B256">
        <v>10</v>
      </c>
      <c r="C256" t="s">
        <v>105</v>
      </c>
      <c r="D256">
        <v>13</v>
      </c>
      <c r="E256">
        <v>859</v>
      </c>
      <c r="F256">
        <v>741</v>
      </c>
      <c r="G256" s="1">
        <f t="shared" si="3"/>
        <v>0.86263096623981372</v>
      </c>
    </row>
    <row r="257" spans="1:7">
      <c r="A257" t="s">
        <v>71</v>
      </c>
      <c r="B257">
        <v>10</v>
      </c>
      <c r="C257" t="s">
        <v>92</v>
      </c>
      <c r="D257">
        <v>14</v>
      </c>
      <c r="E257">
        <v>859</v>
      </c>
      <c r="F257">
        <v>743</v>
      </c>
      <c r="G257" s="1">
        <f t="shared" si="3"/>
        <v>0.8649592549476135</v>
      </c>
    </row>
    <row r="258" spans="1:7">
      <c r="A258" t="s">
        <v>71</v>
      </c>
      <c r="B258">
        <v>10</v>
      </c>
      <c r="C258" t="s">
        <v>83</v>
      </c>
      <c r="D258">
        <v>15</v>
      </c>
      <c r="E258">
        <v>859</v>
      </c>
      <c r="F258">
        <v>745</v>
      </c>
      <c r="G258" s="1">
        <f t="shared" ref="G258:G321" si="4">F258/E258</f>
        <v>0.86728754365541327</v>
      </c>
    </row>
    <row r="259" spans="1:7">
      <c r="A259" t="s">
        <v>71</v>
      </c>
      <c r="B259">
        <v>10</v>
      </c>
      <c r="C259" t="s">
        <v>97</v>
      </c>
      <c r="D259">
        <v>16</v>
      </c>
      <c r="E259">
        <v>859</v>
      </c>
      <c r="F259">
        <v>748</v>
      </c>
      <c r="G259" s="1">
        <f t="shared" si="4"/>
        <v>0.87077997671711294</v>
      </c>
    </row>
    <row r="260" spans="1:7">
      <c r="A260" t="s">
        <v>71</v>
      </c>
      <c r="B260">
        <v>10</v>
      </c>
      <c r="C260" t="s">
        <v>109</v>
      </c>
      <c r="D260">
        <v>17</v>
      </c>
      <c r="E260">
        <v>859</v>
      </c>
      <c r="F260">
        <v>761</v>
      </c>
      <c r="G260" s="1">
        <f t="shared" si="4"/>
        <v>0.88591385331781136</v>
      </c>
    </row>
    <row r="261" spans="1:7">
      <c r="A261" t="s">
        <v>71</v>
      </c>
      <c r="B261">
        <v>10</v>
      </c>
      <c r="C261" t="s">
        <v>89</v>
      </c>
      <c r="D261">
        <v>18</v>
      </c>
      <c r="E261">
        <v>859</v>
      </c>
      <c r="F261">
        <v>762</v>
      </c>
      <c r="G261" s="1">
        <f t="shared" si="4"/>
        <v>0.88707799767171125</v>
      </c>
    </row>
    <row r="262" spans="1:7">
      <c r="A262" t="s">
        <v>71</v>
      </c>
      <c r="B262">
        <v>10</v>
      </c>
      <c r="C262" t="s">
        <v>86</v>
      </c>
      <c r="D262">
        <v>19</v>
      </c>
      <c r="E262">
        <v>859</v>
      </c>
      <c r="F262">
        <v>768</v>
      </c>
      <c r="G262" s="1">
        <f t="shared" si="4"/>
        <v>0.89406286379511057</v>
      </c>
    </row>
    <row r="263" spans="1:7">
      <c r="A263" t="s">
        <v>71</v>
      </c>
      <c r="B263">
        <v>10</v>
      </c>
      <c r="C263" t="s">
        <v>93</v>
      </c>
      <c r="D263">
        <v>20</v>
      </c>
      <c r="E263">
        <v>859</v>
      </c>
      <c r="F263">
        <v>788</v>
      </c>
      <c r="G263" s="1">
        <f t="shared" si="4"/>
        <v>0.91734575087310821</v>
      </c>
    </row>
    <row r="264" spans="1:7">
      <c r="A264" t="s">
        <v>71</v>
      </c>
      <c r="B264">
        <v>10</v>
      </c>
      <c r="C264" t="s">
        <v>98</v>
      </c>
      <c r="D264">
        <v>21</v>
      </c>
      <c r="E264">
        <v>859</v>
      </c>
      <c r="F264">
        <v>808</v>
      </c>
      <c r="G264" s="1">
        <f t="shared" si="4"/>
        <v>0.94062863795110596</v>
      </c>
    </row>
    <row r="265" spans="1:7">
      <c r="A265" t="s">
        <v>71</v>
      </c>
      <c r="B265">
        <v>10</v>
      </c>
      <c r="C265" t="s">
        <v>106</v>
      </c>
      <c r="D265">
        <v>22</v>
      </c>
      <c r="E265">
        <v>859</v>
      </c>
      <c r="F265">
        <v>817</v>
      </c>
      <c r="G265" s="1">
        <f t="shared" si="4"/>
        <v>0.95110593713620484</v>
      </c>
    </row>
    <row r="266" spans="1:7">
      <c r="A266" t="s">
        <v>71</v>
      </c>
      <c r="B266">
        <v>10</v>
      </c>
      <c r="C266" t="s">
        <v>91</v>
      </c>
      <c r="D266">
        <v>23</v>
      </c>
      <c r="E266">
        <v>859</v>
      </c>
      <c r="F266">
        <v>820</v>
      </c>
      <c r="G266" s="1">
        <f t="shared" si="4"/>
        <v>0.9545983701979045</v>
      </c>
    </row>
    <row r="267" spans="1:7">
      <c r="A267" t="s">
        <v>71</v>
      </c>
      <c r="B267">
        <v>10</v>
      </c>
      <c r="C267" t="s">
        <v>110</v>
      </c>
      <c r="D267">
        <v>24</v>
      </c>
      <c r="E267">
        <v>859</v>
      </c>
      <c r="F267">
        <v>821</v>
      </c>
      <c r="G267" s="1">
        <f t="shared" si="4"/>
        <v>0.95576251455180439</v>
      </c>
    </row>
    <row r="268" spans="1:7">
      <c r="A268" t="s">
        <v>71</v>
      </c>
      <c r="B268">
        <v>10</v>
      </c>
      <c r="C268" t="s">
        <v>102</v>
      </c>
      <c r="D268">
        <v>25</v>
      </c>
      <c r="E268">
        <v>859</v>
      </c>
      <c r="F268">
        <v>822</v>
      </c>
      <c r="G268" s="1">
        <f t="shared" si="4"/>
        <v>0.95692665890570427</v>
      </c>
    </row>
    <row r="269" spans="1:7">
      <c r="A269" t="s">
        <v>71</v>
      </c>
      <c r="B269">
        <v>10</v>
      </c>
      <c r="C269" t="s">
        <v>101</v>
      </c>
      <c r="D269">
        <v>26</v>
      </c>
      <c r="E269">
        <v>859</v>
      </c>
      <c r="F269">
        <v>823</v>
      </c>
      <c r="G269" s="1">
        <f t="shared" si="4"/>
        <v>0.95809080325960416</v>
      </c>
    </row>
    <row r="270" spans="1:7">
      <c r="A270" t="s">
        <v>71</v>
      </c>
      <c r="B270">
        <v>10</v>
      </c>
      <c r="C270" t="s">
        <v>111</v>
      </c>
      <c r="D270">
        <v>27</v>
      </c>
      <c r="E270">
        <v>859</v>
      </c>
      <c r="F270">
        <v>825</v>
      </c>
      <c r="G270" s="1">
        <f t="shared" si="4"/>
        <v>0.96041909196740394</v>
      </c>
    </row>
    <row r="271" spans="1:7">
      <c r="A271" t="s">
        <v>71</v>
      </c>
      <c r="B271">
        <v>10</v>
      </c>
      <c r="C271" t="s">
        <v>108</v>
      </c>
      <c r="D271">
        <v>28</v>
      </c>
      <c r="E271">
        <v>859</v>
      </c>
      <c r="F271">
        <v>838</v>
      </c>
      <c r="G271" s="1">
        <f t="shared" si="4"/>
        <v>0.97555296856810247</v>
      </c>
    </row>
    <row r="272" spans="1:7">
      <c r="A272" t="s">
        <v>71</v>
      </c>
      <c r="B272">
        <v>10</v>
      </c>
      <c r="C272" t="s">
        <v>99</v>
      </c>
      <c r="D272">
        <v>29</v>
      </c>
      <c r="E272">
        <v>859</v>
      </c>
      <c r="F272">
        <v>849</v>
      </c>
      <c r="G272" s="1">
        <f t="shared" si="4"/>
        <v>0.98835855646100113</v>
      </c>
    </row>
    <row r="273" spans="1:7">
      <c r="A273" t="s">
        <v>71</v>
      </c>
      <c r="B273">
        <v>10</v>
      </c>
      <c r="C273" t="s">
        <v>100</v>
      </c>
      <c r="D273">
        <v>30</v>
      </c>
      <c r="E273">
        <v>859</v>
      </c>
      <c r="F273">
        <v>864</v>
      </c>
      <c r="G273" s="1">
        <f t="shared" si="4"/>
        <v>1.0058207217694994</v>
      </c>
    </row>
    <row r="274" spans="1:7">
      <c r="A274" t="s">
        <v>71</v>
      </c>
      <c r="B274">
        <v>10</v>
      </c>
      <c r="C274" t="s">
        <v>85</v>
      </c>
      <c r="D274">
        <v>31</v>
      </c>
      <c r="E274">
        <v>859</v>
      </c>
      <c r="F274">
        <v>871</v>
      </c>
      <c r="G274" s="1">
        <f t="shared" si="4"/>
        <v>1.0139697322467986</v>
      </c>
    </row>
    <row r="275" spans="1:7">
      <c r="A275" t="s">
        <v>71</v>
      </c>
      <c r="B275">
        <v>10</v>
      </c>
      <c r="C275" t="s">
        <v>90</v>
      </c>
      <c r="D275">
        <v>32</v>
      </c>
      <c r="E275">
        <v>859</v>
      </c>
      <c r="F275">
        <v>899</v>
      </c>
      <c r="G275" s="1">
        <f t="shared" si="4"/>
        <v>1.0465657741559953</v>
      </c>
    </row>
    <row r="276" spans="1:7">
      <c r="A276" t="s">
        <v>112</v>
      </c>
      <c r="B276">
        <v>3</v>
      </c>
      <c r="C276" t="s">
        <v>57</v>
      </c>
      <c r="D276">
        <v>1</v>
      </c>
      <c r="E276">
        <v>30188</v>
      </c>
      <c r="F276">
        <v>29194</v>
      </c>
      <c r="G276" s="1">
        <f t="shared" si="4"/>
        <v>0.96707300914270566</v>
      </c>
    </row>
    <row r="277" spans="1:7">
      <c r="A277" t="s">
        <v>112</v>
      </c>
      <c r="B277">
        <v>3</v>
      </c>
      <c r="C277" t="s">
        <v>36</v>
      </c>
      <c r="D277">
        <v>2</v>
      </c>
      <c r="E277">
        <v>30188</v>
      </c>
      <c r="F277">
        <v>29661</v>
      </c>
      <c r="G277" s="1">
        <f t="shared" si="4"/>
        <v>0.98254273221147481</v>
      </c>
    </row>
    <row r="278" spans="1:7">
      <c r="A278" t="s">
        <v>303</v>
      </c>
      <c r="B278">
        <v>2</v>
      </c>
      <c r="C278" t="s">
        <v>36</v>
      </c>
      <c r="D278">
        <v>1</v>
      </c>
      <c r="E278">
        <v>46798</v>
      </c>
      <c r="F278">
        <v>1632</v>
      </c>
      <c r="G278" s="1">
        <f t="shared" si="4"/>
        <v>3.4873285183127482E-2</v>
      </c>
    </row>
    <row r="279" spans="1:7">
      <c r="A279" t="s">
        <v>303</v>
      </c>
      <c r="B279">
        <v>2</v>
      </c>
      <c r="C279" t="s">
        <v>443</v>
      </c>
      <c r="D279">
        <v>2</v>
      </c>
      <c r="E279">
        <v>46798</v>
      </c>
      <c r="F279">
        <v>3164</v>
      </c>
      <c r="G279" s="1">
        <f t="shared" si="4"/>
        <v>6.7609726911406473E-2</v>
      </c>
    </row>
    <row r="280" spans="1:7">
      <c r="A280" t="s">
        <v>303</v>
      </c>
      <c r="B280">
        <v>2</v>
      </c>
      <c r="C280" t="s">
        <v>444</v>
      </c>
      <c r="D280">
        <v>3</v>
      </c>
      <c r="E280">
        <v>46798</v>
      </c>
      <c r="F280">
        <v>48962</v>
      </c>
      <c r="G280" s="1">
        <f t="shared" si="4"/>
        <v>1.0462412923629214</v>
      </c>
    </row>
    <row r="281" spans="1:7">
      <c r="A281" t="s">
        <v>113</v>
      </c>
      <c r="B281">
        <v>2</v>
      </c>
      <c r="C281" t="s">
        <v>64</v>
      </c>
      <c r="D281">
        <v>1</v>
      </c>
      <c r="E281">
        <v>2704</v>
      </c>
      <c r="F281">
        <v>790</v>
      </c>
      <c r="G281" s="1">
        <f t="shared" si="4"/>
        <v>0.29215976331360949</v>
      </c>
    </row>
    <row r="282" spans="1:7">
      <c r="A282" t="s">
        <v>113</v>
      </c>
      <c r="B282">
        <v>2</v>
      </c>
      <c r="C282" t="s">
        <v>129</v>
      </c>
      <c r="D282">
        <v>2</v>
      </c>
      <c r="E282">
        <v>2704</v>
      </c>
      <c r="F282">
        <v>810</v>
      </c>
      <c r="G282" s="1">
        <f t="shared" si="4"/>
        <v>0.29955621301775148</v>
      </c>
    </row>
    <row r="283" spans="1:7">
      <c r="A283" t="s">
        <v>113</v>
      </c>
      <c r="B283">
        <v>2</v>
      </c>
      <c r="C283" t="s">
        <v>118</v>
      </c>
      <c r="D283">
        <v>3</v>
      </c>
      <c r="E283">
        <v>2704</v>
      </c>
      <c r="F283">
        <v>844</v>
      </c>
      <c r="G283" s="1">
        <f t="shared" si="4"/>
        <v>0.31213017751479288</v>
      </c>
    </row>
    <row r="284" spans="1:7">
      <c r="A284" t="s">
        <v>113</v>
      </c>
      <c r="B284">
        <v>2</v>
      </c>
      <c r="C284" t="s">
        <v>116</v>
      </c>
      <c r="D284">
        <v>4</v>
      </c>
      <c r="E284">
        <v>2704</v>
      </c>
      <c r="F284">
        <v>895</v>
      </c>
      <c r="G284" s="1">
        <f t="shared" si="4"/>
        <v>0.33099112426035504</v>
      </c>
    </row>
    <row r="285" spans="1:7">
      <c r="A285" t="s">
        <v>113</v>
      </c>
      <c r="B285">
        <v>2</v>
      </c>
      <c r="C285" t="s">
        <v>114</v>
      </c>
      <c r="D285">
        <v>5</v>
      </c>
      <c r="E285">
        <v>2704</v>
      </c>
      <c r="F285">
        <v>953</v>
      </c>
      <c r="G285" s="1">
        <f t="shared" si="4"/>
        <v>0.35244082840236685</v>
      </c>
    </row>
    <row r="286" spans="1:7">
      <c r="A286" t="s">
        <v>113</v>
      </c>
      <c r="B286">
        <v>2</v>
      </c>
      <c r="C286" t="s">
        <v>115</v>
      </c>
      <c r="D286">
        <v>6</v>
      </c>
      <c r="E286">
        <v>2704</v>
      </c>
      <c r="F286">
        <v>997</v>
      </c>
      <c r="G286" s="1">
        <f t="shared" si="4"/>
        <v>0.3687130177514793</v>
      </c>
    </row>
    <row r="287" spans="1:7">
      <c r="A287" t="s">
        <v>113</v>
      </c>
      <c r="B287">
        <v>2</v>
      </c>
      <c r="C287" t="s">
        <v>117</v>
      </c>
      <c r="D287">
        <v>7</v>
      </c>
      <c r="E287">
        <v>2704</v>
      </c>
      <c r="F287">
        <v>1182</v>
      </c>
      <c r="G287" s="1">
        <f t="shared" si="4"/>
        <v>0.43713017751479288</v>
      </c>
    </row>
    <row r="288" spans="1:7">
      <c r="A288" t="s">
        <v>113</v>
      </c>
      <c r="B288">
        <v>2</v>
      </c>
      <c r="C288" t="s">
        <v>119</v>
      </c>
      <c r="D288">
        <v>8</v>
      </c>
      <c r="E288">
        <v>2704</v>
      </c>
      <c r="F288">
        <v>1269</v>
      </c>
      <c r="G288" s="1">
        <f t="shared" si="4"/>
        <v>0.46930473372781067</v>
      </c>
    </row>
    <row r="289" spans="1:7">
      <c r="A289" t="s">
        <v>113</v>
      </c>
      <c r="B289">
        <v>3</v>
      </c>
      <c r="C289" t="s">
        <v>70</v>
      </c>
      <c r="D289">
        <v>1</v>
      </c>
      <c r="E289">
        <v>7963</v>
      </c>
      <c r="F289">
        <v>582</v>
      </c>
      <c r="G289" s="1">
        <f t="shared" si="4"/>
        <v>7.3088032148687684E-2</v>
      </c>
    </row>
    <row r="290" spans="1:7">
      <c r="A290" t="s">
        <v>113</v>
      </c>
      <c r="B290">
        <v>3</v>
      </c>
      <c r="C290" t="s">
        <v>120</v>
      </c>
      <c r="D290">
        <v>2</v>
      </c>
      <c r="E290">
        <v>7963</v>
      </c>
      <c r="F290">
        <v>1045</v>
      </c>
      <c r="G290" s="1">
        <f t="shared" si="4"/>
        <v>0.13123194775838251</v>
      </c>
    </row>
    <row r="291" spans="1:7">
      <c r="A291" t="s">
        <v>113</v>
      </c>
      <c r="B291">
        <v>3</v>
      </c>
      <c r="C291" t="s">
        <v>122</v>
      </c>
      <c r="D291">
        <v>3</v>
      </c>
      <c r="E291">
        <v>7963</v>
      </c>
      <c r="F291">
        <v>1766</v>
      </c>
      <c r="G291" s="1">
        <f t="shared" si="4"/>
        <v>0.22177571267110385</v>
      </c>
    </row>
    <row r="292" spans="1:7">
      <c r="A292" t="s">
        <v>113</v>
      </c>
      <c r="B292">
        <v>3</v>
      </c>
      <c r="C292" t="s">
        <v>123</v>
      </c>
      <c r="D292">
        <v>4</v>
      </c>
      <c r="E292">
        <v>7963</v>
      </c>
      <c r="F292">
        <v>1834</v>
      </c>
      <c r="G292" s="1">
        <f t="shared" si="4"/>
        <v>0.23031520783624262</v>
      </c>
    </row>
    <row r="293" spans="1:7">
      <c r="A293" t="s">
        <v>113</v>
      </c>
      <c r="B293">
        <v>3</v>
      </c>
      <c r="C293" t="s">
        <v>124</v>
      </c>
      <c r="D293">
        <v>5</v>
      </c>
      <c r="E293">
        <v>7963</v>
      </c>
      <c r="F293">
        <v>2611</v>
      </c>
      <c r="G293" s="1">
        <f t="shared" si="4"/>
        <v>0.32789149817907826</v>
      </c>
    </row>
    <row r="294" spans="1:7">
      <c r="A294" t="s">
        <v>113</v>
      </c>
      <c r="B294">
        <v>3</v>
      </c>
      <c r="C294" t="s">
        <v>121</v>
      </c>
      <c r="D294">
        <v>6</v>
      </c>
      <c r="E294">
        <v>7963</v>
      </c>
      <c r="F294">
        <v>4396</v>
      </c>
      <c r="G294" s="1">
        <f t="shared" si="4"/>
        <v>0.5520532462639709</v>
      </c>
    </row>
    <row r="295" spans="1:7">
      <c r="A295" t="s">
        <v>113</v>
      </c>
      <c r="B295">
        <v>4</v>
      </c>
      <c r="C295" t="s">
        <v>70</v>
      </c>
      <c r="D295">
        <v>1</v>
      </c>
      <c r="E295">
        <v>21804</v>
      </c>
      <c r="F295">
        <v>614</v>
      </c>
      <c r="G295" s="1">
        <f t="shared" si="4"/>
        <v>2.8159970647587598E-2</v>
      </c>
    </row>
    <row r="296" spans="1:7">
      <c r="A296" t="s">
        <v>113</v>
      </c>
      <c r="B296">
        <v>4</v>
      </c>
      <c r="C296" t="s">
        <v>125</v>
      </c>
      <c r="D296">
        <v>2</v>
      </c>
      <c r="E296">
        <v>21804</v>
      </c>
      <c r="F296">
        <v>1117</v>
      </c>
      <c r="G296" s="1">
        <f t="shared" si="4"/>
        <v>5.1229132269308385E-2</v>
      </c>
    </row>
    <row r="297" spans="1:7">
      <c r="A297" t="s">
        <v>113</v>
      </c>
      <c r="B297">
        <v>4</v>
      </c>
      <c r="C297" t="s">
        <v>123</v>
      </c>
      <c r="D297">
        <v>3</v>
      </c>
      <c r="E297">
        <v>21804</v>
      </c>
      <c r="F297">
        <v>1828</v>
      </c>
      <c r="G297" s="1">
        <f t="shared" si="4"/>
        <v>8.3837827921482297E-2</v>
      </c>
    </row>
    <row r="298" spans="1:7">
      <c r="A298" t="s">
        <v>113</v>
      </c>
      <c r="B298">
        <v>4</v>
      </c>
      <c r="C298" t="s">
        <v>122</v>
      </c>
      <c r="D298">
        <v>4</v>
      </c>
      <c r="E298">
        <v>21804</v>
      </c>
      <c r="F298">
        <v>1858</v>
      </c>
      <c r="G298" s="1">
        <f t="shared" si="4"/>
        <v>8.521372225279765E-2</v>
      </c>
    </row>
    <row r="299" spans="1:7">
      <c r="A299" t="s">
        <v>113</v>
      </c>
      <c r="B299">
        <v>4</v>
      </c>
      <c r="C299" t="s">
        <v>124</v>
      </c>
      <c r="D299">
        <v>5</v>
      </c>
      <c r="E299">
        <v>21804</v>
      </c>
      <c r="F299">
        <v>2703</v>
      </c>
      <c r="G299" s="1">
        <f t="shared" si="4"/>
        <v>0.12396807925151349</v>
      </c>
    </row>
    <row r="300" spans="1:7">
      <c r="A300" t="s">
        <v>113</v>
      </c>
      <c r="B300">
        <v>4</v>
      </c>
      <c r="C300" t="s">
        <v>121</v>
      </c>
      <c r="D300">
        <v>6</v>
      </c>
      <c r="E300">
        <v>21804</v>
      </c>
      <c r="F300">
        <v>4539</v>
      </c>
      <c r="G300" s="1">
        <f t="shared" si="4"/>
        <v>0.20817281232801321</v>
      </c>
    </row>
    <row r="301" spans="1:7">
      <c r="A301" t="s">
        <v>113</v>
      </c>
      <c r="B301">
        <v>4</v>
      </c>
      <c r="C301" t="s">
        <v>126</v>
      </c>
      <c r="D301">
        <v>7</v>
      </c>
      <c r="E301">
        <v>21804</v>
      </c>
      <c r="F301">
        <v>5155</v>
      </c>
      <c r="G301" s="1">
        <f t="shared" si="4"/>
        <v>0.23642450926435515</v>
      </c>
    </row>
    <row r="302" spans="1:7">
      <c r="A302" t="s">
        <v>113</v>
      </c>
      <c r="B302">
        <v>4</v>
      </c>
      <c r="C302" t="s">
        <v>127</v>
      </c>
      <c r="D302">
        <v>8</v>
      </c>
      <c r="E302">
        <v>21804</v>
      </c>
      <c r="F302">
        <v>5581</v>
      </c>
      <c r="G302" s="1">
        <f t="shared" si="4"/>
        <v>0.25596220876903319</v>
      </c>
    </row>
    <row r="303" spans="1:7">
      <c r="A303" t="s">
        <v>113</v>
      </c>
      <c r="B303">
        <v>4</v>
      </c>
      <c r="C303" t="s">
        <v>128</v>
      </c>
      <c r="D303">
        <v>9</v>
      </c>
      <c r="E303">
        <v>21804</v>
      </c>
      <c r="F303">
        <v>6144</v>
      </c>
      <c r="G303" s="1">
        <f t="shared" si="4"/>
        <v>0.28178315905338469</v>
      </c>
    </row>
    <row r="304" spans="1:7">
      <c r="A304" t="s">
        <v>113</v>
      </c>
      <c r="B304">
        <v>6</v>
      </c>
      <c r="C304" t="s">
        <v>70</v>
      </c>
      <c r="D304">
        <v>1</v>
      </c>
      <c r="E304">
        <v>723</v>
      </c>
      <c r="F304">
        <v>526</v>
      </c>
      <c r="G304" s="1">
        <f t="shared" si="4"/>
        <v>0.72752420470262791</v>
      </c>
    </row>
    <row r="305" spans="1:7">
      <c r="A305" t="s">
        <v>113</v>
      </c>
      <c r="B305">
        <v>6</v>
      </c>
      <c r="C305" t="s">
        <v>69</v>
      </c>
      <c r="D305">
        <v>2</v>
      </c>
      <c r="E305">
        <v>723</v>
      </c>
      <c r="F305">
        <v>2721</v>
      </c>
      <c r="G305" s="1">
        <f t="shared" si="4"/>
        <v>3.7634854771784232</v>
      </c>
    </row>
    <row r="306" spans="1:7">
      <c r="A306" t="s">
        <v>113</v>
      </c>
      <c r="B306">
        <v>7</v>
      </c>
      <c r="C306" t="s">
        <v>114</v>
      </c>
      <c r="D306">
        <v>1</v>
      </c>
      <c r="E306">
        <v>2509</v>
      </c>
      <c r="F306">
        <v>763</v>
      </c>
      <c r="G306" s="1">
        <f t="shared" si="4"/>
        <v>0.30410522120366679</v>
      </c>
    </row>
    <row r="307" spans="1:7">
      <c r="A307" t="s">
        <v>113</v>
      </c>
      <c r="B307">
        <v>7</v>
      </c>
      <c r="C307" t="s">
        <v>130</v>
      </c>
      <c r="D307">
        <v>2</v>
      </c>
      <c r="E307">
        <v>2509</v>
      </c>
      <c r="F307">
        <v>786</v>
      </c>
      <c r="G307" s="1">
        <f t="shared" si="4"/>
        <v>0.31327222000797128</v>
      </c>
    </row>
    <row r="308" spans="1:7">
      <c r="A308" t="s">
        <v>113</v>
      </c>
      <c r="B308">
        <v>7</v>
      </c>
      <c r="C308" t="s">
        <v>129</v>
      </c>
      <c r="D308">
        <v>3</v>
      </c>
      <c r="E308">
        <v>2509</v>
      </c>
      <c r="F308">
        <v>808</v>
      </c>
      <c r="G308" s="1">
        <f t="shared" si="4"/>
        <v>0.32204065364687129</v>
      </c>
    </row>
    <row r="309" spans="1:7">
      <c r="A309" t="s">
        <v>113</v>
      </c>
      <c r="B309">
        <v>7</v>
      </c>
      <c r="C309" t="s">
        <v>132</v>
      </c>
      <c r="D309">
        <v>4</v>
      </c>
      <c r="E309">
        <v>2509</v>
      </c>
      <c r="F309">
        <v>818</v>
      </c>
      <c r="G309" s="1">
        <f t="shared" si="4"/>
        <v>0.3260263053009167</v>
      </c>
    </row>
    <row r="310" spans="1:7">
      <c r="A310" t="s">
        <v>113</v>
      </c>
      <c r="B310">
        <v>7</v>
      </c>
      <c r="C310" t="s">
        <v>118</v>
      </c>
      <c r="D310">
        <v>5</v>
      </c>
      <c r="E310">
        <v>2509</v>
      </c>
      <c r="F310">
        <v>845</v>
      </c>
      <c r="G310" s="1">
        <f t="shared" si="4"/>
        <v>0.33678756476683935</v>
      </c>
    </row>
    <row r="311" spans="1:7">
      <c r="A311" t="s">
        <v>113</v>
      </c>
      <c r="B311">
        <v>7</v>
      </c>
      <c r="C311" t="s">
        <v>131</v>
      </c>
      <c r="D311">
        <v>6</v>
      </c>
      <c r="E311">
        <v>2509</v>
      </c>
      <c r="F311">
        <v>847</v>
      </c>
      <c r="G311" s="1">
        <f t="shared" si="4"/>
        <v>0.33758469509764849</v>
      </c>
    </row>
    <row r="312" spans="1:7">
      <c r="A312" t="s">
        <v>113</v>
      </c>
      <c r="B312">
        <v>7</v>
      </c>
      <c r="C312" t="s">
        <v>133</v>
      </c>
      <c r="D312">
        <v>7</v>
      </c>
      <c r="E312">
        <v>2509</v>
      </c>
      <c r="F312">
        <v>901</v>
      </c>
      <c r="G312" s="1">
        <f t="shared" si="4"/>
        <v>0.3591072140294938</v>
      </c>
    </row>
    <row r="313" spans="1:7">
      <c r="A313" t="s">
        <v>113</v>
      </c>
      <c r="B313">
        <v>7</v>
      </c>
      <c r="C313" t="s">
        <v>115</v>
      </c>
      <c r="D313">
        <v>8</v>
      </c>
      <c r="E313">
        <v>2509</v>
      </c>
      <c r="F313">
        <v>920</v>
      </c>
      <c r="G313" s="1">
        <f t="shared" si="4"/>
        <v>0.36667995217218013</v>
      </c>
    </row>
    <row r="314" spans="1:7">
      <c r="A314" t="s">
        <v>113</v>
      </c>
      <c r="B314">
        <v>7</v>
      </c>
      <c r="C314" t="s">
        <v>117</v>
      </c>
      <c r="D314">
        <v>9</v>
      </c>
      <c r="E314">
        <v>2509</v>
      </c>
      <c r="F314">
        <v>1053</v>
      </c>
      <c r="G314" s="1">
        <f t="shared" si="4"/>
        <v>0.41968911917098445</v>
      </c>
    </row>
    <row r="315" spans="1:7">
      <c r="A315" t="s">
        <v>113</v>
      </c>
      <c r="B315">
        <v>7</v>
      </c>
      <c r="C315" t="s">
        <v>119</v>
      </c>
      <c r="D315">
        <v>10</v>
      </c>
      <c r="E315">
        <v>2509</v>
      </c>
      <c r="F315">
        <v>1177</v>
      </c>
      <c r="G315" s="1">
        <f t="shared" si="4"/>
        <v>0.46911119968114789</v>
      </c>
    </row>
    <row r="316" spans="1:7">
      <c r="A316" t="s">
        <v>113</v>
      </c>
      <c r="B316">
        <v>8</v>
      </c>
      <c r="C316" t="s">
        <v>70</v>
      </c>
      <c r="D316">
        <v>1</v>
      </c>
      <c r="E316">
        <v>7972</v>
      </c>
      <c r="F316">
        <v>591</v>
      </c>
      <c r="G316" s="1">
        <f t="shared" si="4"/>
        <v>7.413447064726543E-2</v>
      </c>
    </row>
    <row r="317" spans="1:7">
      <c r="A317" t="s">
        <v>113</v>
      </c>
      <c r="B317">
        <v>8</v>
      </c>
      <c r="C317" t="s">
        <v>134</v>
      </c>
      <c r="D317">
        <v>2</v>
      </c>
      <c r="E317">
        <v>7972</v>
      </c>
      <c r="F317">
        <v>898</v>
      </c>
      <c r="G317" s="1">
        <f t="shared" si="4"/>
        <v>0.11264425489212243</v>
      </c>
    </row>
    <row r="318" spans="1:7">
      <c r="A318" t="s">
        <v>113</v>
      </c>
      <c r="B318">
        <v>8</v>
      </c>
      <c r="C318" t="s">
        <v>123</v>
      </c>
      <c r="D318">
        <v>3</v>
      </c>
      <c r="E318">
        <v>7972</v>
      </c>
      <c r="F318">
        <v>1694</v>
      </c>
      <c r="G318" s="1">
        <f t="shared" si="4"/>
        <v>0.2124937280481686</v>
      </c>
    </row>
    <row r="319" spans="1:7">
      <c r="A319" t="s">
        <v>113</v>
      </c>
      <c r="B319">
        <v>8</v>
      </c>
      <c r="C319" t="s">
        <v>136</v>
      </c>
      <c r="D319">
        <v>4</v>
      </c>
      <c r="E319">
        <v>7972</v>
      </c>
      <c r="F319">
        <v>2080</v>
      </c>
      <c r="G319" s="1">
        <f t="shared" si="4"/>
        <v>0.26091319618665326</v>
      </c>
    </row>
    <row r="320" spans="1:7">
      <c r="A320" t="s">
        <v>113</v>
      </c>
      <c r="B320">
        <v>8</v>
      </c>
      <c r="C320" t="s">
        <v>137</v>
      </c>
      <c r="D320">
        <v>5</v>
      </c>
      <c r="E320">
        <v>7972</v>
      </c>
      <c r="F320">
        <v>2557</v>
      </c>
      <c r="G320" s="1">
        <f t="shared" si="4"/>
        <v>0.32074761665830409</v>
      </c>
    </row>
    <row r="321" spans="1:7">
      <c r="A321" t="s">
        <v>113</v>
      </c>
      <c r="B321">
        <v>8</v>
      </c>
      <c r="C321" t="s">
        <v>135</v>
      </c>
      <c r="D321">
        <v>6</v>
      </c>
      <c r="E321">
        <v>7972</v>
      </c>
      <c r="F321">
        <v>4570</v>
      </c>
      <c r="G321" s="1">
        <f t="shared" si="4"/>
        <v>0.57325639739086809</v>
      </c>
    </row>
    <row r="322" spans="1:7">
      <c r="A322" t="s">
        <v>113</v>
      </c>
      <c r="B322">
        <v>9</v>
      </c>
      <c r="C322" t="s">
        <v>70</v>
      </c>
      <c r="D322">
        <v>1</v>
      </c>
      <c r="E322">
        <v>26604</v>
      </c>
      <c r="F322">
        <v>654</v>
      </c>
      <c r="G322" s="1">
        <f t="shared" ref="G322:G385" si="5">F322/E322</f>
        <v>2.458276950834461E-2</v>
      </c>
    </row>
    <row r="323" spans="1:7">
      <c r="A323" t="s">
        <v>113</v>
      </c>
      <c r="B323">
        <v>9</v>
      </c>
      <c r="C323" t="s">
        <v>138</v>
      </c>
      <c r="D323">
        <v>2</v>
      </c>
      <c r="E323">
        <v>26604</v>
      </c>
      <c r="F323">
        <v>1139</v>
      </c>
      <c r="G323" s="1">
        <f t="shared" si="5"/>
        <v>4.2813110810404453E-2</v>
      </c>
    </row>
    <row r="324" spans="1:7">
      <c r="A324" t="s">
        <v>113</v>
      </c>
      <c r="B324">
        <v>9</v>
      </c>
      <c r="C324" t="s">
        <v>123</v>
      </c>
      <c r="D324">
        <v>3</v>
      </c>
      <c r="E324">
        <v>26604</v>
      </c>
      <c r="F324">
        <v>1748</v>
      </c>
      <c r="G324" s="1">
        <f t="shared" si="5"/>
        <v>6.5704405352578557E-2</v>
      </c>
    </row>
    <row r="325" spans="1:7">
      <c r="A325" t="s">
        <v>113</v>
      </c>
      <c r="B325">
        <v>9</v>
      </c>
      <c r="C325" t="s">
        <v>136</v>
      </c>
      <c r="D325">
        <v>4</v>
      </c>
      <c r="E325">
        <v>26604</v>
      </c>
      <c r="F325">
        <v>2004</v>
      </c>
      <c r="G325" s="1">
        <f t="shared" si="5"/>
        <v>7.532701849345963E-2</v>
      </c>
    </row>
    <row r="326" spans="1:7">
      <c r="A326" t="s">
        <v>113</v>
      </c>
      <c r="B326">
        <v>9</v>
      </c>
      <c r="C326" t="s">
        <v>137</v>
      </c>
      <c r="D326">
        <v>5</v>
      </c>
      <c r="E326">
        <v>26604</v>
      </c>
      <c r="F326">
        <v>2550</v>
      </c>
      <c r="G326" s="1">
        <f t="shared" si="5"/>
        <v>9.585024808299504E-2</v>
      </c>
    </row>
    <row r="327" spans="1:7">
      <c r="A327" t="s">
        <v>113</v>
      </c>
      <c r="B327">
        <v>9</v>
      </c>
      <c r="C327" t="s">
        <v>135</v>
      </c>
      <c r="D327">
        <v>6</v>
      </c>
      <c r="E327">
        <v>26604</v>
      </c>
      <c r="F327">
        <v>4657</v>
      </c>
      <c r="G327" s="1">
        <f t="shared" si="5"/>
        <v>0.17504886483235604</v>
      </c>
    </row>
    <row r="328" spans="1:7">
      <c r="A328" t="s">
        <v>113</v>
      </c>
      <c r="B328">
        <v>9</v>
      </c>
      <c r="C328" t="s">
        <v>139</v>
      </c>
      <c r="D328">
        <v>7</v>
      </c>
      <c r="E328">
        <v>26604</v>
      </c>
      <c r="F328">
        <v>5125</v>
      </c>
      <c r="G328" s="1">
        <f t="shared" si="5"/>
        <v>0.19264020448052924</v>
      </c>
    </row>
    <row r="329" spans="1:7">
      <c r="A329" t="s">
        <v>113</v>
      </c>
      <c r="B329">
        <v>9</v>
      </c>
      <c r="C329" t="s">
        <v>141</v>
      </c>
      <c r="D329">
        <v>8</v>
      </c>
      <c r="E329">
        <v>26604</v>
      </c>
      <c r="F329">
        <v>5616</v>
      </c>
      <c r="G329" s="1">
        <f t="shared" si="5"/>
        <v>0.21109607577807848</v>
      </c>
    </row>
    <row r="330" spans="1:7">
      <c r="A330" t="s">
        <v>113</v>
      </c>
      <c r="B330">
        <v>9</v>
      </c>
      <c r="C330" t="s">
        <v>140</v>
      </c>
      <c r="D330">
        <v>9</v>
      </c>
      <c r="E330">
        <v>26604</v>
      </c>
      <c r="F330">
        <v>6162</v>
      </c>
      <c r="G330" s="1">
        <f t="shared" si="5"/>
        <v>0.23161930536761388</v>
      </c>
    </row>
    <row r="331" spans="1:7">
      <c r="A331" t="s">
        <v>113</v>
      </c>
      <c r="B331">
        <v>11</v>
      </c>
      <c r="C331" t="s">
        <v>33</v>
      </c>
      <c r="D331">
        <v>1</v>
      </c>
      <c r="E331">
        <v>5528</v>
      </c>
      <c r="F331">
        <v>289</v>
      </c>
      <c r="G331" s="1">
        <f t="shared" si="5"/>
        <v>5.227930535455861E-2</v>
      </c>
    </row>
    <row r="332" spans="1:7">
      <c r="A332" t="s">
        <v>113</v>
      </c>
      <c r="B332">
        <v>11</v>
      </c>
      <c r="C332" t="s">
        <v>19</v>
      </c>
      <c r="D332">
        <v>2</v>
      </c>
      <c r="E332">
        <v>5528</v>
      </c>
      <c r="F332">
        <v>5696</v>
      </c>
      <c r="G332" s="1">
        <f t="shared" si="5"/>
        <v>1.0303907380607815</v>
      </c>
    </row>
    <row r="333" spans="1:7">
      <c r="A333" t="s">
        <v>113</v>
      </c>
      <c r="B333">
        <v>13</v>
      </c>
      <c r="C333" t="s">
        <v>19</v>
      </c>
      <c r="D333">
        <v>1</v>
      </c>
      <c r="E333">
        <v>19389</v>
      </c>
      <c r="F333">
        <v>1384</v>
      </c>
      <c r="G333" s="1">
        <f t="shared" si="5"/>
        <v>7.1380679766878133E-2</v>
      </c>
    </row>
    <row r="334" spans="1:7">
      <c r="A334" t="s">
        <v>113</v>
      </c>
      <c r="B334">
        <v>13</v>
      </c>
      <c r="C334" t="s">
        <v>142</v>
      </c>
      <c r="D334">
        <v>2</v>
      </c>
      <c r="E334">
        <v>19389</v>
      </c>
      <c r="F334">
        <v>1496</v>
      </c>
      <c r="G334" s="1">
        <f t="shared" si="5"/>
        <v>7.7157150961885607E-2</v>
      </c>
    </row>
    <row r="335" spans="1:7">
      <c r="A335" t="s">
        <v>113</v>
      </c>
      <c r="B335">
        <v>13</v>
      </c>
      <c r="C335" t="s">
        <v>1</v>
      </c>
      <c r="D335">
        <v>3</v>
      </c>
      <c r="E335">
        <v>19389</v>
      </c>
      <c r="F335">
        <v>1582</v>
      </c>
      <c r="G335" s="1">
        <f t="shared" si="5"/>
        <v>8.1592655629480634E-2</v>
      </c>
    </row>
    <row r="336" spans="1:7">
      <c r="A336" t="s">
        <v>113</v>
      </c>
      <c r="B336">
        <v>13</v>
      </c>
      <c r="C336" t="s">
        <v>22</v>
      </c>
      <c r="D336">
        <v>4</v>
      </c>
      <c r="E336">
        <v>19389</v>
      </c>
      <c r="F336">
        <v>20439</v>
      </c>
      <c r="G336" s="1">
        <f t="shared" si="5"/>
        <v>1.0541544174531952</v>
      </c>
    </row>
    <row r="337" spans="1:7">
      <c r="A337" t="s">
        <v>113</v>
      </c>
      <c r="B337">
        <v>14</v>
      </c>
      <c r="C337" t="s">
        <v>19</v>
      </c>
      <c r="D337">
        <v>1</v>
      </c>
      <c r="E337">
        <v>50300</v>
      </c>
      <c r="F337">
        <v>2166</v>
      </c>
      <c r="G337" s="1">
        <f t="shared" si="5"/>
        <v>4.306163021868787E-2</v>
      </c>
    </row>
    <row r="338" spans="1:7">
      <c r="A338" t="s">
        <v>113</v>
      </c>
      <c r="B338">
        <v>14</v>
      </c>
      <c r="C338" t="s">
        <v>142</v>
      </c>
      <c r="D338">
        <v>2</v>
      </c>
      <c r="E338">
        <v>50300</v>
      </c>
      <c r="F338">
        <v>2356</v>
      </c>
      <c r="G338" s="1">
        <f t="shared" si="5"/>
        <v>4.68389662027833E-2</v>
      </c>
    </row>
    <row r="339" spans="1:7">
      <c r="A339" t="s">
        <v>113</v>
      </c>
      <c r="B339">
        <v>14</v>
      </c>
      <c r="C339" t="s">
        <v>1</v>
      </c>
      <c r="D339">
        <v>3</v>
      </c>
      <c r="E339">
        <v>50300</v>
      </c>
      <c r="F339">
        <v>2379</v>
      </c>
      <c r="G339" s="1">
        <f t="shared" si="5"/>
        <v>4.7296222664015904E-2</v>
      </c>
    </row>
    <row r="340" spans="1:7">
      <c r="A340" t="s">
        <v>113</v>
      </c>
      <c r="B340">
        <v>14</v>
      </c>
      <c r="C340" t="s">
        <v>445</v>
      </c>
      <c r="D340">
        <v>4</v>
      </c>
      <c r="E340">
        <v>50300</v>
      </c>
      <c r="F340">
        <v>24757</v>
      </c>
      <c r="G340" s="1">
        <f t="shared" si="5"/>
        <v>0.49218687872763417</v>
      </c>
    </row>
    <row r="341" spans="1:7">
      <c r="A341" t="s">
        <v>113</v>
      </c>
      <c r="B341">
        <v>14</v>
      </c>
      <c r="C341" t="s">
        <v>448</v>
      </c>
      <c r="D341">
        <v>5</v>
      </c>
      <c r="E341">
        <v>50300</v>
      </c>
      <c r="F341">
        <v>28646</v>
      </c>
      <c r="G341" s="1">
        <f t="shared" si="5"/>
        <v>0.56950298210735584</v>
      </c>
    </row>
    <row r="342" spans="1:7">
      <c r="A342" t="s">
        <v>113</v>
      </c>
      <c r="B342">
        <v>14</v>
      </c>
      <c r="C342" t="s">
        <v>446</v>
      </c>
      <c r="D342">
        <v>6</v>
      </c>
      <c r="E342">
        <v>50300</v>
      </c>
      <c r="F342">
        <v>30563</v>
      </c>
      <c r="G342" s="1">
        <f t="shared" si="5"/>
        <v>0.6076143141153082</v>
      </c>
    </row>
    <row r="343" spans="1:7">
      <c r="A343" t="s">
        <v>113</v>
      </c>
      <c r="B343">
        <v>14</v>
      </c>
      <c r="C343" t="s">
        <v>447</v>
      </c>
      <c r="D343">
        <v>7</v>
      </c>
      <c r="E343">
        <v>50300</v>
      </c>
      <c r="F343">
        <v>31305</v>
      </c>
      <c r="G343" s="1">
        <f t="shared" si="5"/>
        <v>0.6223658051689861</v>
      </c>
    </row>
    <row r="344" spans="1:7">
      <c r="A344" t="s">
        <v>113</v>
      </c>
      <c r="B344">
        <v>14</v>
      </c>
      <c r="C344" t="s">
        <v>143</v>
      </c>
      <c r="D344">
        <v>8</v>
      </c>
      <c r="E344">
        <v>50300</v>
      </c>
      <c r="F344">
        <v>40808</v>
      </c>
      <c r="G344" s="1">
        <f t="shared" si="5"/>
        <v>0.81129224652087473</v>
      </c>
    </row>
    <row r="345" spans="1:7">
      <c r="A345" t="s">
        <v>113</v>
      </c>
      <c r="B345">
        <v>14</v>
      </c>
      <c r="C345" t="s">
        <v>144</v>
      </c>
      <c r="D345">
        <v>9</v>
      </c>
      <c r="E345">
        <v>50300</v>
      </c>
      <c r="F345">
        <v>48094</v>
      </c>
      <c r="G345" s="1">
        <f t="shared" si="5"/>
        <v>0.95614314115308152</v>
      </c>
    </row>
    <row r="346" spans="1:7">
      <c r="A346" t="s">
        <v>113</v>
      </c>
      <c r="B346">
        <v>15</v>
      </c>
      <c r="C346" t="s">
        <v>19</v>
      </c>
      <c r="D346">
        <v>1</v>
      </c>
      <c r="E346">
        <v>15971</v>
      </c>
      <c r="F346">
        <v>832</v>
      </c>
      <c r="G346" s="1">
        <f t="shared" si="5"/>
        <v>5.2094421138313196E-2</v>
      </c>
    </row>
    <row r="347" spans="1:7">
      <c r="A347" t="s">
        <v>113</v>
      </c>
      <c r="B347">
        <v>15</v>
      </c>
      <c r="C347" t="s">
        <v>1</v>
      </c>
      <c r="D347">
        <v>2</v>
      </c>
      <c r="E347">
        <v>15971</v>
      </c>
      <c r="F347">
        <v>957</v>
      </c>
      <c r="G347" s="1">
        <f t="shared" si="5"/>
        <v>5.992110700644919E-2</v>
      </c>
    </row>
    <row r="348" spans="1:7">
      <c r="A348" t="s">
        <v>113</v>
      </c>
      <c r="B348">
        <v>15</v>
      </c>
      <c r="C348" t="s">
        <v>142</v>
      </c>
      <c r="D348">
        <v>3</v>
      </c>
      <c r="E348">
        <v>15971</v>
      </c>
      <c r="F348">
        <v>1075</v>
      </c>
      <c r="G348" s="1">
        <f t="shared" si="5"/>
        <v>6.7309498465969564E-2</v>
      </c>
    </row>
    <row r="349" spans="1:7">
      <c r="A349" t="s">
        <v>113</v>
      </c>
      <c r="B349">
        <v>15</v>
      </c>
      <c r="C349" t="s">
        <v>22</v>
      </c>
      <c r="D349">
        <v>4</v>
      </c>
      <c r="E349">
        <v>15971</v>
      </c>
      <c r="F349">
        <v>14483</v>
      </c>
      <c r="G349" s="1">
        <f t="shared" si="5"/>
        <v>0.90683113142570915</v>
      </c>
    </row>
    <row r="350" spans="1:7">
      <c r="A350" t="s">
        <v>113</v>
      </c>
      <c r="B350">
        <v>16</v>
      </c>
      <c r="C350" t="s">
        <v>19</v>
      </c>
      <c r="D350">
        <v>1</v>
      </c>
      <c r="E350">
        <v>25908</v>
      </c>
      <c r="F350">
        <v>1109</v>
      </c>
      <c r="G350" s="1">
        <f t="shared" si="5"/>
        <v>4.2805311100818283E-2</v>
      </c>
    </row>
    <row r="351" spans="1:7">
      <c r="A351" t="s">
        <v>113</v>
      </c>
      <c r="B351">
        <v>16</v>
      </c>
      <c r="C351" t="s">
        <v>1</v>
      </c>
      <c r="D351">
        <v>2</v>
      </c>
      <c r="E351">
        <v>25908</v>
      </c>
      <c r="F351">
        <v>1120</v>
      </c>
      <c r="G351" s="1">
        <f t="shared" si="5"/>
        <v>4.322989038134939E-2</v>
      </c>
    </row>
    <row r="352" spans="1:7">
      <c r="A352" t="s">
        <v>113</v>
      </c>
      <c r="B352">
        <v>16</v>
      </c>
      <c r="C352" t="s">
        <v>142</v>
      </c>
      <c r="D352">
        <v>3</v>
      </c>
      <c r="E352">
        <v>25908</v>
      </c>
      <c r="F352">
        <v>1398</v>
      </c>
      <c r="G352" s="1">
        <f t="shared" si="5"/>
        <v>5.3960166743862899E-2</v>
      </c>
    </row>
    <row r="353" spans="1:7">
      <c r="A353" t="s">
        <v>113</v>
      </c>
      <c r="B353">
        <v>16</v>
      </c>
      <c r="C353" t="s">
        <v>22</v>
      </c>
      <c r="D353">
        <v>4</v>
      </c>
      <c r="E353">
        <v>25908</v>
      </c>
      <c r="F353">
        <v>28224</v>
      </c>
      <c r="G353" s="1">
        <f t="shared" si="5"/>
        <v>1.0893932376100046</v>
      </c>
    </row>
    <row r="354" spans="1:7">
      <c r="A354" t="s">
        <v>113</v>
      </c>
      <c r="B354">
        <v>20</v>
      </c>
      <c r="C354" t="s">
        <v>33</v>
      </c>
      <c r="D354">
        <v>1</v>
      </c>
      <c r="E354">
        <v>2855</v>
      </c>
      <c r="F354">
        <v>1613</v>
      </c>
      <c r="G354" s="1">
        <f t="shared" si="5"/>
        <v>0.56497373029772324</v>
      </c>
    </row>
    <row r="355" spans="1:7">
      <c r="A355" t="s">
        <v>113</v>
      </c>
      <c r="B355">
        <v>20</v>
      </c>
      <c r="C355" t="s">
        <v>19</v>
      </c>
      <c r="D355">
        <v>2</v>
      </c>
      <c r="E355">
        <v>2855</v>
      </c>
      <c r="F355">
        <v>1682</v>
      </c>
      <c r="G355" s="1">
        <f t="shared" si="5"/>
        <v>0.58914185639229422</v>
      </c>
    </row>
    <row r="356" spans="1:7">
      <c r="A356" t="s">
        <v>113</v>
      </c>
      <c r="B356">
        <v>21</v>
      </c>
      <c r="C356" t="s">
        <v>19</v>
      </c>
      <c r="D356">
        <v>1</v>
      </c>
      <c r="E356">
        <v>11603</v>
      </c>
      <c r="F356">
        <v>6000</v>
      </c>
      <c r="G356" s="1">
        <f t="shared" si="5"/>
        <v>0.51710764457467895</v>
      </c>
    </row>
    <row r="357" spans="1:7">
      <c r="A357" t="s">
        <v>113</v>
      </c>
      <c r="B357">
        <v>21</v>
      </c>
      <c r="C357" t="s">
        <v>33</v>
      </c>
      <c r="D357">
        <v>2</v>
      </c>
      <c r="E357">
        <v>11603</v>
      </c>
      <c r="F357">
        <v>6023</v>
      </c>
      <c r="G357" s="1">
        <f t="shared" si="5"/>
        <v>0.51908989054554855</v>
      </c>
    </row>
    <row r="358" spans="1:7">
      <c r="A358" t="s">
        <v>145</v>
      </c>
      <c r="B358">
        <v>0</v>
      </c>
      <c r="C358" t="s">
        <v>33</v>
      </c>
      <c r="D358">
        <v>1</v>
      </c>
      <c r="E358">
        <v>181</v>
      </c>
      <c r="F358">
        <v>73</v>
      </c>
      <c r="G358" s="1">
        <f t="shared" si="5"/>
        <v>0.40331491712707185</v>
      </c>
    </row>
    <row r="359" spans="1:7">
      <c r="A359" t="s">
        <v>145</v>
      </c>
      <c r="B359">
        <v>0</v>
      </c>
      <c r="C359" t="s">
        <v>147</v>
      </c>
      <c r="D359">
        <v>2</v>
      </c>
      <c r="E359">
        <v>181</v>
      </c>
      <c r="F359">
        <v>137</v>
      </c>
      <c r="G359" s="1">
        <f t="shared" si="5"/>
        <v>0.75690607734806625</v>
      </c>
    </row>
    <row r="360" spans="1:7">
      <c r="A360" t="s">
        <v>145</v>
      </c>
      <c r="B360">
        <v>0</v>
      </c>
      <c r="C360" t="s">
        <v>192</v>
      </c>
      <c r="D360">
        <v>3</v>
      </c>
      <c r="E360">
        <v>181</v>
      </c>
      <c r="F360">
        <v>178</v>
      </c>
      <c r="G360" s="1">
        <f t="shared" si="5"/>
        <v>0.98342541436464093</v>
      </c>
    </row>
    <row r="361" spans="1:7">
      <c r="A361" t="s">
        <v>145</v>
      </c>
      <c r="B361">
        <v>1</v>
      </c>
      <c r="C361" t="s">
        <v>146</v>
      </c>
      <c r="D361">
        <v>1</v>
      </c>
      <c r="E361">
        <v>7737</v>
      </c>
      <c r="F361">
        <v>637</v>
      </c>
      <c r="G361" s="1">
        <f t="shared" si="5"/>
        <v>8.2331653095515059E-2</v>
      </c>
    </row>
    <row r="362" spans="1:7">
      <c r="A362" t="s">
        <v>145</v>
      </c>
      <c r="B362">
        <v>1</v>
      </c>
      <c r="C362" t="s">
        <v>33</v>
      </c>
      <c r="D362">
        <v>2</v>
      </c>
      <c r="E362">
        <v>7737</v>
      </c>
      <c r="F362">
        <v>1528</v>
      </c>
      <c r="G362" s="1">
        <f t="shared" si="5"/>
        <v>0.1974925681788807</v>
      </c>
    </row>
    <row r="363" spans="1:7">
      <c r="A363" t="s">
        <v>145</v>
      </c>
      <c r="B363">
        <v>1</v>
      </c>
      <c r="C363" t="s">
        <v>147</v>
      </c>
      <c r="D363">
        <v>3</v>
      </c>
      <c r="E363">
        <v>7737</v>
      </c>
      <c r="F363">
        <v>2209</v>
      </c>
      <c r="G363" s="1">
        <f t="shared" si="5"/>
        <v>0.28551118004394466</v>
      </c>
    </row>
    <row r="364" spans="1:7">
      <c r="A364" t="s">
        <v>145</v>
      </c>
      <c r="B364">
        <v>1</v>
      </c>
      <c r="C364" t="s">
        <v>148</v>
      </c>
      <c r="D364">
        <v>4</v>
      </c>
      <c r="E364">
        <v>7737</v>
      </c>
      <c r="F364">
        <v>4554</v>
      </c>
      <c r="G364" s="1">
        <f t="shared" si="5"/>
        <v>0.58860023264831329</v>
      </c>
    </row>
    <row r="365" spans="1:7">
      <c r="A365" t="s">
        <v>149</v>
      </c>
      <c r="B365">
        <v>1</v>
      </c>
      <c r="C365" t="s">
        <v>23</v>
      </c>
      <c r="D365">
        <v>1</v>
      </c>
      <c r="E365">
        <v>3111</v>
      </c>
      <c r="F365">
        <v>425</v>
      </c>
      <c r="G365" s="1">
        <f t="shared" si="5"/>
        <v>0.13661202185792351</v>
      </c>
    </row>
    <row r="366" spans="1:7">
      <c r="A366" t="s">
        <v>149</v>
      </c>
      <c r="B366">
        <v>1</v>
      </c>
      <c r="C366" t="s">
        <v>150</v>
      </c>
      <c r="D366">
        <v>2</v>
      </c>
      <c r="E366">
        <v>3111</v>
      </c>
      <c r="F366">
        <v>436</v>
      </c>
      <c r="G366" s="1">
        <f t="shared" si="5"/>
        <v>0.14014786242365798</v>
      </c>
    </row>
    <row r="367" spans="1:7">
      <c r="A367" t="s">
        <v>149</v>
      </c>
      <c r="B367">
        <v>1</v>
      </c>
      <c r="C367" t="s">
        <v>151</v>
      </c>
      <c r="D367">
        <v>3</v>
      </c>
      <c r="E367">
        <v>3111</v>
      </c>
      <c r="F367">
        <v>772</v>
      </c>
      <c r="G367" s="1">
        <f t="shared" si="5"/>
        <v>0.24815171970427516</v>
      </c>
    </row>
    <row r="368" spans="1:7">
      <c r="A368" t="s">
        <v>149</v>
      </c>
      <c r="B368">
        <v>1</v>
      </c>
      <c r="C368" t="s">
        <v>154</v>
      </c>
      <c r="D368">
        <v>4</v>
      </c>
      <c r="E368">
        <v>3111</v>
      </c>
      <c r="F368">
        <v>803</v>
      </c>
      <c r="G368" s="1">
        <f t="shared" si="5"/>
        <v>0.25811636129861781</v>
      </c>
    </row>
    <row r="369" spans="1:7">
      <c r="A369" t="s">
        <v>149</v>
      </c>
      <c r="B369">
        <v>1</v>
      </c>
      <c r="C369" t="s">
        <v>152</v>
      </c>
      <c r="D369">
        <v>5</v>
      </c>
      <c r="E369">
        <v>3111</v>
      </c>
      <c r="F369">
        <v>814</v>
      </c>
      <c r="G369" s="1">
        <f t="shared" si="5"/>
        <v>0.26165220186435229</v>
      </c>
    </row>
    <row r="370" spans="1:7">
      <c r="A370" t="s">
        <v>149</v>
      </c>
      <c r="B370">
        <v>1</v>
      </c>
      <c r="C370" t="s">
        <v>153</v>
      </c>
      <c r="D370">
        <v>6</v>
      </c>
      <c r="E370">
        <v>3111</v>
      </c>
      <c r="F370">
        <v>841</v>
      </c>
      <c r="G370" s="1">
        <f t="shared" si="5"/>
        <v>0.27033108325297334</v>
      </c>
    </row>
    <row r="371" spans="1:7">
      <c r="A371" t="s">
        <v>149</v>
      </c>
      <c r="B371">
        <v>1</v>
      </c>
      <c r="C371" t="s">
        <v>22</v>
      </c>
      <c r="D371">
        <v>7</v>
      </c>
      <c r="E371">
        <v>3111</v>
      </c>
      <c r="F371">
        <v>848</v>
      </c>
      <c r="G371" s="1">
        <f t="shared" si="5"/>
        <v>0.27258116361298618</v>
      </c>
    </row>
    <row r="372" spans="1:7">
      <c r="A372" t="s">
        <v>149</v>
      </c>
      <c r="B372">
        <v>1</v>
      </c>
      <c r="C372" t="s">
        <v>142</v>
      </c>
      <c r="D372">
        <v>8</v>
      </c>
      <c r="E372">
        <v>3111</v>
      </c>
      <c r="F372">
        <v>988</v>
      </c>
      <c r="G372" s="1">
        <f t="shared" si="5"/>
        <v>0.31758277081324332</v>
      </c>
    </row>
    <row r="373" spans="1:7">
      <c r="A373" t="s">
        <v>304</v>
      </c>
      <c r="B373">
        <v>5</v>
      </c>
      <c r="C373" t="s">
        <v>451</v>
      </c>
      <c r="D373">
        <v>1</v>
      </c>
      <c r="E373">
        <v>4558</v>
      </c>
      <c r="F373">
        <v>917</v>
      </c>
      <c r="G373" s="1">
        <f t="shared" si="5"/>
        <v>0.20118473014480034</v>
      </c>
    </row>
    <row r="374" spans="1:7">
      <c r="A374" t="s">
        <v>304</v>
      </c>
      <c r="B374">
        <v>5</v>
      </c>
      <c r="C374" t="s">
        <v>458</v>
      </c>
      <c r="D374">
        <v>2</v>
      </c>
      <c r="E374">
        <v>4558</v>
      </c>
      <c r="F374">
        <v>978</v>
      </c>
      <c r="G374" s="1">
        <f t="shared" si="5"/>
        <v>0.21456779289161912</v>
      </c>
    </row>
    <row r="375" spans="1:7">
      <c r="A375" t="s">
        <v>304</v>
      </c>
      <c r="B375">
        <v>5</v>
      </c>
      <c r="C375" t="s">
        <v>192</v>
      </c>
      <c r="D375">
        <v>3</v>
      </c>
      <c r="E375">
        <v>4558</v>
      </c>
      <c r="F375">
        <v>1027</v>
      </c>
      <c r="G375" s="1">
        <f t="shared" si="5"/>
        <v>0.22531812198332601</v>
      </c>
    </row>
    <row r="376" spans="1:7">
      <c r="A376" t="s">
        <v>304</v>
      </c>
      <c r="B376">
        <v>5</v>
      </c>
      <c r="C376" t="s">
        <v>450</v>
      </c>
      <c r="D376">
        <v>4</v>
      </c>
      <c r="E376">
        <v>4558</v>
      </c>
      <c r="F376">
        <v>1055</v>
      </c>
      <c r="G376" s="1">
        <f t="shared" si="5"/>
        <v>0.23146116717858711</v>
      </c>
    </row>
    <row r="377" spans="1:7">
      <c r="A377" t="s">
        <v>304</v>
      </c>
      <c r="B377">
        <v>5</v>
      </c>
      <c r="C377" t="s">
        <v>453</v>
      </c>
      <c r="D377">
        <v>5</v>
      </c>
      <c r="E377">
        <v>4558</v>
      </c>
      <c r="F377">
        <v>1077</v>
      </c>
      <c r="G377" s="1">
        <f t="shared" si="5"/>
        <v>0.23628784554629223</v>
      </c>
    </row>
    <row r="378" spans="1:7">
      <c r="A378" t="s">
        <v>304</v>
      </c>
      <c r="B378">
        <v>5</v>
      </c>
      <c r="C378" t="s">
        <v>455</v>
      </c>
      <c r="D378">
        <v>6</v>
      </c>
      <c r="E378">
        <v>4558</v>
      </c>
      <c r="F378">
        <v>1096</v>
      </c>
      <c r="G378" s="1">
        <f t="shared" si="5"/>
        <v>0.24045634050021938</v>
      </c>
    </row>
    <row r="379" spans="1:7">
      <c r="A379" t="s">
        <v>304</v>
      </c>
      <c r="B379">
        <v>5</v>
      </c>
      <c r="C379" t="s">
        <v>457</v>
      </c>
      <c r="D379">
        <v>7</v>
      </c>
      <c r="E379">
        <v>4558</v>
      </c>
      <c r="F379">
        <v>1116</v>
      </c>
      <c r="G379" s="1">
        <f t="shared" si="5"/>
        <v>0.24484422992540589</v>
      </c>
    </row>
    <row r="380" spans="1:7">
      <c r="A380" t="s">
        <v>304</v>
      </c>
      <c r="B380">
        <v>5</v>
      </c>
      <c r="C380" t="s">
        <v>5</v>
      </c>
      <c r="D380">
        <v>8</v>
      </c>
      <c r="E380">
        <v>4558</v>
      </c>
      <c r="F380">
        <v>1117</v>
      </c>
      <c r="G380" s="1">
        <f t="shared" si="5"/>
        <v>0.24506362439666521</v>
      </c>
    </row>
    <row r="381" spans="1:7">
      <c r="A381" t="s">
        <v>304</v>
      </c>
      <c r="B381">
        <v>5</v>
      </c>
      <c r="C381" t="s">
        <v>452</v>
      </c>
      <c r="D381">
        <v>9</v>
      </c>
      <c r="E381">
        <v>4558</v>
      </c>
      <c r="F381">
        <v>1150</v>
      </c>
      <c r="G381" s="1">
        <f t="shared" si="5"/>
        <v>0.25230364194822291</v>
      </c>
    </row>
    <row r="382" spans="1:7">
      <c r="A382" t="s">
        <v>304</v>
      </c>
      <c r="B382">
        <v>5</v>
      </c>
      <c r="C382" t="s">
        <v>456</v>
      </c>
      <c r="D382">
        <v>10</v>
      </c>
      <c r="E382">
        <v>4558</v>
      </c>
      <c r="F382">
        <v>1161</v>
      </c>
      <c r="G382" s="1">
        <f t="shared" si="5"/>
        <v>0.25471698113207547</v>
      </c>
    </row>
    <row r="383" spans="1:7">
      <c r="A383" t="s">
        <v>304</v>
      </c>
      <c r="B383">
        <v>5</v>
      </c>
      <c r="C383" t="s">
        <v>462</v>
      </c>
      <c r="D383">
        <v>11</v>
      </c>
      <c r="E383">
        <v>4558</v>
      </c>
      <c r="F383">
        <v>1220</v>
      </c>
      <c r="G383" s="1">
        <f t="shared" si="5"/>
        <v>0.2676612549363756</v>
      </c>
    </row>
    <row r="384" spans="1:7">
      <c r="A384" t="s">
        <v>304</v>
      </c>
      <c r="B384">
        <v>5</v>
      </c>
      <c r="C384" t="s">
        <v>454</v>
      </c>
      <c r="D384">
        <v>12</v>
      </c>
      <c r="E384">
        <v>4558</v>
      </c>
      <c r="F384">
        <v>1284</v>
      </c>
      <c r="G384" s="1">
        <f t="shared" si="5"/>
        <v>0.28170250109697237</v>
      </c>
    </row>
    <row r="385" spans="1:7">
      <c r="A385" t="s">
        <v>304</v>
      </c>
      <c r="B385">
        <v>5</v>
      </c>
      <c r="C385" t="s">
        <v>21</v>
      </c>
      <c r="D385">
        <v>13</v>
      </c>
      <c r="E385">
        <v>4558</v>
      </c>
      <c r="F385">
        <v>1314</v>
      </c>
      <c r="G385" s="1">
        <f t="shared" si="5"/>
        <v>0.28828433523475211</v>
      </c>
    </row>
    <row r="386" spans="1:7">
      <c r="A386" t="s">
        <v>304</v>
      </c>
      <c r="B386">
        <v>5</v>
      </c>
      <c r="C386" t="s">
        <v>22</v>
      </c>
      <c r="D386">
        <v>14</v>
      </c>
      <c r="E386">
        <v>4558</v>
      </c>
      <c r="F386">
        <v>1329</v>
      </c>
      <c r="G386" s="1">
        <f t="shared" ref="G386:G449" si="6">F386/E386</f>
        <v>0.29157525230364195</v>
      </c>
    </row>
    <row r="387" spans="1:7">
      <c r="A387" t="s">
        <v>304</v>
      </c>
      <c r="B387">
        <v>5</v>
      </c>
      <c r="C387" t="s">
        <v>449</v>
      </c>
      <c r="D387">
        <v>15</v>
      </c>
      <c r="E387">
        <v>4558</v>
      </c>
      <c r="F387">
        <v>1338</v>
      </c>
      <c r="G387" s="1">
        <f t="shared" si="6"/>
        <v>0.29354980254497587</v>
      </c>
    </row>
    <row r="388" spans="1:7">
      <c r="A388" t="s">
        <v>304</v>
      </c>
      <c r="B388">
        <v>5</v>
      </c>
      <c r="C388" t="s">
        <v>459</v>
      </c>
      <c r="D388">
        <v>16</v>
      </c>
      <c r="E388">
        <v>4558</v>
      </c>
      <c r="F388">
        <v>1616</v>
      </c>
      <c r="G388" s="1">
        <f t="shared" si="6"/>
        <v>0.35454146555506799</v>
      </c>
    </row>
    <row r="389" spans="1:7">
      <c r="A389" t="s">
        <v>304</v>
      </c>
      <c r="B389">
        <v>5</v>
      </c>
      <c r="C389" t="s">
        <v>460</v>
      </c>
      <c r="D389">
        <v>17</v>
      </c>
      <c r="E389">
        <v>4558</v>
      </c>
      <c r="F389">
        <v>1837</v>
      </c>
      <c r="G389" s="1">
        <f t="shared" si="6"/>
        <v>0.40302764370337868</v>
      </c>
    </row>
    <row r="390" spans="1:7">
      <c r="A390" t="s">
        <v>304</v>
      </c>
      <c r="B390">
        <v>5</v>
      </c>
      <c r="C390" t="s">
        <v>461</v>
      </c>
      <c r="D390">
        <v>18</v>
      </c>
      <c r="E390">
        <v>4558</v>
      </c>
      <c r="F390">
        <v>2311</v>
      </c>
      <c r="G390" s="1">
        <f t="shared" si="6"/>
        <v>0.50702062308029838</v>
      </c>
    </row>
    <row r="391" spans="1:7">
      <c r="A391" t="s">
        <v>304</v>
      </c>
      <c r="B391">
        <v>6</v>
      </c>
      <c r="C391" t="s">
        <v>473</v>
      </c>
      <c r="D391">
        <v>1</v>
      </c>
      <c r="E391">
        <v>40843</v>
      </c>
      <c r="F391">
        <v>28499</v>
      </c>
      <c r="G391" s="1">
        <f t="shared" si="6"/>
        <v>0.69776950762676593</v>
      </c>
    </row>
    <row r="392" spans="1:7">
      <c r="A392" t="s">
        <v>304</v>
      </c>
      <c r="B392">
        <v>6</v>
      </c>
      <c r="C392" t="s">
        <v>465</v>
      </c>
      <c r="D392">
        <v>2</v>
      </c>
      <c r="E392">
        <v>40843</v>
      </c>
      <c r="F392">
        <v>28517</v>
      </c>
      <c r="G392" s="1">
        <f t="shared" si="6"/>
        <v>0.69821021962147733</v>
      </c>
    </row>
    <row r="393" spans="1:7">
      <c r="A393" t="s">
        <v>304</v>
      </c>
      <c r="B393">
        <v>6</v>
      </c>
      <c r="C393" t="s">
        <v>468</v>
      </c>
      <c r="D393">
        <v>3</v>
      </c>
      <c r="E393">
        <v>40843</v>
      </c>
      <c r="F393">
        <v>29132</v>
      </c>
      <c r="G393" s="1">
        <f t="shared" si="6"/>
        <v>0.7132678794407854</v>
      </c>
    </row>
    <row r="394" spans="1:7">
      <c r="A394" t="s">
        <v>304</v>
      </c>
      <c r="B394">
        <v>6</v>
      </c>
      <c r="C394" t="s">
        <v>469</v>
      </c>
      <c r="D394">
        <v>4</v>
      </c>
      <c r="E394">
        <v>40843</v>
      </c>
      <c r="F394">
        <v>29415</v>
      </c>
      <c r="G394" s="1">
        <f t="shared" si="6"/>
        <v>0.72019685135763778</v>
      </c>
    </row>
    <row r="395" spans="1:7">
      <c r="A395" t="s">
        <v>304</v>
      </c>
      <c r="B395">
        <v>6</v>
      </c>
      <c r="C395" t="s">
        <v>466</v>
      </c>
      <c r="D395">
        <v>5</v>
      </c>
      <c r="E395">
        <v>40843</v>
      </c>
      <c r="F395">
        <v>29513</v>
      </c>
      <c r="G395" s="1">
        <f t="shared" si="6"/>
        <v>0.72259628332884462</v>
      </c>
    </row>
    <row r="396" spans="1:7">
      <c r="A396" t="s">
        <v>304</v>
      </c>
      <c r="B396">
        <v>6</v>
      </c>
      <c r="C396" t="s">
        <v>470</v>
      </c>
      <c r="D396">
        <v>6</v>
      </c>
      <c r="E396">
        <v>40843</v>
      </c>
      <c r="F396">
        <v>29840</v>
      </c>
      <c r="G396" s="1">
        <f t="shared" si="6"/>
        <v>0.7306025512327694</v>
      </c>
    </row>
    <row r="397" spans="1:7">
      <c r="A397" t="s">
        <v>304</v>
      </c>
      <c r="B397">
        <v>6</v>
      </c>
      <c r="C397" t="s">
        <v>476</v>
      </c>
      <c r="D397">
        <v>7</v>
      </c>
      <c r="E397">
        <v>40843</v>
      </c>
      <c r="F397">
        <v>29966</v>
      </c>
      <c r="G397" s="1">
        <f t="shared" si="6"/>
        <v>0.73368753519574958</v>
      </c>
    </row>
    <row r="398" spans="1:7">
      <c r="A398" t="s">
        <v>304</v>
      </c>
      <c r="B398">
        <v>6</v>
      </c>
      <c r="C398" t="s">
        <v>475</v>
      </c>
      <c r="D398">
        <v>8</v>
      </c>
      <c r="E398">
        <v>40843</v>
      </c>
      <c r="F398">
        <v>30095</v>
      </c>
      <c r="G398" s="1">
        <f t="shared" si="6"/>
        <v>0.73684597115784833</v>
      </c>
    </row>
    <row r="399" spans="1:7">
      <c r="A399" t="s">
        <v>304</v>
      </c>
      <c r="B399">
        <v>6</v>
      </c>
      <c r="C399" t="s">
        <v>477</v>
      </c>
      <c r="D399">
        <v>9</v>
      </c>
      <c r="E399">
        <v>40843</v>
      </c>
      <c r="F399">
        <v>30850</v>
      </c>
      <c r="G399" s="1">
        <f t="shared" si="6"/>
        <v>0.75533139093602331</v>
      </c>
    </row>
    <row r="400" spans="1:7">
      <c r="A400" t="s">
        <v>304</v>
      </c>
      <c r="B400">
        <v>6</v>
      </c>
      <c r="C400" t="s">
        <v>467</v>
      </c>
      <c r="D400">
        <v>10</v>
      </c>
      <c r="E400">
        <v>40843</v>
      </c>
      <c r="F400">
        <v>30872</v>
      </c>
      <c r="G400" s="1">
        <f t="shared" si="6"/>
        <v>0.75587003892955951</v>
      </c>
    </row>
    <row r="401" spans="1:7">
      <c r="A401" t="s">
        <v>304</v>
      </c>
      <c r="B401">
        <v>6</v>
      </c>
      <c r="C401" t="s">
        <v>472</v>
      </c>
      <c r="D401">
        <v>11</v>
      </c>
      <c r="E401">
        <v>40843</v>
      </c>
      <c r="F401">
        <v>30942</v>
      </c>
      <c r="G401" s="1">
        <f t="shared" si="6"/>
        <v>0.75758391890899301</v>
      </c>
    </row>
    <row r="402" spans="1:7">
      <c r="A402" t="s">
        <v>304</v>
      </c>
      <c r="B402">
        <v>6</v>
      </c>
      <c r="C402" t="s">
        <v>471</v>
      </c>
      <c r="D402">
        <v>12</v>
      </c>
      <c r="E402">
        <v>40843</v>
      </c>
      <c r="F402">
        <v>31129</v>
      </c>
      <c r="G402" s="1">
        <f t="shared" si="6"/>
        <v>0.76216242685405089</v>
      </c>
    </row>
    <row r="403" spans="1:7">
      <c r="A403" t="s">
        <v>304</v>
      </c>
      <c r="B403">
        <v>6</v>
      </c>
      <c r="C403" t="s">
        <v>464</v>
      </c>
      <c r="D403">
        <v>13</v>
      </c>
      <c r="E403">
        <v>40843</v>
      </c>
      <c r="F403">
        <v>32584</v>
      </c>
      <c r="G403" s="1">
        <f t="shared" si="6"/>
        <v>0.79778664642656028</v>
      </c>
    </row>
    <row r="404" spans="1:7">
      <c r="A404" t="s">
        <v>304</v>
      </c>
      <c r="B404">
        <v>6</v>
      </c>
      <c r="C404" t="s">
        <v>463</v>
      </c>
      <c r="D404">
        <v>14</v>
      </c>
      <c r="E404">
        <v>40843</v>
      </c>
      <c r="F404">
        <v>34096</v>
      </c>
      <c r="G404" s="1">
        <f t="shared" si="6"/>
        <v>0.83480645398232256</v>
      </c>
    </row>
    <row r="405" spans="1:7">
      <c r="A405" t="s">
        <v>304</v>
      </c>
      <c r="B405">
        <v>6</v>
      </c>
      <c r="C405" t="s">
        <v>474</v>
      </c>
      <c r="D405">
        <v>15</v>
      </c>
      <c r="E405">
        <v>40843</v>
      </c>
      <c r="F405">
        <v>35980</v>
      </c>
      <c r="G405" s="1">
        <f t="shared" si="6"/>
        <v>0.88093430942878825</v>
      </c>
    </row>
    <row r="406" spans="1:7">
      <c r="A406" t="s">
        <v>155</v>
      </c>
      <c r="B406">
        <v>9</v>
      </c>
      <c r="C406" t="s">
        <v>171</v>
      </c>
      <c r="D406">
        <v>1</v>
      </c>
      <c r="E406">
        <v>770</v>
      </c>
      <c r="F406">
        <v>198</v>
      </c>
      <c r="G406" s="1">
        <f t="shared" si="6"/>
        <v>0.25714285714285712</v>
      </c>
    </row>
    <row r="407" spans="1:7">
      <c r="A407" t="s">
        <v>155</v>
      </c>
      <c r="B407">
        <v>9</v>
      </c>
      <c r="C407" t="s">
        <v>156</v>
      </c>
      <c r="D407">
        <v>2</v>
      </c>
      <c r="E407">
        <v>770</v>
      </c>
      <c r="F407">
        <v>206</v>
      </c>
      <c r="G407" s="1">
        <f t="shared" si="6"/>
        <v>0.26753246753246751</v>
      </c>
    </row>
    <row r="408" spans="1:7">
      <c r="A408" t="s">
        <v>155</v>
      </c>
      <c r="B408">
        <v>9</v>
      </c>
      <c r="C408" t="s">
        <v>169</v>
      </c>
      <c r="D408">
        <v>3</v>
      </c>
      <c r="E408">
        <v>770</v>
      </c>
      <c r="F408">
        <v>207</v>
      </c>
      <c r="G408" s="1">
        <f t="shared" si="6"/>
        <v>0.26883116883116881</v>
      </c>
    </row>
    <row r="409" spans="1:7">
      <c r="A409" t="s">
        <v>155</v>
      </c>
      <c r="B409">
        <v>9</v>
      </c>
      <c r="C409" t="s">
        <v>167</v>
      </c>
      <c r="D409">
        <v>4</v>
      </c>
      <c r="E409">
        <v>770</v>
      </c>
      <c r="F409">
        <v>259</v>
      </c>
      <c r="G409" s="1">
        <f t="shared" si="6"/>
        <v>0.33636363636363636</v>
      </c>
    </row>
    <row r="410" spans="1:7">
      <c r="A410" t="s">
        <v>155</v>
      </c>
      <c r="B410">
        <v>9</v>
      </c>
      <c r="C410" t="s">
        <v>21</v>
      </c>
      <c r="D410">
        <v>5</v>
      </c>
      <c r="E410">
        <v>770</v>
      </c>
      <c r="F410">
        <v>263</v>
      </c>
      <c r="G410" s="1">
        <f t="shared" si="6"/>
        <v>0.34155844155844156</v>
      </c>
    </row>
    <row r="411" spans="1:7">
      <c r="A411" t="s">
        <v>155</v>
      </c>
      <c r="B411">
        <v>9</v>
      </c>
      <c r="C411" t="s">
        <v>168</v>
      </c>
      <c r="D411">
        <v>6</v>
      </c>
      <c r="E411">
        <v>770</v>
      </c>
      <c r="F411">
        <v>267</v>
      </c>
      <c r="G411" s="1">
        <f t="shared" si="6"/>
        <v>0.34675324675324676</v>
      </c>
    </row>
    <row r="412" spans="1:7">
      <c r="A412" t="s">
        <v>155</v>
      </c>
      <c r="B412">
        <v>9</v>
      </c>
      <c r="C412" t="s">
        <v>162</v>
      </c>
      <c r="D412">
        <v>7</v>
      </c>
      <c r="E412">
        <v>770</v>
      </c>
      <c r="F412">
        <v>269</v>
      </c>
      <c r="G412" s="1">
        <f t="shared" si="6"/>
        <v>0.34935064935064936</v>
      </c>
    </row>
    <row r="413" spans="1:7">
      <c r="A413" t="s">
        <v>155</v>
      </c>
      <c r="B413">
        <v>9</v>
      </c>
      <c r="C413" t="s">
        <v>165</v>
      </c>
      <c r="D413">
        <v>8</v>
      </c>
      <c r="E413">
        <v>770</v>
      </c>
      <c r="F413">
        <v>272</v>
      </c>
      <c r="G413" s="1">
        <f t="shared" si="6"/>
        <v>0.35324675324675325</v>
      </c>
    </row>
    <row r="414" spans="1:7">
      <c r="A414" t="s">
        <v>155</v>
      </c>
      <c r="B414">
        <v>9</v>
      </c>
      <c r="C414" t="s">
        <v>164</v>
      </c>
      <c r="D414">
        <v>9</v>
      </c>
      <c r="E414">
        <v>770</v>
      </c>
      <c r="F414">
        <v>296</v>
      </c>
      <c r="G414" s="1">
        <f t="shared" si="6"/>
        <v>0.38441558441558443</v>
      </c>
    </row>
    <row r="415" spans="1:7">
      <c r="A415" t="s">
        <v>155</v>
      </c>
      <c r="B415">
        <v>9</v>
      </c>
      <c r="C415" t="s">
        <v>161</v>
      </c>
      <c r="D415">
        <v>10</v>
      </c>
      <c r="E415">
        <v>770</v>
      </c>
      <c r="F415">
        <v>335</v>
      </c>
      <c r="G415" s="1">
        <f t="shared" si="6"/>
        <v>0.43506493506493504</v>
      </c>
    </row>
    <row r="416" spans="1:7">
      <c r="A416" t="s">
        <v>155</v>
      </c>
      <c r="B416">
        <v>9</v>
      </c>
      <c r="C416" t="s">
        <v>158</v>
      </c>
      <c r="D416">
        <v>11</v>
      </c>
      <c r="E416">
        <v>770</v>
      </c>
      <c r="F416">
        <v>348</v>
      </c>
      <c r="G416" s="1">
        <f t="shared" si="6"/>
        <v>0.45194805194805193</v>
      </c>
    </row>
    <row r="417" spans="1:7">
      <c r="A417" t="s">
        <v>155</v>
      </c>
      <c r="B417">
        <v>9</v>
      </c>
      <c r="C417" t="s">
        <v>160</v>
      </c>
      <c r="D417">
        <v>12</v>
      </c>
      <c r="E417">
        <v>770</v>
      </c>
      <c r="F417">
        <v>361</v>
      </c>
      <c r="G417" s="1">
        <f t="shared" si="6"/>
        <v>0.46883116883116882</v>
      </c>
    </row>
    <row r="418" spans="1:7">
      <c r="A418" t="s">
        <v>155</v>
      </c>
      <c r="B418">
        <v>9</v>
      </c>
      <c r="C418" t="s">
        <v>157</v>
      </c>
      <c r="D418">
        <v>13</v>
      </c>
      <c r="E418">
        <v>770</v>
      </c>
      <c r="F418">
        <v>378</v>
      </c>
      <c r="G418" s="1">
        <f t="shared" si="6"/>
        <v>0.49090909090909091</v>
      </c>
    </row>
    <row r="419" spans="1:7">
      <c r="A419" t="s">
        <v>155</v>
      </c>
      <c r="B419">
        <v>9</v>
      </c>
      <c r="C419" t="s">
        <v>159</v>
      </c>
      <c r="D419">
        <v>14</v>
      </c>
      <c r="E419">
        <v>770</v>
      </c>
      <c r="F419">
        <v>417</v>
      </c>
      <c r="G419" s="1">
        <f t="shared" si="6"/>
        <v>0.54155844155844157</v>
      </c>
    </row>
    <row r="420" spans="1:7">
      <c r="A420" t="s">
        <v>155</v>
      </c>
      <c r="B420">
        <v>9</v>
      </c>
      <c r="C420" t="s">
        <v>170</v>
      </c>
      <c r="D420">
        <v>15</v>
      </c>
      <c r="E420">
        <v>770</v>
      </c>
      <c r="F420">
        <v>504</v>
      </c>
      <c r="G420" s="1">
        <f t="shared" si="6"/>
        <v>0.65454545454545454</v>
      </c>
    </row>
    <row r="421" spans="1:7">
      <c r="A421" t="s">
        <v>155</v>
      </c>
      <c r="B421">
        <v>9</v>
      </c>
      <c r="C421" t="s">
        <v>172</v>
      </c>
      <c r="D421">
        <v>16</v>
      </c>
      <c r="E421">
        <v>770</v>
      </c>
      <c r="F421">
        <v>565</v>
      </c>
      <c r="G421" s="1">
        <f t="shared" si="6"/>
        <v>0.73376623376623373</v>
      </c>
    </row>
    <row r="422" spans="1:7">
      <c r="A422" t="s">
        <v>155</v>
      </c>
      <c r="B422">
        <v>9</v>
      </c>
      <c r="C422" t="s">
        <v>163</v>
      </c>
      <c r="D422">
        <v>17</v>
      </c>
      <c r="E422">
        <v>770</v>
      </c>
      <c r="F422">
        <v>589</v>
      </c>
      <c r="G422" s="1">
        <f t="shared" si="6"/>
        <v>0.76493506493506491</v>
      </c>
    </row>
    <row r="423" spans="1:7">
      <c r="A423" t="s">
        <v>155</v>
      </c>
      <c r="B423">
        <v>9</v>
      </c>
      <c r="C423" t="s">
        <v>166</v>
      </c>
      <c r="D423">
        <v>18</v>
      </c>
      <c r="E423">
        <v>770</v>
      </c>
      <c r="F423">
        <v>728</v>
      </c>
      <c r="G423" s="1">
        <f t="shared" si="6"/>
        <v>0.94545454545454544</v>
      </c>
    </row>
    <row r="424" spans="1:7">
      <c r="A424" t="s">
        <v>155</v>
      </c>
      <c r="B424">
        <v>10</v>
      </c>
      <c r="C424" t="s">
        <v>0</v>
      </c>
      <c r="D424">
        <v>1</v>
      </c>
      <c r="E424">
        <v>900</v>
      </c>
      <c r="F424">
        <v>867</v>
      </c>
      <c r="G424" s="1">
        <f t="shared" si="6"/>
        <v>0.96333333333333337</v>
      </c>
    </row>
    <row r="425" spans="1:7">
      <c r="A425" t="s">
        <v>155</v>
      </c>
      <c r="B425">
        <v>10</v>
      </c>
      <c r="C425" t="s">
        <v>1</v>
      </c>
      <c r="D425">
        <v>2</v>
      </c>
      <c r="E425">
        <v>900</v>
      </c>
      <c r="F425">
        <v>908</v>
      </c>
      <c r="G425" s="1">
        <f t="shared" si="6"/>
        <v>1.0088888888888889</v>
      </c>
    </row>
    <row r="426" spans="1:7">
      <c r="A426" t="s">
        <v>155</v>
      </c>
      <c r="B426">
        <v>10</v>
      </c>
      <c r="C426" t="s">
        <v>2</v>
      </c>
      <c r="D426">
        <v>3</v>
      </c>
      <c r="E426">
        <v>900</v>
      </c>
      <c r="F426">
        <v>965</v>
      </c>
      <c r="G426" s="1">
        <f t="shared" si="6"/>
        <v>1.0722222222222222</v>
      </c>
    </row>
    <row r="427" spans="1:7">
      <c r="A427" t="s">
        <v>155</v>
      </c>
      <c r="B427">
        <v>10</v>
      </c>
      <c r="C427" t="s">
        <v>3</v>
      </c>
      <c r="D427">
        <v>4</v>
      </c>
      <c r="E427">
        <v>900</v>
      </c>
      <c r="F427">
        <v>1045</v>
      </c>
      <c r="G427" s="1">
        <f t="shared" si="6"/>
        <v>1.1611111111111112</v>
      </c>
    </row>
    <row r="428" spans="1:7">
      <c r="A428" t="s">
        <v>155</v>
      </c>
      <c r="B428">
        <v>11</v>
      </c>
      <c r="C428" t="s">
        <v>173</v>
      </c>
      <c r="D428">
        <v>1</v>
      </c>
      <c r="E428">
        <v>1589</v>
      </c>
      <c r="F428">
        <v>193</v>
      </c>
      <c r="G428" s="1">
        <f t="shared" si="6"/>
        <v>0.12146003775959723</v>
      </c>
    </row>
    <row r="429" spans="1:7">
      <c r="A429" t="s">
        <v>155</v>
      </c>
      <c r="B429">
        <v>11</v>
      </c>
      <c r="C429" t="s">
        <v>176</v>
      </c>
      <c r="D429">
        <v>2</v>
      </c>
      <c r="E429">
        <v>1589</v>
      </c>
      <c r="F429">
        <v>712</v>
      </c>
      <c r="G429" s="1">
        <f t="shared" si="6"/>
        <v>0.44808055380742606</v>
      </c>
    </row>
    <row r="430" spans="1:7">
      <c r="A430" t="s">
        <v>155</v>
      </c>
      <c r="B430">
        <v>11</v>
      </c>
      <c r="C430" t="s">
        <v>188</v>
      </c>
      <c r="D430">
        <v>3</v>
      </c>
      <c r="E430">
        <v>1589</v>
      </c>
      <c r="F430">
        <v>764</v>
      </c>
      <c r="G430" s="1">
        <f t="shared" si="6"/>
        <v>0.48080553807426052</v>
      </c>
    </row>
    <row r="431" spans="1:7">
      <c r="A431" t="s">
        <v>155</v>
      </c>
      <c r="B431">
        <v>11</v>
      </c>
      <c r="C431" t="s">
        <v>180</v>
      </c>
      <c r="D431">
        <v>4</v>
      </c>
      <c r="E431">
        <v>1589</v>
      </c>
      <c r="F431">
        <v>787</v>
      </c>
      <c r="G431" s="1">
        <f t="shared" si="6"/>
        <v>0.49528005034612965</v>
      </c>
    </row>
    <row r="432" spans="1:7">
      <c r="A432" t="s">
        <v>155</v>
      </c>
      <c r="B432">
        <v>11</v>
      </c>
      <c r="C432" t="s">
        <v>174</v>
      </c>
      <c r="D432">
        <v>5</v>
      </c>
      <c r="E432">
        <v>1589</v>
      </c>
      <c r="F432">
        <v>797</v>
      </c>
      <c r="G432" s="1">
        <f t="shared" si="6"/>
        <v>0.50157331655129012</v>
      </c>
    </row>
    <row r="433" spans="1:7">
      <c r="A433" t="s">
        <v>155</v>
      </c>
      <c r="B433">
        <v>11</v>
      </c>
      <c r="C433" t="s">
        <v>185</v>
      </c>
      <c r="D433">
        <v>6</v>
      </c>
      <c r="E433">
        <v>1589</v>
      </c>
      <c r="F433">
        <v>817</v>
      </c>
      <c r="G433" s="1">
        <f t="shared" si="6"/>
        <v>0.51415984896161104</v>
      </c>
    </row>
    <row r="434" spans="1:7">
      <c r="A434" t="s">
        <v>155</v>
      </c>
      <c r="B434">
        <v>11</v>
      </c>
      <c r="C434" t="s">
        <v>183</v>
      </c>
      <c r="D434">
        <v>7</v>
      </c>
      <c r="E434">
        <v>1589</v>
      </c>
      <c r="F434">
        <v>845</v>
      </c>
      <c r="G434" s="1">
        <f t="shared" si="6"/>
        <v>0.53178099433606041</v>
      </c>
    </row>
    <row r="435" spans="1:7">
      <c r="A435" t="s">
        <v>155</v>
      </c>
      <c r="B435">
        <v>11</v>
      </c>
      <c r="C435" t="s">
        <v>184</v>
      </c>
      <c r="D435">
        <v>8</v>
      </c>
      <c r="E435">
        <v>1589</v>
      </c>
      <c r="F435">
        <v>923</v>
      </c>
      <c r="G435" s="1">
        <f t="shared" si="6"/>
        <v>0.58086847073631209</v>
      </c>
    </row>
    <row r="436" spans="1:7">
      <c r="A436" t="s">
        <v>155</v>
      </c>
      <c r="B436">
        <v>11</v>
      </c>
      <c r="C436" t="s">
        <v>186</v>
      </c>
      <c r="D436">
        <v>9</v>
      </c>
      <c r="E436">
        <v>1589</v>
      </c>
      <c r="F436">
        <v>928</v>
      </c>
      <c r="G436" s="1">
        <f t="shared" si="6"/>
        <v>0.58401510383889244</v>
      </c>
    </row>
    <row r="437" spans="1:7">
      <c r="A437" t="s">
        <v>155</v>
      </c>
      <c r="B437">
        <v>11</v>
      </c>
      <c r="C437" t="s">
        <v>190</v>
      </c>
      <c r="D437">
        <v>10</v>
      </c>
      <c r="E437">
        <v>1589</v>
      </c>
      <c r="F437">
        <v>938</v>
      </c>
      <c r="G437" s="1">
        <f t="shared" si="6"/>
        <v>0.5903083700440529</v>
      </c>
    </row>
    <row r="438" spans="1:7">
      <c r="A438" t="s">
        <v>155</v>
      </c>
      <c r="B438">
        <v>11</v>
      </c>
      <c r="C438" t="s">
        <v>179</v>
      </c>
      <c r="D438">
        <v>11</v>
      </c>
      <c r="E438">
        <v>1589</v>
      </c>
      <c r="F438">
        <v>943</v>
      </c>
      <c r="G438" s="1">
        <f t="shared" si="6"/>
        <v>0.59345500314663313</v>
      </c>
    </row>
    <row r="439" spans="1:7">
      <c r="A439" t="s">
        <v>155</v>
      </c>
      <c r="B439">
        <v>11</v>
      </c>
      <c r="C439" t="s">
        <v>189</v>
      </c>
      <c r="D439">
        <v>12</v>
      </c>
      <c r="E439">
        <v>1589</v>
      </c>
      <c r="F439">
        <v>952</v>
      </c>
      <c r="G439" s="1">
        <f t="shared" si="6"/>
        <v>0.59911894273127753</v>
      </c>
    </row>
    <row r="440" spans="1:7">
      <c r="A440" t="s">
        <v>155</v>
      </c>
      <c r="B440">
        <v>11</v>
      </c>
      <c r="C440" t="s">
        <v>175</v>
      </c>
      <c r="D440">
        <v>13</v>
      </c>
      <c r="E440">
        <v>1589</v>
      </c>
      <c r="F440">
        <v>958</v>
      </c>
      <c r="G440" s="1">
        <f t="shared" si="6"/>
        <v>0.60289490245437383</v>
      </c>
    </row>
    <row r="441" spans="1:7">
      <c r="A441" t="s">
        <v>155</v>
      </c>
      <c r="B441">
        <v>11</v>
      </c>
      <c r="C441" t="s">
        <v>182</v>
      </c>
      <c r="D441">
        <v>14</v>
      </c>
      <c r="E441">
        <v>1589</v>
      </c>
      <c r="F441">
        <v>974</v>
      </c>
      <c r="G441" s="1">
        <f t="shared" si="6"/>
        <v>0.61296412838263059</v>
      </c>
    </row>
    <row r="442" spans="1:7">
      <c r="A442" t="s">
        <v>155</v>
      </c>
      <c r="B442">
        <v>11</v>
      </c>
      <c r="C442" t="s">
        <v>178</v>
      </c>
      <c r="D442">
        <v>15</v>
      </c>
      <c r="E442">
        <v>1589</v>
      </c>
      <c r="F442">
        <v>980</v>
      </c>
      <c r="G442" s="1">
        <f t="shared" si="6"/>
        <v>0.61674008810572689</v>
      </c>
    </row>
    <row r="443" spans="1:7">
      <c r="A443" t="s">
        <v>155</v>
      </c>
      <c r="B443">
        <v>11</v>
      </c>
      <c r="C443" t="s">
        <v>191</v>
      </c>
      <c r="D443">
        <v>16</v>
      </c>
      <c r="E443">
        <v>1589</v>
      </c>
      <c r="F443">
        <v>984</v>
      </c>
      <c r="G443" s="1">
        <f t="shared" si="6"/>
        <v>0.61925739458779105</v>
      </c>
    </row>
    <row r="444" spans="1:7">
      <c r="A444" t="s">
        <v>155</v>
      </c>
      <c r="B444">
        <v>11</v>
      </c>
      <c r="C444" t="s">
        <v>187</v>
      </c>
      <c r="D444">
        <v>17</v>
      </c>
      <c r="E444">
        <v>1589</v>
      </c>
      <c r="F444">
        <v>1013</v>
      </c>
      <c r="G444" s="1">
        <f t="shared" si="6"/>
        <v>0.63750786658275649</v>
      </c>
    </row>
    <row r="445" spans="1:7">
      <c r="A445" t="s">
        <v>155</v>
      </c>
      <c r="B445">
        <v>11</v>
      </c>
      <c r="C445" t="s">
        <v>181</v>
      </c>
      <c r="D445">
        <v>18</v>
      </c>
      <c r="E445">
        <v>1589</v>
      </c>
      <c r="F445">
        <v>1044</v>
      </c>
      <c r="G445" s="1">
        <f t="shared" si="6"/>
        <v>0.65701699181875395</v>
      </c>
    </row>
    <row r="446" spans="1:7">
      <c r="A446" t="s">
        <v>155</v>
      </c>
      <c r="B446">
        <v>11</v>
      </c>
      <c r="C446" t="s">
        <v>177</v>
      </c>
      <c r="D446">
        <v>19</v>
      </c>
      <c r="E446">
        <v>1589</v>
      </c>
      <c r="F446">
        <v>1056</v>
      </c>
      <c r="G446" s="1">
        <f t="shared" si="6"/>
        <v>0.66456891126494655</v>
      </c>
    </row>
    <row r="447" spans="1:7">
      <c r="A447" t="s">
        <v>155</v>
      </c>
      <c r="B447">
        <v>12</v>
      </c>
      <c r="C447" t="s">
        <v>192</v>
      </c>
      <c r="D447">
        <v>1</v>
      </c>
      <c r="E447">
        <v>936</v>
      </c>
      <c r="F447">
        <v>206</v>
      </c>
      <c r="G447" s="1">
        <f t="shared" si="6"/>
        <v>0.22008547008547008</v>
      </c>
    </row>
    <row r="448" spans="1:7">
      <c r="A448" t="s">
        <v>155</v>
      </c>
      <c r="B448">
        <v>12</v>
      </c>
      <c r="C448" t="s">
        <v>197</v>
      </c>
      <c r="D448">
        <v>2</v>
      </c>
      <c r="E448">
        <v>936</v>
      </c>
      <c r="F448">
        <v>576</v>
      </c>
      <c r="G448" s="1">
        <f t="shared" si="6"/>
        <v>0.61538461538461542</v>
      </c>
    </row>
    <row r="449" spans="1:7">
      <c r="A449" t="s">
        <v>155</v>
      </c>
      <c r="B449">
        <v>12</v>
      </c>
      <c r="C449" t="s">
        <v>194</v>
      </c>
      <c r="D449">
        <v>3</v>
      </c>
      <c r="E449">
        <v>936</v>
      </c>
      <c r="F449">
        <v>599</v>
      </c>
      <c r="G449" s="1">
        <f t="shared" si="6"/>
        <v>0.6399572649572649</v>
      </c>
    </row>
    <row r="450" spans="1:7">
      <c r="A450" t="s">
        <v>155</v>
      </c>
      <c r="B450">
        <v>12</v>
      </c>
      <c r="C450" t="s">
        <v>169</v>
      </c>
      <c r="D450">
        <v>4</v>
      </c>
      <c r="E450">
        <v>936</v>
      </c>
      <c r="F450">
        <v>601</v>
      </c>
      <c r="G450" s="1">
        <f t="shared" ref="G450:G513" si="7">F450/E450</f>
        <v>0.64209401709401714</v>
      </c>
    </row>
    <row r="451" spans="1:7">
      <c r="A451" t="s">
        <v>155</v>
      </c>
      <c r="B451">
        <v>12</v>
      </c>
      <c r="C451" t="s">
        <v>193</v>
      </c>
      <c r="D451">
        <v>5</v>
      </c>
      <c r="E451">
        <v>936</v>
      </c>
      <c r="F451">
        <v>604</v>
      </c>
      <c r="G451" s="1">
        <f t="shared" si="7"/>
        <v>0.64529914529914534</v>
      </c>
    </row>
    <row r="452" spans="1:7">
      <c r="A452" t="s">
        <v>155</v>
      </c>
      <c r="B452">
        <v>12</v>
      </c>
      <c r="C452" t="s">
        <v>196</v>
      </c>
      <c r="D452">
        <v>6</v>
      </c>
      <c r="E452">
        <v>936</v>
      </c>
      <c r="F452">
        <v>619</v>
      </c>
      <c r="G452" s="1">
        <f t="shared" si="7"/>
        <v>0.66132478632478631</v>
      </c>
    </row>
    <row r="453" spans="1:7">
      <c r="A453" t="s">
        <v>155</v>
      </c>
      <c r="B453">
        <v>12</v>
      </c>
      <c r="C453" t="s">
        <v>198</v>
      </c>
      <c r="D453">
        <v>7</v>
      </c>
      <c r="E453">
        <v>936</v>
      </c>
      <c r="F453">
        <v>670</v>
      </c>
      <c r="G453" s="1">
        <f t="shared" si="7"/>
        <v>0.71581196581196582</v>
      </c>
    </row>
    <row r="454" spans="1:7">
      <c r="A454" t="s">
        <v>155</v>
      </c>
      <c r="B454">
        <v>12</v>
      </c>
      <c r="C454" t="s">
        <v>17</v>
      </c>
      <c r="D454">
        <v>8</v>
      </c>
      <c r="E454">
        <v>936</v>
      </c>
      <c r="F454">
        <v>673</v>
      </c>
      <c r="G454" s="1">
        <f t="shared" si="7"/>
        <v>0.71901709401709402</v>
      </c>
    </row>
    <row r="455" spans="1:7">
      <c r="A455" t="s">
        <v>155</v>
      </c>
      <c r="B455">
        <v>12</v>
      </c>
      <c r="C455" t="s">
        <v>195</v>
      </c>
      <c r="D455">
        <v>9</v>
      </c>
      <c r="E455">
        <v>936</v>
      </c>
      <c r="F455">
        <v>703</v>
      </c>
      <c r="G455" s="1">
        <f t="shared" si="7"/>
        <v>0.75106837606837606</v>
      </c>
    </row>
    <row r="456" spans="1:7">
      <c r="A456" t="s">
        <v>155</v>
      </c>
      <c r="B456">
        <v>13</v>
      </c>
      <c r="C456" t="s">
        <v>19</v>
      </c>
      <c r="D456">
        <v>1</v>
      </c>
      <c r="E456">
        <v>173</v>
      </c>
      <c r="F456">
        <v>115</v>
      </c>
      <c r="G456" s="1">
        <f t="shared" si="7"/>
        <v>0.66473988439306353</v>
      </c>
    </row>
    <row r="457" spans="1:7">
      <c r="A457" t="s">
        <v>155</v>
      </c>
      <c r="B457">
        <v>13</v>
      </c>
      <c r="C457" t="s">
        <v>33</v>
      </c>
      <c r="D457">
        <v>2</v>
      </c>
      <c r="E457">
        <v>173</v>
      </c>
      <c r="F457">
        <v>197</v>
      </c>
      <c r="G457" s="1">
        <f t="shared" si="7"/>
        <v>1.1387283236994219</v>
      </c>
    </row>
    <row r="458" spans="1:7">
      <c r="A458" t="s">
        <v>199</v>
      </c>
      <c r="B458">
        <v>2</v>
      </c>
      <c r="C458" t="s">
        <v>33</v>
      </c>
      <c r="D458">
        <v>1</v>
      </c>
      <c r="E458">
        <v>1980</v>
      </c>
      <c r="F458">
        <v>22</v>
      </c>
      <c r="G458" s="1">
        <f t="shared" si="7"/>
        <v>1.1111111111111112E-2</v>
      </c>
    </row>
    <row r="459" spans="1:7">
      <c r="A459" t="s">
        <v>199</v>
      </c>
      <c r="B459">
        <v>2</v>
      </c>
      <c r="C459" t="s">
        <v>479</v>
      </c>
      <c r="D459">
        <v>2</v>
      </c>
      <c r="E459">
        <v>1980</v>
      </c>
      <c r="F459">
        <v>607</v>
      </c>
      <c r="G459" s="1">
        <f t="shared" si="7"/>
        <v>0.30656565656565654</v>
      </c>
    </row>
    <row r="460" spans="1:7">
      <c r="A460" t="s">
        <v>199</v>
      </c>
      <c r="B460">
        <v>2</v>
      </c>
      <c r="C460" t="s">
        <v>75</v>
      </c>
      <c r="D460">
        <v>3</v>
      </c>
      <c r="E460">
        <v>1980</v>
      </c>
      <c r="F460">
        <v>617</v>
      </c>
      <c r="G460" s="1">
        <f t="shared" si="7"/>
        <v>0.31161616161616162</v>
      </c>
    </row>
    <row r="461" spans="1:7">
      <c r="A461" t="s">
        <v>199</v>
      </c>
      <c r="B461">
        <v>2</v>
      </c>
      <c r="C461" t="s">
        <v>480</v>
      </c>
      <c r="D461">
        <v>4</v>
      </c>
      <c r="E461">
        <v>1980</v>
      </c>
      <c r="F461">
        <v>935</v>
      </c>
      <c r="G461" s="1">
        <f t="shared" si="7"/>
        <v>0.47222222222222221</v>
      </c>
    </row>
    <row r="462" spans="1:7">
      <c r="A462" t="s">
        <v>199</v>
      </c>
      <c r="B462">
        <v>2</v>
      </c>
      <c r="C462" t="s">
        <v>481</v>
      </c>
      <c r="D462">
        <v>5</v>
      </c>
      <c r="E462">
        <v>1980</v>
      </c>
      <c r="F462">
        <v>1041</v>
      </c>
      <c r="G462" s="1">
        <f t="shared" si="7"/>
        <v>0.52575757575757576</v>
      </c>
    </row>
    <row r="463" spans="1:7">
      <c r="A463" t="s">
        <v>199</v>
      </c>
      <c r="B463">
        <v>2</v>
      </c>
      <c r="C463" t="s">
        <v>482</v>
      </c>
      <c r="D463">
        <v>6</v>
      </c>
      <c r="E463">
        <v>1980</v>
      </c>
      <c r="F463">
        <v>1385</v>
      </c>
      <c r="G463" s="1">
        <f t="shared" si="7"/>
        <v>0.6994949494949495</v>
      </c>
    </row>
    <row r="464" spans="1:7">
      <c r="A464" t="s">
        <v>199</v>
      </c>
      <c r="B464">
        <v>2</v>
      </c>
      <c r="C464" t="s">
        <v>478</v>
      </c>
      <c r="D464">
        <v>7</v>
      </c>
      <c r="E464">
        <v>1980</v>
      </c>
      <c r="F464">
        <v>1410</v>
      </c>
      <c r="G464" s="1">
        <f t="shared" si="7"/>
        <v>0.71212121212121215</v>
      </c>
    </row>
    <row r="465" spans="1:7">
      <c r="A465" t="s">
        <v>199</v>
      </c>
      <c r="B465">
        <v>6</v>
      </c>
      <c r="C465" t="s">
        <v>37</v>
      </c>
      <c r="D465">
        <v>1</v>
      </c>
      <c r="E465">
        <v>836</v>
      </c>
      <c r="F465">
        <v>676</v>
      </c>
      <c r="G465" s="1">
        <f t="shared" si="7"/>
        <v>0.80861244019138756</v>
      </c>
    </row>
    <row r="466" spans="1:7">
      <c r="A466" t="s">
        <v>199</v>
      </c>
      <c r="B466">
        <v>6</v>
      </c>
      <c r="C466" t="s">
        <v>200</v>
      </c>
      <c r="D466">
        <v>2</v>
      </c>
      <c r="E466">
        <v>836</v>
      </c>
      <c r="F466">
        <v>714</v>
      </c>
      <c r="G466" s="1">
        <f t="shared" si="7"/>
        <v>0.85406698564593297</v>
      </c>
    </row>
    <row r="467" spans="1:7">
      <c r="A467" t="s">
        <v>199</v>
      </c>
      <c r="B467">
        <v>6</v>
      </c>
      <c r="C467" t="s">
        <v>201</v>
      </c>
      <c r="D467">
        <v>3</v>
      </c>
      <c r="E467">
        <v>836</v>
      </c>
      <c r="F467">
        <v>774</v>
      </c>
      <c r="G467" s="1">
        <f t="shared" si="7"/>
        <v>0.92583732057416268</v>
      </c>
    </row>
    <row r="468" spans="1:7">
      <c r="A468" t="s">
        <v>199</v>
      </c>
      <c r="B468">
        <v>6</v>
      </c>
      <c r="C468" t="s">
        <v>203</v>
      </c>
      <c r="D468">
        <v>4</v>
      </c>
      <c r="E468">
        <v>836</v>
      </c>
      <c r="F468">
        <v>798</v>
      </c>
      <c r="G468" s="1">
        <f t="shared" si="7"/>
        <v>0.95454545454545459</v>
      </c>
    </row>
    <row r="469" spans="1:7">
      <c r="A469" t="s">
        <v>199</v>
      </c>
      <c r="B469">
        <v>6</v>
      </c>
      <c r="C469" t="s">
        <v>74</v>
      </c>
      <c r="D469">
        <v>5</v>
      </c>
      <c r="E469">
        <v>836</v>
      </c>
      <c r="F469">
        <v>892</v>
      </c>
      <c r="G469" s="1">
        <f t="shared" si="7"/>
        <v>1.0669856459330143</v>
      </c>
    </row>
    <row r="470" spans="1:7">
      <c r="A470" t="s">
        <v>199</v>
      </c>
      <c r="B470">
        <v>6</v>
      </c>
      <c r="C470" t="s">
        <v>202</v>
      </c>
      <c r="D470">
        <v>6</v>
      </c>
      <c r="E470">
        <v>836</v>
      </c>
      <c r="F470">
        <v>903</v>
      </c>
      <c r="G470" s="1">
        <f t="shared" si="7"/>
        <v>1.0801435406698565</v>
      </c>
    </row>
    <row r="471" spans="1:7">
      <c r="A471" t="s">
        <v>199</v>
      </c>
      <c r="B471">
        <v>8</v>
      </c>
      <c r="C471" t="s">
        <v>33</v>
      </c>
      <c r="D471">
        <v>1</v>
      </c>
      <c r="E471">
        <v>916</v>
      </c>
      <c r="F471">
        <v>950</v>
      </c>
      <c r="G471" s="1">
        <f t="shared" si="7"/>
        <v>1.037117903930131</v>
      </c>
    </row>
    <row r="472" spans="1:7">
      <c r="A472" t="s">
        <v>199</v>
      </c>
      <c r="B472">
        <v>8</v>
      </c>
      <c r="C472" t="s">
        <v>19</v>
      </c>
      <c r="D472">
        <v>2</v>
      </c>
      <c r="E472">
        <v>916</v>
      </c>
      <c r="F472">
        <v>1096</v>
      </c>
      <c r="G472" s="1">
        <f t="shared" si="7"/>
        <v>1.1965065502183405</v>
      </c>
    </row>
    <row r="473" spans="1:7">
      <c r="G473" s="1"/>
    </row>
    <row r="474" spans="1:7">
      <c r="G474" s="1"/>
    </row>
    <row r="475" spans="1:7">
      <c r="G475" s="1"/>
    </row>
    <row r="476" spans="1:7">
      <c r="G476" s="1"/>
    </row>
    <row r="477" spans="1:7">
      <c r="G477" s="1"/>
    </row>
    <row r="478" spans="1:7">
      <c r="G478" s="1"/>
    </row>
    <row r="479" spans="1:7">
      <c r="G479" s="1"/>
    </row>
    <row r="480" spans="1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472"/>
  <sheetViews>
    <sheetView topLeftCell="I1" workbookViewId="0">
      <selection activeCell="P2" sqref="P2:V8"/>
    </sheetView>
  </sheetViews>
  <sheetFormatPr baseColWidth="10" defaultRowHeight="15" x14ac:dyDescent="0"/>
  <cols>
    <col min="1" max="1" width="20" customWidth="1"/>
    <col min="3" max="3" width="17.5" customWidth="1"/>
  </cols>
  <sheetData>
    <row r="1" spans="1:76">
      <c r="A1" t="s">
        <v>204</v>
      </c>
      <c r="B1" t="s">
        <v>205</v>
      </c>
      <c r="C1" t="s">
        <v>214</v>
      </c>
      <c r="D1" t="s">
        <v>207</v>
      </c>
      <c r="E1" t="s">
        <v>212</v>
      </c>
      <c r="F1" s="1" t="s">
        <v>213</v>
      </c>
      <c r="G1" s="1" t="s">
        <v>215</v>
      </c>
      <c r="H1" t="s">
        <v>216</v>
      </c>
      <c r="I1" t="s">
        <v>217</v>
      </c>
      <c r="J1" t="s">
        <v>218</v>
      </c>
      <c r="K1" s="2" t="s">
        <v>219</v>
      </c>
      <c r="L1" s="2" t="s">
        <v>220</v>
      </c>
      <c r="M1" s="2"/>
      <c r="N1" s="2"/>
      <c r="O1" s="2"/>
      <c r="P1" s="2"/>
      <c r="Q1" s="2" t="s">
        <v>221</v>
      </c>
      <c r="R1" s="2"/>
      <c r="S1" s="2"/>
      <c r="T1" s="2"/>
      <c r="U1" s="2"/>
      <c r="W1" t="s">
        <v>222</v>
      </c>
      <c r="X1" t="s">
        <v>214</v>
      </c>
      <c r="Y1" t="s">
        <v>214</v>
      </c>
      <c r="Z1" t="s">
        <v>214</v>
      </c>
      <c r="AA1" t="s">
        <v>214</v>
      </c>
      <c r="AB1" t="s">
        <v>214</v>
      </c>
      <c r="AC1" t="s">
        <v>214</v>
      </c>
      <c r="AD1" t="s">
        <v>214</v>
      </c>
      <c r="AE1" t="s">
        <v>214</v>
      </c>
      <c r="AF1" t="s">
        <v>214</v>
      </c>
      <c r="AG1" t="s">
        <v>214</v>
      </c>
      <c r="AH1" t="s">
        <v>214</v>
      </c>
      <c r="AI1" t="s">
        <v>214</v>
      </c>
      <c r="AJ1" t="s">
        <v>214</v>
      </c>
      <c r="AK1" t="s">
        <v>214</v>
      </c>
      <c r="AL1" t="s">
        <v>214</v>
      </c>
      <c r="AM1" t="s">
        <v>214</v>
      </c>
      <c r="AN1" t="s">
        <v>214</v>
      </c>
      <c r="AO1" t="s">
        <v>214</v>
      </c>
      <c r="AP1" t="s">
        <v>214</v>
      </c>
      <c r="AQ1" t="s">
        <v>214</v>
      </c>
      <c r="AR1" t="s">
        <v>214</v>
      </c>
      <c r="AS1" t="s">
        <v>214</v>
      </c>
      <c r="AT1" t="s">
        <v>214</v>
      </c>
      <c r="AU1" t="s">
        <v>214</v>
      </c>
      <c r="AV1" t="s">
        <v>214</v>
      </c>
      <c r="AW1" t="s">
        <v>214</v>
      </c>
      <c r="AX1" t="s">
        <v>214</v>
      </c>
      <c r="AY1" t="s">
        <v>214</v>
      </c>
      <c r="AZ1" t="s">
        <v>214</v>
      </c>
      <c r="BA1" t="s">
        <v>214</v>
      </c>
      <c r="BB1" t="s">
        <v>214</v>
      </c>
      <c r="BC1" t="s">
        <v>214</v>
      </c>
      <c r="BD1" t="s">
        <v>214</v>
      </c>
      <c r="BE1" t="s">
        <v>214</v>
      </c>
      <c r="BF1" t="s">
        <v>214</v>
      </c>
      <c r="BG1" t="s">
        <v>214</v>
      </c>
      <c r="BH1" t="s">
        <v>214</v>
      </c>
      <c r="BI1" t="s">
        <v>214</v>
      </c>
      <c r="BJ1" t="s">
        <v>214</v>
      </c>
      <c r="BK1" t="s">
        <v>214</v>
      </c>
      <c r="BL1" t="s">
        <v>214</v>
      </c>
      <c r="BM1" t="s">
        <v>214</v>
      </c>
      <c r="BN1" t="s">
        <v>214</v>
      </c>
      <c r="BO1" t="s">
        <v>214</v>
      </c>
      <c r="BP1" t="s">
        <v>214</v>
      </c>
      <c r="BQ1" t="s">
        <v>214</v>
      </c>
      <c r="BR1" t="s">
        <v>214</v>
      </c>
      <c r="BS1" t="s">
        <v>214</v>
      </c>
      <c r="BT1" t="s">
        <v>214</v>
      </c>
      <c r="BU1" t="s">
        <v>214</v>
      </c>
      <c r="BV1" t="s">
        <v>214</v>
      </c>
      <c r="BW1" t="s">
        <v>214</v>
      </c>
      <c r="BX1" t="s">
        <v>214</v>
      </c>
    </row>
    <row r="2" spans="1:76">
      <c r="A2" t="s">
        <v>4</v>
      </c>
      <c r="B2">
        <v>1</v>
      </c>
      <c r="C2" t="str">
        <f>CONCATENATE(A2, "_",B2,"_")</f>
        <v>test.BallonFactory_1_</v>
      </c>
      <c r="D2">
        <v>1</v>
      </c>
      <c r="E2">
        <v>0.86274509803921573</v>
      </c>
      <c r="F2">
        <v>0.96771771771771775</v>
      </c>
      <c r="G2" s="1" t="str">
        <f>IF($F2 &lt;= 0.2,$E2,"")</f>
        <v/>
      </c>
      <c r="H2" s="1" t="str">
        <f>IF(AND($F2 &gt; 0.2,$F2 &lt;= 0.4),$E2,"")</f>
        <v/>
      </c>
      <c r="I2" s="1" t="str">
        <f>IF(AND($F2 &gt; 0.4,$F2 &lt;= 0.6),$E2,"")</f>
        <v/>
      </c>
      <c r="J2" s="1" t="str">
        <f>IF(AND($F2 &gt; 0.6,$F2 &lt;= 0.8),$E2,"")</f>
        <v/>
      </c>
      <c r="K2" s="1">
        <f>IF(AND($F2 &gt; 0.8, $F2 &lt;=1.1),$E2,"")</f>
        <v>0.86274509803921573</v>
      </c>
      <c r="L2" s="1" t="str">
        <f>IF(AND($F2 &gt; 1.1),$E2,"")</f>
        <v/>
      </c>
      <c r="M2" s="1"/>
      <c r="N2" s="1" t="s">
        <v>223</v>
      </c>
      <c r="O2" s="1" t="s">
        <v>224</v>
      </c>
      <c r="P2" s="1" t="s">
        <v>225</v>
      </c>
      <c r="Q2" s="1">
        <v>0</v>
      </c>
      <c r="R2" s="1" t="s">
        <v>226</v>
      </c>
      <c r="S2" s="1" t="s">
        <v>227</v>
      </c>
      <c r="T2" s="1" t="s">
        <v>228</v>
      </c>
      <c r="U2" s="1" t="s">
        <v>229</v>
      </c>
      <c r="V2" t="s">
        <v>230</v>
      </c>
      <c r="W2">
        <f>COUNTA(X2:BX2)</f>
        <v>53</v>
      </c>
      <c r="X2" t="s">
        <v>231</v>
      </c>
      <c r="Y2" t="s">
        <v>232</v>
      </c>
      <c r="Z2" t="s">
        <v>233</v>
      </c>
      <c r="AA2" t="s">
        <v>234</v>
      </c>
      <c r="AB2" t="s">
        <v>235</v>
      </c>
      <c r="AC2" t="s">
        <v>236</v>
      </c>
      <c r="AD2" t="s">
        <v>237</v>
      </c>
      <c r="AE2" t="s">
        <v>238</v>
      </c>
      <c r="AF2" t="s">
        <v>239</v>
      </c>
      <c r="AG2" t="s">
        <v>240</v>
      </c>
      <c r="AH2" t="s">
        <v>241</v>
      </c>
      <c r="AI2" t="s">
        <v>242</v>
      </c>
      <c r="AJ2" t="s">
        <v>243</v>
      </c>
      <c r="AK2" t="s">
        <v>244</v>
      </c>
      <c r="AL2" t="s">
        <v>245</v>
      </c>
      <c r="AM2" t="s">
        <v>246</v>
      </c>
      <c r="AN2" t="s">
        <v>247</v>
      </c>
      <c r="AO2" t="s">
        <v>248</v>
      </c>
      <c r="AP2" t="s">
        <v>249</v>
      </c>
      <c r="AQ2" t="s">
        <v>250</v>
      </c>
      <c r="AR2" t="s">
        <v>251</v>
      </c>
      <c r="AS2" t="s">
        <v>252</v>
      </c>
      <c r="AT2" t="s">
        <v>253</v>
      </c>
      <c r="AU2" t="s">
        <v>254</v>
      </c>
      <c r="AV2" t="s">
        <v>255</v>
      </c>
      <c r="AW2" t="s">
        <v>483</v>
      </c>
      <c r="AX2" t="s">
        <v>256</v>
      </c>
      <c r="AY2" t="s">
        <v>257</v>
      </c>
      <c r="AZ2" t="s">
        <v>258</v>
      </c>
      <c r="BA2" t="s">
        <v>259</v>
      </c>
      <c r="BB2" t="s">
        <v>260</v>
      </c>
      <c r="BC2" t="s">
        <v>261</v>
      </c>
      <c r="BD2" t="s">
        <v>262</v>
      </c>
      <c r="BE2" t="s">
        <v>263</v>
      </c>
      <c r="BF2" t="s">
        <v>264</v>
      </c>
      <c r="BG2" t="s">
        <v>265</v>
      </c>
      <c r="BH2" t="s">
        <v>266</v>
      </c>
      <c r="BI2" t="s">
        <v>267</v>
      </c>
      <c r="BJ2" t="s">
        <v>268</v>
      </c>
      <c r="BK2" t="s">
        <v>269</v>
      </c>
      <c r="BL2" t="s">
        <v>270</v>
      </c>
      <c r="BM2" t="s">
        <v>271</v>
      </c>
      <c r="BN2" t="s">
        <v>272</v>
      </c>
      <c r="BO2" t="s">
        <v>484</v>
      </c>
      <c r="BP2" t="s">
        <v>485</v>
      </c>
      <c r="BQ2" t="s">
        <v>273</v>
      </c>
      <c r="BR2" t="s">
        <v>274</v>
      </c>
      <c r="BS2" t="s">
        <v>275</v>
      </c>
      <c r="BT2" t="s">
        <v>276</v>
      </c>
      <c r="BU2" t="s">
        <v>277</v>
      </c>
      <c r="BV2" t="s">
        <v>278</v>
      </c>
      <c r="BW2" t="s">
        <v>279</v>
      </c>
      <c r="BX2" t="s">
        <v>280</v>
      </c>
    </row>
    <row r="3" spans="1:76">
      <c r="A3" t="s">
        <v>4</v>
      </c>
      <c r="B3">
        <v>1</v>
      </c>
      <c r="C3" t="str">
        <f t="shared" ref="C3:C66" si="0">CONCATENATE(A3, "_",B3,"_")</f>
        <v>test.BallonFactory_1_</v>
      </c>
      <c r="D3">
        <v>2</v>
      </c>
      <c r="E3">
        <v>0.90196078431372551</v>
      </c>
      <c r="F3">
        <v>0.9680930930930931</v>
      </c>
      <c r="G3" s="1" t="str">
        <f t="shared" ref="G3:G66" si="1">IF($F3 &lt;= 0.2,$E3,"")</f>
        <v/>
      </c>
      <c r="H3" s="1" t="str">
        <f t="shared" ref="H3:H66" si="2">IF(AND($F3 &gt; 0.2,$F3 &lt;= 0.4),$E3,"")</f>
        <v/>
      </c>
      <c r="I3" s="1" t="str">
        <f t="shared" ref="I3:I66" si="3">IF(AND($F3 &gt; 0.4,$F3 &lt;= 0.6),$E3,"")</f>
        <v/>
      </c>
      <c r="J3" s="1" t="str">
        <f t="shared" ref="J3:J66" si="4">IF(AND($F3 &gt; 0.6,$F3 &lt;= 0.8),$E3,"")</f>
        <v/>
      </c>
      <c r="K3" s="1">
        <f t="shared" ref="K3:K66" si="5">IF(AND($F3 &gt; 0.8, $F3 &lt;=1.1),$E3,"")</f>
        <v>0.90196078431372551</v>
      </c>
      <c r="L3" s="1" t="str">
        <f t="shared" ref="L3:L66" si="6">IF(AND($F3 &gt; 1.1),$E3,"")</f>
        <v/>
      </c>
      <c r="M3" s="1"/>
      <c r="N3" s="1">
        <f>SUM(T3:V3)/64</f>
        <v>6.25E-2</v>
      </c>
      <c r="O3" s="1">
        <f>SUM(Q3:V3)</f>
        <v>53</v>
      </c>
      <c r="P3" t="s">
        <v>215</v>
      </c>
      <c r="Q3" s="3">
        <f>COUNTIF($X3:$BX3,"=0")</f>
        <v>25</v>
      </c>
      <c r="R3" s="3">
        <f t="shared" ref="R3:R8" si="7">COUNTIFS($X3:$BX3,"&gt;0",$X3:$BX3,"&lt;0.25")</f>
        <v>19</v>
      </c>
      <c r="S3" s="3">
        <f t="shared" ref="S3:S8" si="8">COUNTIFS($X3:$BX3,"&gt;=0.25",$X3:$BX3,"&lt;0.5")</f>
        <v>5</v>
      </c>
      <c r="T3" s="3">
        <f t="shared" ref="T3:T8" si="9">COUNTIFS($X3:$BX3,"&gt;=0.5",$X3:$BX3,"&lt;0.75")</f>
        <v>3</v>
      </c>
      <c r="U3" s="3">
        <f t="shared" ref="U3:U8" si="10">COUNTIFS($X3:$BX3,"&gt;=0.75",$X3:$BX3,"&lt;1")</f>
        <v>1</v>
      </c>
      <c r="V3" s="3">
        <f t="shared" ref="V3:V8" si="11">COUNTIF($X3:$BX3,"=1")</f>
        <v>0</v>
      </c>
      <c r="W3" t="s">
        <v>215</v>
      </c>
      <c r="X3">
        <f>DMAX($A$1:$L$472,$W3,X$1:X$2)</f>
        <v>0</v>
      </c>
      <c r="Y3">
        <f t="shared" ref="Y3:BX3" si="12">DMAX($A$1:$L$472,$W3,Y$1:Y$2)</f>
        <v>0</v>
      </c>
      <c r="Z3">
        <f t="shared" si="12"/>
        <v>0.1111111111111111</v>
      </c>
      <c r="AA3">
        <f t="shared" si="12"/>
        <v>0.2391304347826087</v>
      </c>
      <c r="AB3">
        <f t="shared" si="12"/>
        <v>0</v>
      </c>
      <c r="AC3">
        <f t="shared" si="12"/>
        <v>0</v>
      </c>
      <c r="AD3">
        <f t="shared" si="12"/>
        <v>0</v>
      </c>
      <c r="AE3">
        <f t="shared" si="12"/>
        <v>3.2786885245901641E-2</v>
      </c>
      <c r="AF3">
        <f t="shared" si="12"/>
        <v>0.36170212765957449</v>
      </c>
      <c r="AG3">
        <f t="shared" si="12"/>
        <v>4.7244094488188976E-2</v>
      </c>
      <c r="AH3">
        <f t="shared" si="12"/>
        <v>0</v>
      </c>
      <c r="AI3">
        <f t="shared" si="12"/>
        <v>0.80049261083743839</v>
      </c>
      <c r="AJ3">
        <f t="shared" si="12"/>
        <v>5.208333333333333E-3</v>
      </c>
      <c r="AK3">
        <f t="shared" si="12"/>
        <v>8.4745762711864406E-3</v>
      </c>
      <c r="AL3">
        <f t="shared" si="12"/>
        <v>0.26190476190476192</v>
      </c>
      <c r="AM3">
        <f t="shared" si="12"/>
        <v>0</v>
      </c>
      <c r="AN3">
        <f t="shared" si="12"/>
        <v>0</v>
      </c>
      <c r="AO3">
        <f t="shared" si="12"/>
        <v>0</v>
      </c>
      <c r="AP3">
        <f t="shared" si="12"/>
        <v>0.11627906976744186</v>
      </c>
      <c r="AQ3">
        <f t="shared" si="12"/>
        <v>9.6774193548387094E-2</v>
      </c>
      <c r="AR3">
        <f t="shared" si="12"/>
        <v>0.5178571428571429</v>
      </c>
      <c r="AS3">
        <f t="shared" si="12"/>
        <v>0.36046511627906974</v>
      </c>
      <c r="AT3">
        <f t="shared" si="12"/>
        <v>0.19565217391304349</v>
      </c>
      <c r="AU3">
        <f t="shared" si="12"/>
        <v>3.3333333333333333E-2</v>
      </c>
      <c r="AV3">
        <f t="shared" si="12"/>
        <v>0</v>
      </c>
      <c r="AW3">
        <f t="shared" si="12"/>
        <v>0.24166666666666667</v>
      </c>
      <c r="AX3">
        <f t="shared" si="12"/>
        <v>0</v>
      </c>
      <c r="AY3">
        <f t="shared" si="12"/>
        <v>0.16</v>
      </c>
      <c r="AZ3">
        <f t="shared" si="12"/>
        <v>0.56617647058823528</v>
      </c>
      <c r="BA3">
        <f t="shared" si="12"/>
        <v>0</v>
      </c>
      <c r="BB3">
        <f t="shared" si="12"/>
        <v>0</v>
      </c>
      <c r="BC3">
        <f t="shared" si="12"/>
        <v>0.1728395061728395</v>
      </c>
      <c r="BD3">
        <f t="shared" si="12"/>
        <v>0.7441860465116279</v>
      </c>
      <c r="BE3">
        <f t="shared" si="12"/>
        <v>0.33962264150943394</v>
      </c>
      <c r="BF3">
        <f t="shared" si="12"/>
        <v>6.7842605156037995E-3</v>
      </c>
      <c r="BG3">
        <f t="shared" si="12"/>
        <v>5.2192066805845511E-3</v>
      </c>
      <c r="BH3">
        <f t="shared" si="12"/>
        <v>1.050420168067227E-2</v>
      </c>
      <c r="BI3">
        <f t="shared" si="12"/>
        <v>8.2372322899505763E-3</v>
      </c>
      <c r="BJ3">
        <f t="shared" si="12"/>
        <v>0</v>
      </c>
      <c r="BK3">
        <f t="shared" si="12"/>
        <v>0</v>
      </c>
      <c r="BL3">
        <f t="shared" si="12"/>
        <v>0</v>
      </c>
      <c r="BM3">
        <f t="shared" si="12"/>
        <v>0.26548672566371684</v>
      </c>
      <c r="BN3">
        <f t="shared" si="12"/>
        <v>0.18085106382978725</v>
      </c>
      <c r="BO3">
        <f t="shared" si="12"/>
        <v>0</v>
      </c>
      <c r="BP3">
        <f t="shared" si="12"/>
        <v>0</v>
      </c>
      <c r="BQ3">
        <f t="shared" si="12"/>
        <v>0</v>
      </c>
      <c r="BR3">
        <f t="shared" si="12"/>
        <v>0</v>
      </c>
      <c r="BS3">
        <f t="shared" si="12"/>
        <v>7.9545454545454544E-2</v>
      </c>
      <c r="BT3">
        <f t="shared" si="12"/>
        <v>0</v>
      </c>
      <c r="BU3">
        <f t="shared" si="12"/>
        <v>0</v>
      </c>
      <c r="BV3">
        <f t="shared" si="12"/>
        <v>0</v>
      </c>
      <c r="BW3">
        <f t="shared" si="12"/>
        <v>0</v>
      </c>
      <c r="BX3">
        <f t="shared" si="12"/>
        <v>0</v>
      </c>
    </row>
    <row r="4" spans="1:76">
      <c r="A4" t="s">
        <v>4</v>
      </c>
      <c r="B4">
        <v>1</v>
      </c>
      <c r="C4" t="str">
        <f t="shared" si="0"/>
        <v>test.BallonFactory_1_</v>
      </c>
      <c r="D4">
        <v>3</v>
      </c>
      <c r="E4">
        <v>1</v>
      </c>
      <c r="F4">
        <v>0.96865615615615619</v>
      </c>
      <c r="G4" s="1" t="str">
        <f t="shared" si="1"/>
        <v/>
      </c>
      <c r="H4" s="1" t="str">
        <f t="shared" si="2"/>
        <v/>
      </c>
      <c r="I4" s="1" t="str">
        <f t="shared" si="3"/>
        <v/>
      </c>
      <c r="J4" s="1" t="str">
        <f t="shared" si="4"/>
        <v/>
      </c>
      <c r="K4" s="1">
        <f t="shared" si="5"/>
        <v>1</v>
      </c>
      <c r="L4" s="1" t="str">
        <f t="shared" si="6"/>
        <v/>
      </c>
      <c r="M4" s="1"/>
      <c r="N4" s="1">
        <f t="shared" ref="N4:N7" si="13">SUM(T4:V4)/64</f>
        <v>0.203125</v>
      </c>
      <c r="O4" s="1">
        <f t="shared" ref="O4:O7" si="14">SUM(Q4:V4)</f>
        <v>53</v>
      </c>
      <c r="P4" t="s">
        <v>216</v>
      </c>
      <c r="Q4" s="3">
        <f t="shared" ref="Q3:Q8" si="15">COUNTIF($X4:$BX4,"=0")</f>
        <v>17</v>
      </c>
      <c r="R4" s="3">
        <f t="shared" si="7"/>
        <v>16</v>
      </c>
      <c r="S4" s="3">
        <f t="shared" si="8"/>
        <v>7</v>
      </c>
      <c r="T4" s="3">
        <f t="shared" si="9"/>
        <v>5</v>
      </c>
      <c r="U4" s="3">
        <f t="shared" si="10"/>
        <v>5</v>
      </c>
      <c r="V4" s="3">
        <f t="shared" si="11"/>
        <v>3</v>
      </c>
      <c r="W4" t="s">
        <v>216</v>
      </c>
      <c r="X4">
        <f>IF(X3&lt;DMAX($A$1:$L$472,$W4,X$1:X$2),DMAX($A$1:$L$472,$W4,X$1:X$2),X3)</f>
        <v>0</v>
      </c>
      <c r="Y4">
        <f t="shared" ref="Y4:BX8" si="16">IF(Y3&lt;DMAX($A$1:$L$472,$W4,Y$1:Y$2),DMAX($A$1:$L$472,$W4,Y$1:Y$2),Y3)</f>
        <v>0</v>
      </c>
      <c r="Z4">
        <f t="shared" si="16"/>
        <v>0.27777777777777779</v>
      </c>
      <c r="AA4">
        <f t="shared" si="16"/>
        <v>0.91304347826086951</v>
      </c>
      <c r="AB4">
        <f t="shared" si="16"/>
        <v>0.19354838709677419</v>
      </c>
      <c r="AC4">
        <f t="shared" si="16"/>
        <v>0.19354838709677419</v>
      </c>
      <c r="AD4">
        <f t="shared" si="16"/>
        <v>0</v>
      </c>
      <c r="AE4">
        <f t="shared" si="16"/>
        <v>3.2786885245901641E-2</v>
      </c>
      <c r="AF4">
        <f t="shared" si="16"/>
        <v>0.36170212765957449</v>
      </c>
      <c r="AG4">
        <f t="shared" si="16"/>
        <v>4.7244094488188976E-2</v>
      </c>
      <c r="AH4">
        <f t="shared" si="16"/>
        <v>0</v>
      </c>
      <c r="AI4">
        <f t="shared" si="16"/>
        <v>0.98522167487684731</v>
      </c>
      <c r="AJ4">
        <f t="shared" si="16"/>
        <v>5.208333333333333E-3</v>
      </c>
      <c r="AK4">
        <f t="shared" si="16"/>
        <v>8.4745762711864406E-3</v>
      </c>
      <c r="AL4">
        <f t="shared" si="16"/>
        <v>0.26190476190476192</v>
      </c>
      <c r="AM4">
        <f t="shared" si="16"/>
        <v>0</v>
      </c>
      <c r="AN4">
        <f t="shared" si="16"/>
        <v>0</v>
      </c>
      <c r="AO4">
        <f t="shared" si="16"/>
        <v>0</v>
      </c>
      <c r="AP4">
        <f t="shared" si="16"/>
        <v>0.16279069767441862</v>
      </c>
      <c r="AQ4">
        <f t="shared" si="16"/>
        <v>9.6774193548387094E-2</v>
      </c>
      <c r="AR4">
        <f t="shared" si="16"/>
        <v>0.5178571428571429</v>
      </c>
      <c r="AS4">
        <f t="shared" si="16"/>
        <v>0.36046511627906974</v>
      </c>
      <c r="AT4">
        <f t="shared" si="16"/>
        <v>0.45652173913043476</v>
      </c>
      <c r="AU4">
        <f t="shared" si="16"/>
        <v>0.2</v>
      </c>
      <c r="AV4">
        <f t="shared" si="16"/>
        <v>0</v>
      </c>
      <c r="AW4">
        <f t="shared" si="16"/>
        <v>0.24166666666666667</v>
      </c>
      <c r="AX4">
        <f t="shared" si="16"/>
        <v>0.6696428571428571</v>
      </c>
      <c r="AY4">
        <f t="shared" si="16"/>
        <v>0.88571428571428568</v>
      </c>
      <c r="AZ4">
        <f t="shared" si="16"/>
        <v>1</v>
      </c>
      <c r="BA4">
        <f t="shared" si="16"/>
        <v>0</v>
      </c>
      <c r="BB4">
        <f t="shared" si="16"/>
        <v>0.73333333333333328</v>
      </c>
      <c r="BC4">
        <f t="shared" si="16"/>
        <v>0.86419753086419748</v>
      </c>
      <c r="BD4">
        <f t="shared" si="16"/>
        <v>1</v>
      </c>
      <c r="BE4">
        <f t="shared" si="16"/>
        <v>0.33962264150943394</v>
      </c>
      <c r="BF4">
        <f t="shared" si="16"/>
        <v>6.7842605156037995E-3</v>
      </c>
      <c r="BG4">
        <f t="shared" si="16"/>
        <v>5.2192066805845511E-3</v>
      </c>
      <c r="BH4">
        <f t="shared" si="16"/>
        <v>1.050420168067227E-2</v>
      </c>
      <c r="BI4">
        <f t="shared" si="16"/>
        <v>8.2372322899505763E-3</v>
      </c>
      <c r="BJ4">
        <f t="shared" si="16"/>
        <v>0</v>
      </c>
      <c r="BK4">
        <f t="shared" si="16"/>
        <v>0</v>
      </c>
      <c r="BL4">
        <f t="shared" si="16"/>
        <v>0</v>
      </c>
      <c r="BM4">
        <f t="shared" si="16"/>
        <v>0.51327433628318586</v>
      </c>
      <c r="BN4">
        <f t="shared" si="16"/>
        <v>1</v>
      </c>
      <c r="BO4">
        <f t="shared" si="16"/>
        <v>0.84360189573459721</v>
      </c>
      <c r="BP4">
        <f t="shared" si="16"/>
        <v>0</v>
      </c>
      <c r="BQ4">
        <f t="shared" si="16"/>
        <v>0.63888888888888884</v>
      </c>
      <c r="BR4">
        <f t="shared" si="16"/>
        <v>0</v>
      </c>
      <c r="BS4">
        <f t="shared" si="16"/>
        <v>7.9545454545454544E-2</v>
      </c>
      <c r="BT4">
        <f t="shared" si="16"/>
        <v>0.125</v>
      </c>
      <c r="BU4">
        <f t="shared" si="16"/>
        <v>0</v>
      </c>
      <c r="BV4">
        <f t="shared" si="16"/>
        <v>0.352112676056338</v>
      </c>
      <c r="BW4">
        <f t="shared" si="16"/>
        <v>0</v>
      </c>
      <c r="BX4">
        <f t="shared" si="16"/>
        <v>0</v>
      </c>
    </row>
    <row r="5" spans="1:76">
      <c r="A5" t="s">
        <v>4</v>
      </c>
      <c r="B5">
        <v>1</v>
      </c>
      <c r="C5" t="str">
        <f t="shared" si="0"/>
        <v>test.BallonFactory_1_</v>
      </c>
      <c r="D5">
        <v>4</v>
      </c>
      <c r="E5">
        <v>1</v>
      </c>
      <c r="F5">
        <v>0.96903153153153154</v>
      </c>
      <c r="G5" s="1" t="str">
        <f t="shared" si="1"/>
        <v/>
      </c>
      <c r="H5" s="1" t="str">
        <f t="shared" si="2"/>
        <v/>
      </c>
      <c r="I5" s="1" t="str">
        <f t="shared" si="3"/>
        <v/>
      </c>
      <c r="J5" s="1" t="str">
        <f t="shared" si="4"/>
        <v/>
      </c>
      <c r="K5" s="1">
        <f t="shared" si="5"/>
        <v>1</v>
      </c>
      <c r="L5" s="1" t="str">
        <f t="shared" si="6"/>
        <v/>
      </c>
      <c r="M5" s="1">
        <f>SUM(R5:V5)/64</f>
        <v>0.625</v>
      </c>
      <c r="N5" s="1">
        <f t="shared" si="13"/>
        <v>0.3125</v>
      </c>
      <c r="O5" s="1">
        <f t="shared" si="14"/>
        <v>53</v>
      </c>
      <c r="P5" t="s">
        <v>217</v>
      </c>
      <c r="Q5" s="3">
        <f t="shared" si="15"/>
        <v>13</v>
      </c>
      <c r="R5" s="3">
        <f t="shared" si="7"/>
        <v>12</v>
      </c>
      <c r="S5" s="3">
        <f t="shared" si="8"/>
        <v>8</v>
      </c>
      <c r="T5" s="3">
        <f t="shared" si="9"/>
        <v>4</v>
      </c>
      <c r="U5" s="3">
        <f t="shared" si="10"/>
        <v>4</v>
      </c>
      <c r="V5" s="3">
        <f t="shared" si="11"/>
        <v>12</v>
      </c>
      <c r="W5" t="s">
        <v>217</v>
      </c>
      <c r="X5">
        <f>IF(X4&lt;DMAX($A$1:$L$472,$W5,X$1:X$2),DMAX($A$1:$L$472,$W5,X$1:X$2),X4)</f>
        <v>0</v>
      </c>
      <c r="Y5">
        <f t="shared" si="16"/>
        <v>0.5757575757575758</v>
      </c>
      <c r="Z5">
        <f t="shared" si="16"/>
        <v>0.27777777777777779</v>
      </c>
      <c r="AA5">
        <f t="shared" si="16"/>
        <v>1</v>
      </c>
      <c r="AB5">
        <f t="shared" si="16"/>
        <v>0.19354838709677419</v>
      </c>
      <c r="AC5">
        <f t="shared" si="16"/>
        <v>0.19354838709677419</v>
      </c>
      <c r="AD5">
        <f t="shared" si="16"/>
        <v>0</v>
      </c>
      <c r="AE5">
        <f t="shared" si="16"/>
        <v>3.2786885245901641E-2</v>
      </c>
      <c r="AF5">
        <f t="shared" si="16"/>
        <v>0.36170212765957449</v>
      </c>
      <c r="AG5">
        <f t="shared" si="16"/>
        <v>4.7244094488188976E-2</v>
      </c>
      <c r="AH5">
        <f t="shared" si="16"/>
        <v>0</v>
      </c>
      <c r="AI5">
        <f t="shared" si="16"/>
        <v>0.98522167487684731</v>
      </c>
      <c r="AJ5">
        <f t="shared" si="16"/>
        <v>0.96875</v>
      </c>
      <c r="AK5">
        <f t="shared" si="16"/>
        <v>0.4152542372881356</v>
      </c>
      <c r="AL5">
        <f t="shared" si="16"/>
        <v>0.26190476190476192</v>
      </c>
      <c r="AM5">
        <f t="shared" si="16"/>
        <v>0</v>
      </c>
      <c r="AN5">
        <f t="shared" si="16"/>
        <v>0</v>
      </c>
      <c r="AO5">
        <f t="shared" si="16"/>
        <v>0</v>
      </c>
      <c r="AP5">
        <f t="shared" si="16"/>
        <v>0.16279069767441862</v>
      </c>
      <c r="AQ5">
        <f t="shared" si="16"/>
        <v>9.6774193548387094E-2</v>
      </c>
      <c r="AR5">
        <f t="shared" si="16"/>
        <v>0.5178571428571429</v>
      </c>
      <c r="AS5">
        <f>IF(AS4&lt;DMAX($A$1:$L$472,$W5,AS$1:AS$2),DMAX($A$1:$L$472,$W5,AS$1:AS$2),AS4)</f>
        <v>0.36046511627906974</v>
      </c>
      <c r="AT5">
        <f t="shared" si="16"/>
        <v>0.45652173913043476</v>
      </c>
      <c r="AU5">
        <f t="shared" si="16"/>
        <v>0.4</v>
      </c>
      <c r="AV5">
        <f t="shared" si="16"/>
        <v>0</v>
      </c>
      <c r="AW5">
        <f t="shared" si="16"/>
        <v>0.24166666666666667</v>
      </c>
      <c r="AX5">
        <f t="shared" si="16"/>
        <v>1</v>
      </c>
      <c r="AY5">
        <f t="shared" si="16"/>
        <v>1</v>
      </c>
      <c r="AZ5">
        <f t="shared" si="16"/>
        <v>1</v>
      </c>
      <c r="BA5">
        <f t="shared" si="16"/>
        <v>0</v>
      </c>
      <c r="BB5">
        <f t="shared" si="16"/>
        <v>1</v>
      </c>
      <c r="BC5">
        <f t="shared" si="16"/>
        <v>1</v>
      </c>
      <c r="BD5">
        <f t="shared" si="16"/>
        <v>1</v>
      </c>
      <c r="BE5">
        <f t="shared" si="16"/>
        <v>0.33962264150943394</v>
      </c>
      <c r="BF5">
        <f t="shared" si="16"/>
        <v>6.7842605156037995E-3</v>
      </c>
      <c r="BG5">
        <f t="shared" si="16"/>
        <v>0.58768267223382042</v>
      </c>
      <c r="BH5">
        <f t="shared" si="16"/>
        <v>1.050420168067227E-2</v>
      </c>
      <c r="BI5">
        <f t="shared" si="16"/>
        <v>8.2372322899505763E-3</v>
      </c>
      <c r="BJ5">
        <f t="shared" si="16"/>
        <v>1</v>
      </c>
      <c r="BK5">
        <f t="shared" si="16"/>
        <v>1</v>
      </c>
      <c r="BL5">
        <f t="shared" si="16"/>
        <v>0.1</v>
      </c>
      <c r="BM5">
        <f t="shared" si="16"/>
        <v>1</v>
      </c>
      <c r="BN5">
        <f t="shared" si="16"/>
        <v>1</v>
      </c>
      <c r="BO5">
        <f t="shared" si="16"/>
        <v>1</v>
      </c>
      <c r="BP5">
        <f t="shared" si="16"/>
        <v>0</v>
      </c>
      <c r="BQ5">
        <f t="shared" si="16"/>
        <v>0.77777777777777779</v>
      </c>
      <c r="BR5">
        <f t="shared" si="16"/>
        <v>0</v>
      </c>
      <c r="BS5">
        <f t="shared" si="16"/>
        <v>0.94318181818181823</v>
      </c>
      <c r="BT5">
        <f t="shared" si="16"/>
        <v>0.125</v>
      </c>
      <c r="BU5">
        <f t="shared" si="16"/>
        <v>0</v>
      </c>
      <c r="BV5">
        <f t="shared" si="16"/>
        <v>0.70422535211267601</v>
      </c>
      <c r="BW5">
        <f t="shared" si="16"/>
        <v>0</v>
      </c>
      <c r="BX5">
        <f t="shared" si="16"/>
        <v>0</v>
      </c>
    </row>
    <row r="6" spans="1:76">
      <c r="A6" t="s">
        <v>4</v>
      </c>
      <c r="B6">
        <v>1</v>
      </c>
      <c r="C6" t="str">
        <f t="shared" si="0"/>
        <v>test.BallonFactory_1_</v>
      </c>
      <c r="D6">
        <v>1</v>
      </c>
      <c r="E6">
        <v>1</v>
      </c>
      <c r="F6">
        <v>0.97954204204204209</v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" t="str">
        <f t="shared" si="4"/>
        <v/>
      </c>
      <c r="K6" s="1">
        <f t="shared" si="5"/>
        <v>1</v>
      </c>
      <c r="L6" s="1" t="str">
        <f t="shared" si="6"/>
        <v/>
      </c>
      <c r="M6" s="1">
        <f>25/64</f>
        <v>0.390625</v>
      </c>
      <c r="N6" s="1">
        <f>SUM(T6:V6)/64</f>
        <v>0.5</v>
      </c>
      <c r="O6" s="1">
        <f t="shared" si="14"/>
        <v>53</v>
      </c>
      <c r="P6" t="s">
        <v>218</v>
      </c>
      <c r="Q6" s="3">
        <f t="shared" si="15"/>
        <v>9</v>
      </c>
      <c r="R6" s="3">
        <f t="shared" si="7"/>
        <v>7</v>
      </c>
      <c r="S6" s="3">
        <f t="shared" si="8"/>
        <v>5</v>
      </c>
      <c r="T6" s="3">
        <f t="shared" si="9"/>
        <v>5</v>
      </c>
      <c r="U6" s="3">
        <f t="shared" si="10"/>
        <v>9</v>
      </c>
      <c r="V6" s="3">
        <f t="shared" si="11"/>
        <v>18</v>
      </c>
      <c r="W6" t="s">
        <v>218</v>
      </c>
      <c r="X6">
        <f>IF(X5&lt;DMAX($A$1:$L$472,$W6,X$1:X$2),DMAX($A$1:$L$472,$W6,X$1:X$2),X5)</f>
        <v>0</v>
      </c>
      <c r="Y6">
        <f t="shared" si="16"/>
        <v>0.96969696969696972</v>
      </c>
      <c r="Z6">
        <f t="shared" si="16"/>
        <v>0.61111111111111116</v>
      </c>
      <c r="AA6">
        <f t="shared" si="16"/>
        <v>1</v>
      </c>
      <c r="AB6">
        <f t="shared" si="16"/>
        <v>0.93548387096774188</v>
      </c>
      <c r="AC6">
        <f t="shared" si="16"/>
        <v>0.93548387096774188</v>
      </c>
      <c r="AD6">
        <f t="shared" si="16"/>
        <v>0</v>
      </c>
      <c r="AE6">
        <f t="shared" si="16"/>
        <v>3.2786885245901641E-2</v>
      </c>
      <c r="AF6">
        <f t="shared" si="16"/>
        <v>0.36170212765957449</v>
      </c>
      <c r="AG6">
        <f t="shared" si="16"/>
        <v>4.7244094488188976E-2</v>
      </c>
      <c r="AH6">
        <f t="shared" si="16"/>
        <v>0</v>
      </c>
      <c r="AI6">
        <f t="shared" si="16"/>
        <v>0.98522167487684731</v>
      </c>
      <c r="AJ6">
        <f t="shared" si="16"/>
        <v>0.96875</v>
      </c>
      <c r="AK6">
        <f t="shared" si="16"/>
        <v>0.70338983050847459</v>
      </c>
      <c r="AL6">
        <f t="shared" si="16"/>
        <v>0.26190476190476192</v>
      </c>
      <c r="AM6">
        <f t="shared" si="16"/>
        <v>0</v>
      </c>
      <c r="AN6">
        <f t="shared" si="16"/>
        <v>0</v>
      </c>
      <c r="AO6">
        <f t="shared" si="16"/>
        <v>1</v>
      </c>
      <c r="AP6">
        <f t="shared" si="16"/>
        <v>0.16279069767441862</v>
      </c>
      <c r="AQ6">
        <f t="shared" si="16"/>
        <v>1</v>
      </c>
      <c r="AR6">
        <f t="shared" si="16"/>
        <v>0.5178571428571429</v>
      </c>
      <c r="AS6">
        <f t="shared" si="16"/>
        <v>0.77906976744186052</v>
      </c>
      <c r="AT6">
        <f t="shared" si="16"/>
        <v>0.45652173913043476</v>
      </c>
      <c r="AU6">
        <f t="shared" si="16"/>
        <v>0.8</v>
      </c>
      <c r="AV6">
        <f t="shared" si="16"/>
        <v>0</v>
      </c>
      <c r="AW6">
        <f t="shared" si="16"/>
        <v>0.24166666666666667</v>
      </c>
      <c r="AX6">
        <f t="shared" si="16"/>
        <v>1</v>
      </c>
      <c r="AY6">
        <f t="shared" si="16"/>
        <v>1</v>
      </c>
      <c r="AZ6">
        <f t="shared" si="16"/>
        <v>1</v>
      </c>
      <c r="BA6">
        <f t="shared" si="16"/>
        <v>0.80952380952380953</v>
      </c>
      <c r="BB6">
        <f t="shared" si="16"/>
        <v>1</v>
      </c>
      <c r="BC6">
        <f t="shared" si="16"/>
        <v>1</v>
      </c>
      <c r="BD6">
        <f t="shared" si="16"/>
        <v>1</v>
      </c>
      <c r="BE6">
        <f t="shared" si="16"/>
        <v>0.33962264150943394</v>
      </c>
      <c r="BF6">
        <f t="shared" si="16"/>
        <v>6.7842605156037995E-3</v>
      </c>
      <c r="BG6">
        <f t="shared" si="16"/>
        <v>0.58872651356993733</v>
      </c>
      <c r="BH6">
        <f t="shared" si="16"/>
        <v>1.050420168067227E-2</v>
      </c>
      <c r="BI6">
        <f t="shared" si="16"/>
        <v>8.2372322899505763E-3</v>
      </c>
      <c r="BJ6">
        <f t="shared" si="16"/>
        <v>1</v>
      </c>
      <c r="BK6">
        <f t="shared" si="16"/>
        <v>1</v>
      </c>
      <c r="BL6">
        <f t="shared" si="16"/>
        <v>0.6</v>
      </c>
      <c r="BM6">
        <f t="shared" si="16"/>
        <v>1</v>
      </c>
      <c r="BN6">
        <f t="shared" si="16"/>
        <v>1</v>
      </c>
      <c r="BO6">
        <f t="shared" si="16"/>
        <v>1</v>
      </c>
      <c r="BP6">
        <f t="shared" si="16"/>
        <v>0.84516129032258069</v>
      </c>
      <c r="BQ6">
        <f t="shared" si="16"/>
        <v>1</v>
      </c>
      <c r="BR6">
        <f t="shared" si="16"/>
        <v>0</v>
      </c>
      <c r="BS6">
        <f t="shared" si="16"/>
        <v>1</v>
      </c>
      <c r="BT6">
        <f t="shared" si="16"/>
        <v>1</v>
      </c>
      <c r="BU6">
        <f t="shared" si="16"/>
        <v>0.42857142857142855</v>
      </c>
      <c r="BV6">
        <f t="shared" si="16"/>
        <v>1</v>
      </c>
      <c r="BW6">
        <f t="shared" si="16"/>
        <v>0</v>
      </c>
      <c r="BX6">
        <f t="shared" si="16"/>
        <v>0</v>
      </c>
    </row>
    <row r="7" spans="1:76">
      <c r="A7" t="s">
        <v>4</v>
      </c>
      <c r="B7">
        <v>1</v>
      </c>
      <c r="C7" t="str">
        <f t="shared" si="0"/>
        <v>test.BallonFactory_1_</v>
      </c>
      <c r="D7">
        <v>2</v>
      </c>
      <c r="E7">
        <v>1</v>
      </c>
      <c r="F7">
        <v>0.98179429429429432</v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" t="str">
        <f t="shared" si="4"/>
        <v/>
      </c>
      <c r="K7" s="1">
        <f t="shared" si="5"/>
        <v>1</v>
      </c>
      <c r="L7" s="1" t="str">
        <f t="shared" si="6"/>
        <v/>
      </c>
      <c r="M7" s="1"/>
      <c r="N7" s="1">
        <f t="shared" si="13"/>
        <v>0.8125</v>
      </c>
      <c r="O7" s="1">
        <f>SUM(Q7:V7)</f>
        <v>53</v>
      </c>
      <c r="P7" s="2" t="s">
        <v>219</v>
      </c>
      <c r="Q7" s="3">
        <f t="shared" si="15"/>
        <v>0</v>
      </c>
      <c r="R7" s="3">
        <f t="shared" si="7"/>
        <v>0</v>
      </c>
      <c r="S7" s="3">
        <f t="shared" si="8"/>
        <v>1</v>
      </c>
      <c r="T7" s="3">
        <f t="shared" si="9"/>
        <v>0</v>
      </c>
      <c r="U7" s="3">
        <f t="shared" si="10"/>
        <v>6</v>
      </c>
      <c r="V7" s="3">
        <f>COUNTIF($X7:$BX7,"=1")</f>
        <v>46</v>
      </c>
      <c r="W7" s="2" t="s">
        <v>219</v>
      </c>
      <c r="X7">
        <f>IF(X6&lt;DMAX($A$1:$L$472,$W7,X$1:X$2),DMAX($A$1:$L$472,$W7,X$1:X$2),X6)</f>
        <v>1</v>
      </c>
      <c r="Y7">
        <f t="shared" si="16"/>
        <v>1</v>
      </c>
      <c r="Z7">
        <f t="shared" si="16"/>
        <v>0.88888888888888884</v>
      </c>
      <c r="AA7">
        <f t="shared" si="16"/>
        <v>1</v>
      </c>
      <c r="AB7">
        <f t="shared" si="16"/>
        <v>1</v>
      </c>
      <c r="AC7">
        <f t="shared" si="16"/>
        <v>1</v>
      </c>
      <c r="AD7">
        <f t="shared" si="16"/>
        <v>1</v>
      </c>
      <c r="AE7">
        <f t="shared" si="16"/>
        <v>1</v>
      </c>
      <c r="AF7">
        <f t="shared" si="16"/>
        <v>1</v>
      </c>
      <c r="AG7">
        <f t="shared" si="16"/>
        <v>0.99212598425196852</v>
      </c>
      <c r="AH7">
        <f t="shared" si="16"/>
        <v>1</v>
      </c>
      <c r="AI7">
        <f t="shared" si="16"/>
        <v>1</v>
      </c>
      <c r="AJ7">
        <f t="shared" si="16"/>
        <v>1</v>
      </c>
      <c r="AK7">
        <f t="shared" si="16"/>
        <v>1</v>
      </c>
      <c r="AL7">
        <f t="shared" si="16"/>
        <v>0.98809523809523814</v>
      </c>
      <c r="AM7">
        <f t="shared" si="16"/>
        <v>1</v>
      </c>
      <c r="AN7">
        <f t="shared" si="16"/>
        <v>1</v>
      </c>
      <c r="AO7">
        <f t="shared" si="16"/>
        <v>1</v>
      </c>
      <c r="AP7">
        <f t="shared" si="16"/>
        <v>1</v>
      </c>
      <c r="AQ7">
        <f t="shared" si="16"/>
        <v>1</v>
      </c>
      <c r="AR7">
        <f t="shared" si="16"/>
        <v>1</v>
      </c>
      <c r="AS7">
        <f t="shared" si="16"/>
        <v>0.98837209302325579</v>
      </c>
      <c r="AT7">
        <f t="shared" si="16"/>
        <v>1</v>
      </c>
      <c r="AU7">
        <f t="shared" si="16"/>
        <v>1</v>
      </c>
      <c r="AV7">
        <f t="shared" si="16"/>
        <v>1</v>
      </c>
      <c r="AW7">
        <f t="shared" si="16"/>
        <v>1</v>
      </c>
      <c r="AX7">
        <f t="shared" si="16"/>
        <v>1</v>
      </c>
      <c r="AY7">
        <f t="shared" si="16"/>
        <v>1</v>
      </c>
      <c r="AZ7">
        <f t="shared" si="16"/>
        <v>1</v>
      </c>
      <c r="BA7">
        <f t="shared" si="16"/>
        <v>0.80952380952380953</v>
      </c>
      <c r="BB7">
        <f t="shared" si="16"/>
        <v>1</v>
      </c>
      <c r="BC7">
        <f t="shared" si="16"/>
        <v>1</v>
      </c>
      <c r="BD7">
        <f t="shared" si="16"/>
        <v>1</v>
      </c>
      <c r="BE7">
        <f t="shared" si="16"/>
        <v>1</v>
      </c>
      <c r="BF7">
        <f t="shared" si="16"/>
        <v>1</v>
      </c>
      <c r="BG7">
        <f t="shared" si="16"/>
        <v>1</v>
      </c>
      <c r="BH7">
        <f t="shared" si="16"/>
        <v>1</v>
      </c>
      <c r="BI7">
        <f t="shared" si="16"/>
        <v>1</v>
      </c>
      <c r="BJ7">
        <f t="shared" si="16"/>
        <v>1</v>
      </c>
      <c r="BK7">
        <f t="shared" si="16"/>
        <v>1</v>
      </c>
      <c r="BL7">
        <f t="shared" si="16"/>
        <v>1</v>
      </c>
      <c r="BM7">
        <f t="shared" si="16"/>
        <v>1</v>
      </c>
      <c r="BN7">
        <f t="shared" si="16"/>
        <v>1</v>
      </c>
      <c r="BO7">
        <f t="shared" si="16"/>
        <v>1</v>
      </c>
      <c r="BP7">
        <f t="shared" si="16"/>
        <v>1</v>
      </c>
      <c r="BQ7">
        <f t="shared" si="16"/>
        <v>1</v>
      </c>
      <c r="BR7">
        <f t="shared" si="16"/>
        <v>1</v>
      </c>
      <c r="BS7">
        <f t="shared" si="16"/>
        <v>1</v>
      </c>
      <c r="BT7">
        <f t="shared" si="16"/>
        <v>1</v>
      </c>
      <c r="BU7">
        <f t="shared" si="16"/>
        <v>0.42857142857142855</v>
      </c>
      <c r="BV7">
        <f t="shared" si="16"/>
        <v>1</v>
      </c>
      <c r="BW7">
        <f t="shared" si="16"/>
        <v>1</v>
      </c>
      <c r="BX7">
        <f t="shared" si="16"/>
        <v>0.93103448275862066</v>
      </c>
    </row>
    <row r="8" spans="1:76">
      <c r="A8" t="s">
        <v>4</v>
      </c>
      <c r="B8">
        <v>1</v>
      </c>
      <c r="C8" t="str">
        <f t="shared" si="0"/>
        <v>test.BallonFactory_1_</v>
      </c>
      <c r="D8">
        <v>3</v>
      </c>
      <c r="E8">
        <v>1</v>
      </c>
      <c r="F8">
        <v>0.99774774774774777</v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" t="str">
        <f t="shared" si="4"/>
        <v/>
      </c>
      <c r="K8" s="1">
        <f t="shared" si="5"/>
        <v>1</v>
      </c>
      <c r="L8" s="1" t="str">
        <f t="shared" si="6"/>
        <v/>
      </c>
      <c r="M8" s="1"/>
      <c r="N8" s="1">
        <f>SUM(T8:V8)/64</f>
        <v>0.828125</v>
      </c>
      <c r="O8" s="1">
        <f>SUM(Q8:V8)</f>
        <v>53</v>
      </c>
      <c r="P8" s="1" t="s">
        <v>220</v>
      </c>
      <c r="Q8" s="3">
        <f t="shared" si="15"/>
        <v>0</v>
      </c>
      <c r="R8" s="3">
        <f t="shared" si="7"/>
        <v>0</v>
      </c>
      <c r="S8" s="3">
        <f t="shared" si="8"/>
        <v>0</v>
      </c>
      <c r="T8" s="3">
        <f t="shared" si="9"/>
        <v>0</v>
      </c>
      <c r="U8" s="3">
        <f t="shared" si="10"/>
        <v>0</v>
      </c>
      <c r="V8" s="3">
        <f t="shared" si="11"/>
        <v>53</v>
      </c>
      <c r="W8" s="2" t="s">
        <v>220</v>
      </c>
      <c r="X8">
        <f>IF(X7&lt;DMAX($A$1:$L$472,$W8,X$1:X$2),DMAX($A$1:$L$472,$W8,X$1:X$2),X7)</f>
        <v>1</v>
      </c>
      <c r="Y8">
        <f t="shared" si="16"/>
        <v>1</v>
      </c>
      <c r="Z8">
        <f t="shared" si="16"/>
        <v>1</v>
      </c>
      <c r="AA8">
        <f t="shared" si="16"/>
        <v>1</v>
      </c>
      <c r="AB8">
        <f t="shared" si="16"/>
        <v>1</v>
      </c>
      <c r="AC8">
        <f t="shared" si="16"/>
        <v>1</v>
      </c>
      <c r="AD8">
        <f t="shared" si="16"/>
        <v>1</v>
      </c>
      <c r="AE8">
        <f t="shared" si="16"/>
        <v>1</v>
      </c>
      <c r="AF8">
        <f t="shared" si="16"/>
        <v>1</v>
      </c>
      <c r="AG8">
        <f t="shared" si="16"/>
        <v>1</v>
      </c>
      <c r="AH8">
        <f t="shared" si="16"/>
        <v>1</v>
      </c>
      <c r="AI8">
        <f t="shared" si="16"/>
        <v>1</v>
      </c>
      <c r="AJ8">
        <f t="shared" si="16"/>
        <v>1</v>
      </c>
      <c r="AK8">
        <f t="shared" si="16"/>
        <v>1</v>
      </c>
      <c r="AL8">
        <f t="shared" si="16"/>
        <v>1</v>
      </c>
      <c r="AM8">
        <f t="shared" si="16"/>
        <v>1</v>
      </c>
      <c r="AN8">
        <f t="shared" si="16"/>
        <v>1</v>
      </c>
      <c r="AO8">
        <f t="shared" si="16"/>
        <v>1</v>
      </c>
      <c r="AP8">
        <f t="shared" si="16"/>
        <v>1</v>
      </c>
      <c r="AQ8">
        <f t="shared" si="16"/>
        <v>1</v>
      </c>
      <c r="AR8">
        <f t="shared" si="16"/>
        <v>1</v>
      </c>
      <c r="AS8">
        <f t="shared" si="16"/>
        <v>1</v>
      </c>
      <c r="AT8">
        <f t="shared" si="16"/>
        <v>1</v>
      </c>
      <c r="AU8">
        <f t="shared" si="16"/>
        <v>1</v>
      </c>
      <c r="AV8">
        <f t="shared" si="16"/>
        <v>1</v>
      </c>
      <c r="AW8">
        <f t="shared" si="16"/>
        <v>1</v>
      </c>
      <c r="AX8">
        <f t="shared" si="16"/>
        <v>1</v>
      </c>
      <c r="AY8">
        <f t="shared" si="16"/>
        <v>1</v>
      </c>
      <c r="AZ8">
        <f t="shared" si="16"/>
        <v>1</v>
      </c>
      <c r="BA8">
        <f t="shared" si="16"/>
        <v>1</v>
      </c>
      <c r="BB8">
        <f t="shared" si="16"/>
        <v>1</v>
      </c>
      <c r="BC8">
        <f t="shared" si="16"/>
        <v>1</v>
      </c>
      <c r="BD8">
        <f t="shared" si="16"/>
        <v>1</v>
      </c>
      <c r="BE8">
        <f t="shared" si="16"/>
        <v>1</v>
      </c>
      <c r="BF8">
        <f t="shared" si="16"/>
        <v>1</v>
      </c>
      <c r="BG8">
        <f t="shared" si="16"/>
        <v>1</v>
      </c>
      <c r="BH8">
        <f t="shared" si="16"/>
        <v>1</v>
      </c>
      <c r="BI8">
        <f t="shared" si="16"/>
        <v>1</v>
      </c>
      <c r="BJ8">
        <f t="shared" si="16"/>
        <v>1</v>
      </c>
      <c r="BK8">
        <f t="shared" si="16"/>
        <v>1</v>
      </c>
      <c r="BL8">
        <f t="shared" si="16"/>
        <v>1</v>
      </c>
      <c r="BM8">
        <f t="shared" si="16"/>
        <v>1</v>
      </c>
      <c r="BN8">
        <f t="shared" si="16"/>
        <v>1</v>
      </c>
      <c r="BO8">
        <f t="shared" si="16"/>
        <v>1</v>
      </c>
      <c r="BP8">
        <f t="shared" si="16"/>
        <v>1</v>
      </c>
      <c r="BQ8">
        <f t="shared" si="16"/>
        <v>1</v>
      </c>
      <c r="BR8">
        <f t="shared" si="16"/>
        <v>1</v>
      </c>
      <c r="BS8">
        <f t="shared" si="16"/>
        <v>1</v>
      </c>
      <c r="BT8">
        <f t="shared" ref="BT8:BX8" si="17">IF(BT7&lt;DMAX($A$1:$L$472,$W8,BT$1:BT$2),DMAX($A$1:$L$472,$W8,BT$1:BT$2),BT7)</f>
        <v>1</v>
      </c>
      <c r="BU8">
        <f t="shared" si="17"/>
        <v>1</v>
      </c>
      <c r="BV8">
        <f t="shared" si="17"/>
        <v>1</v>
      </c>
      <c r="BW8">
        <f t="shared" si="17"/>
        <v>1</v>
      </c>
      <c r="BX8">
        <f t="shared" si="17"/>
        <v>1</v>
      </c>
    </row>
    <row r="9" spans="1:76">
      <c r="A9" t="s">
        <v>4</v>
      </c>
      <c r="B9">
        <v>1</v>
      </c>
      <c r="C9" t="str">
        <f t="shared" si="0"/>
        <v>test.BallonFactory_1_</v>
      </c>
      <c r="D9">
        <v>4</v>
      </c>
      <c r="E9">
        <v>1</v>
      </c>
      <c r="F9">
        <v>1.0157657657657657</v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" t="str">
        <f t="shared" si="4"/>
        <v/>
      </c>
      <c r="K9" s="1">
        <f t="shared" si="5"/>
        <v>1</v>
      </c>
      <c r="L9" s="1" t="str">
        <f t="shared" si="6"/>
        <v/>
      </c>
    </row>
    <row r="10" spans="1:76">
      <c r="A10" t="s">
        <v>4</v>
      </c>
      <c r="B10">
        <v>2</v>
      </c>
      <c r="C10" t="str">
        <f t="shared" si="0"/>
        <v>test.BallonFactory_2_</v>
      </c>
      <c r="D10">
        <v>5</v>
      </c>
      <c r="E10">
        <v>0.33333333333333331</v>
      </c>
      <c r="F10">
        <v>0.40621266427718039</v>
      </c>
      <c r="G10" s="1" t="str">
        <f t="shared" si="1"/>
        <v/>
      </c>
      <c r="H10" s="1" t="str">
        <f t="shared" si="2"/>
        <v/>
      </c>
      <c r="I10" s="1">
        <f t="shared" si="3"/>
        <v>0.33333333333333331</v>
      </c>
      <c r="J10" s="1" t="str">
        <f t="shared" si="4"/>
        <v/>
      </c>
      <c r="K10" s="1" t="str">
        <f t="shared" si="5"/>
        <v/>
      </c>
      <c r="L10" s="1" t="str">
        <f t="shared" si="6"/>
        <v/>
      </c>
    </row>
    <row r="11" spans="1:76">
      <c r="A11" t="s">
        <v>4</v>
      </c>
      <c r="B11">
        <v>2</v>
      </c>
      <c r="C11" t="str">
        <f t="shared" si="0"/>
        <v>test.BallonFactory_2_</v>
      </c>
      <c r="D11">
        <v>6</v>
      </c>
      <c r="E11">
        <v>0.5757575757575758</v>
      </c>
      <c r="F11">
        <v>0.56511350059737153</v>
      </c>
      <c r="G11" s="1" t="str">
        <f t="shared" si="1"/>
        <v/>
      </c>
      <c r="H11" s="1" t="str">
        <f t="shared" si="2"/>
        <v/>
      </c>
      <c r="I11" s="1">
        <f t="shared" si="3"/>
        <v>0.5757575757575758</v>
      </c>
      <c r="J11" s="1" t="str">
        <f t="shared" si="4"/>
        <v/>
      </c>
      <c r="K11" s="1" t="str">
        <f t="shared" si="5"/>
        <v/>
      </c>
      <c r="L11" s="1" t="str">
        <f t="shared" si="6"/>
        <v/>
      </c>
    </row>
    <row r="12" spans="1:76">
      <c r="A12" t="s">
        <v>4</v>
      </c>
      <c r="B12">
        <v>2</v>
      </c>
      <c r="C12" t="str">
        <f t="shared" si="0"/>
        <v>test.BallonFactory_2_</v>
      </c>
      <c r="D12">
        <v>7</v>
      </c>
      <c r="E12">
        <v>0.60606060606060608</v>
      </c>
      <c r="F12">
        <v>0.63201911589008364</v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">
        <f t="shared" si="4"/>
        <v>0.60606060606060608</v>
      </c>
      <c r="K12" s="1" t="str">
        <f t="shared" si="5"/>
        <v/>
      </c>
      <c r="L12" s="1" t="str">
        <f t="shared" si="6"/>
        <v/>
      </c>
    </row>
    <row r="13" spans="1:76">
      <c r="A13" t="s">
        <v>4</v>
      </c>
      <c r="B13">
        <v>2</v>
      </c>
      <c r="C13" t="str">
        <f t="shared" si="0"/>
        <v>test.BallonFactory_2_</v>
      </c>
      <c r="D13">
        <v>8</v>
      </c>
      <c r="E13">
        <v>0.78787878787878785</v>
      </c>
      <c r="F13">
        <v>0.66786140979689368</v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">
        <f t="shared" si="4"/>
        <v>0.78787878787878785</v>
      </c>
      <c r="K13" s="1" t="str">
        <f t="shared" si="5"/>
        <v/>
      </c>
      <c r="L13" s="1" t="str">
        <f t="shared" si="6"/>
        <v/>
      </c>
    </row>
    <row r="14" spans="1:76">
      <c r="A14" t="s">
        <v>4</v>
      </c>
      <c r="B14">
        <v>2</v>
      </c>
      <c r="C14" t="str">
        <f t="shared" si="0"/>
        <v>test.BallonFactory_2_</v>
      </c>
      <c r="D14">
        <v>9</v>
      </c>
      <c r="E14">
        <v>0.78787878787878785</v>
      </c>
      <c r="F14">
        <v>0.73835125448028671</v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">
        <f t="shared" si="4"/>
        <v>0.78787878787878785</v>
      </c>
      <c r="K14" s="1" t="str">
        <f t="shared" si="5"/>
        <v/>
      </c>
      <c r="L14" s="1" t="str">
        <f t="shared" si="6"/>
        <v/>
      </c>
    </row>
    <row r="15" spans="1:76">
      <c r="A15" t="s">
        <v>4</v>
      </c>
      <c r="B15">
        <v>2</v>
      </c>
      <c r="C15" t="str">
        <f t="shared" si="0"/>
        <v>test.BallonFactory_2_</v>
      </c>
      <c r="D15">
        <v>10</v>
      </c>
      <c r="E15">
        <v>0.81818181818181823</v>
      </c>
      <c r="F15">
        <v>0.7431302270011948</v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">
        <f t="shared" si="4"/>
        <v>0.81818181818181823</v>
      </c>
      <c r="K15" s="1" t="str">
        <f t="shared" si="5"/>
        <v/>
      </c>
      <c r="L15" s="1" t="str">
        <f t="shared" si="6"/>
        <v/>
      </c>
    </row>
    <row r="16" spans="1:76">
      <c r="A16" t="s">
        <v>4</v>
      </c>
      <c r="B16">
        <v>2</v>
      </c>
      <c r="C16" t="str">
        <f t="shared" si="0"/>
        <v>test.BallonFactory_2_</v>
      </c>
      <c r="D16">
        <v>11</v>
      </c>
      <c r="E16">
        <v>0.96969696969696972</v>
      </c>
      <c r="F16">
        <v>0.75627240143369179</v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">
        <f t="shared" si="4"/>
        <v>0.96969696969696972</v>
      </c>
      <c r="K16" s="1" t="str">
        <f t="shared" si="5"/>
        <v/>
      </c>
      <c r="L16" s="1" t="str">
        <f t="shared" si="6"/>
        <v/>
      </c>
    </row>
    <row r="17" spans="1:12">
      <c r="A17" t="s">
        <v>4</v>
      </c>
      <c r="B17">
        <v>2</v>
      </c>
      <c r="C17" t="str">
        <f t="shared" si="0"/>
        <v>test.BallonFactory_2_</v>
      </c>
      <c r="D17">
        <v>12</v>
      </c>
      <c r="E17">
        <v>0.96969696969696972</v>
      </c>
      <c r="F17">
        <v>0.81003584229390679</v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" t="str">
        <f t="shared" si="4"/>
        <v/>
      </c>
      <c r="K17" s="1">
        <f t="shared" si="5"/>
        <v>0.96969696969696972</v>
      </c>
      <c r="L17" s="1" t="str">
        <f t="shared" si="6"/>
        <v/>
      </c>
    </row>
    <row r="18" spans="1:12">
      <c r="A18" t="s">
        <v>4</v>
      </c>
      <c r="B18">
        <v>2</v>
      </c>
      <c r="C18" t="str">
        <f t="shared" si="0"/>
        <v>test.BallonFactory_2_</v>
      </c>
      <c r="D18">
        <v>13</v>
      </c>
      <c r="E18">
        <v>1</v>
      </c>
      <c r="F18">
        <v>0.81600955794504182</v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" t="str">
        <f t="shared" si="4"/>
        <v/>
      </c>
      <c r="K18" s="1">
        <f t="shared" si="5"/>
        <v>1</v>
      </c>
      <c r="L18" s="1" t="str">
        <f t="shared" si="6"/>
        <v/>
      </c>
    </row>
    <row r="19" spans="1:12">
      <c r="A19" t="s">
        <v>4</v>
      </c>
      <c r="B19">
        <v>2</v>
      </c>
      <c r="C19" t="str">
        <f t="shared" si="0"/>
        <v>test.BallonFactory_2_</v>
      </c>
      <c r="D19">
        <v>14</v>
      </c>
      <c r="E19">
        <v>1</v>
      </c>
      <c r="F19">
        <v>0.82198327359617684</v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" t="str">
        <f t="shared" si="4"/>
        <v/>
      </c>
      <c r="K19" s="1">
        <f t="shared" si="5"/>
        <v>1</v>
      </c>
      <c r="L19" s="1" t="str">
        <f t="shared" si="6"/>
        <v/>
      </c>
    </row>
    <row r="20" spans="1:12">
      <c r="A20" t="s">
        <v>4</v>
      </c>
      <c r="B20">
        <v>2</v>
      </c>
      <c r="C20" t="str">
        <f t="shared" si="0"/>
        <v>test.BallonFactory_2_</v>
      </c>
      <c r="D20">
        <v>15</v>
      </c>
      <c r="E20">
        <v>1</v>
      </c>
      <c r="F20">
        <v>0.8315412186379928</v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" t="str">
        <f t="shared" si="4"/>
        <v/>
      </c>
      <c r="K20" s="1">
        <f t="shared" si="5"/>
        <v>1</v>
      </c>
      <c r="L20" s="1" t="str">
        <f t="shared" si="6"/>
        <v/>
      </c>
    </row>
    <row r="21" spans="1:12">
      <c r="A21" t="s">
        <v>4</v>
      </c>
      <c r="B21">
        <v>2</v>
      </c>
      <c r="C21" t="str">
        <f t="shared" si="0"/>
        <v>test.BallonFactory_2_</v>
      </c>
      <c r="D21">
        <v>1</v>
      </c>
      <c r="E21">
        <v>1</v>
      </c>
      <c r="F21">
        <v>0.88530465949820791</v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" t="str">
        <f t="shared" si="4"/>
        <v/>
      </c>
      <c r="K21" s="1">
        <f t="shared" si="5"/>
        <v>1</v>
      </c>
      <c r="L21" s="1" t="str">
        <f t="shared" si="6"/>
        <v/>
      </c>
    </row>
    <row r="22" spans="1:12">
      <c r="A22" t="s">
        <v>4</v>
      </c>
      <c r="B22">
        <v>2</v>
      </c>
      <c r="C22" t="str">
        <f t="shared" si="0"/>
        <v>test.BallonFactory_2_</v>
      </c>
      <c r="D22">
        <v>2</v>
      </c>
      <c r="E22">
        <v>1</v>
      </c>
      <c r="F22">
        <v>0.89127837514934294</v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" t="str">
        <f t="shared" si="4"/>
        <v/>
      </c>
      <c r="K22" s="1">
        <f t="shared" si="5"/>
        <v>1</v>
      </c>
      <c r="L22" s="1" t="str">
        <f t="shared" si="6"/>
        <v/>
      </c>
    </row>
    <row r="23" spans="1:12">
      <c r="A23" t="s">
        <v>4</v>
      </c>
      <c r="B23">
        <v>2</v>
      </c>
      <c r="C23" t="str">
        <f t="shared" si="0"/>
        <v>test.BallonFactory_2_</v>
      </c>
      <c r="D23">
        <v>3</v>
      </c>
      <c r="E23">
        <v>1</v>
      </c>
      <c r="F23">
        <v>0.93428912783751494</v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" t="str">
        <f t="shared" si="4"/>
        <v/>
      </c>
      <c r="K23" s="1">
        <f t="shared" si="5"/>
        <v>1</v>
      </c>
      <c r="L23" s="1" t="str">
        <f t="shared" si="6"/>
        <v/>
      </c>
    </row>
    <row r="24" spans="1:12">
      <c r="A24" t="s">
        <v>4</v>
      </c>
      <c r="B24">
        <v>2</v>
      </c>
      <c r="C24" t="str">
        <f t="shared" si="0"/>
        <v>test.BallonFactory_2_</v>
      </c>
      <c r="D24">
        <v>4</v>
      </c>
      <c r="E24">
        <v>1</v>
      </c>
      <c r="F24">
        <v>0.956989247311828</v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" t="str">
        <f t="shared" si="4"/>
        <v/>
      </c>
      <c r="K24" s="1">
        <f t="shared" si="5"/>
        <v>1</v>
      </c>
      <c r="L24" s="1" t="str">
        <f t="shared" si="6"/>
        <v/>
      </c>
    </row>
    <row r="25" spans="1:12">
      <c r="A25" t="s">
        <v>4</v>
      </c>
      <c r="B25">
        <v>6</v>
      </c>
      <c r="C25" t="str">
        <f t="shared" si="0"/>
        <v>test.BallonFactory_6_</v>
      </c>
      <c r="D25">
        <v>5</v>
      </c>
      <c r="E25">
        <v>0.1111111111111111</v>
      </c>
      <c r="F25">
        <v>0.16082474226804125</v>
      </c>
      <c r="G25" s="1">
        <f t="shared" si="1"/>
        <v>0.1111111111111111</v>
      </c>
      <c r="H25" s="1" t="str">
        <f t="shared" si="2"/>
        <v/>
      </c>
      <c r="I25" s="1" t="str">
        <f t="shared" si="3"/>
        <v/>
      </c>
      <c r="J25" s="1" t="str">
        <f t="shared" si="4"/>
        <v/>
      </c>
      <c r="K25" s="1" t="str">
        <f t="shared" si="5"/>
        <v/>
      </c>
      <c r="L25" s="1" t="str">
        <f t="shared" si="6"/>
        <v/>
      </c>
    </row>
    <row r="26" spans="1:12">
      <c r="A26" t="s">
        <v>4</v>
      </c>
      <c r="B26">
        <v>6</v>
      </c>
      <c r="C26" t="str">
        <f t="shared" si="0"/>
        <v>test.BallonFactory_6_</v>
      </c>
      <c r="D26">
        <v>1</v>
      </c>
      <c r="E26">
        <v>0.27777777777777779</v>
      </c>
      <c r="F26">
        <v>0.30309278350515462</v>
      </c>
      <c r="G26" s="1" t="str">
        <f t="shared" si="1"/>
        <v/>
      </c>
      <c r="H26" s="1">
        <f t="shared" si="2"/>
        <v>0.27777777777777779</v>
      </c>
      <c r="I26" s="1" t="str">
        <f t="shared" si="3"/>
        <v/>
      </c>
      <c r="J26" s="1" t="str">
        <f t="shared" si="4"/>
        <v/>
      </c>
      <c r="K26" s="1" t="str">
        <f t="shared" si="5"/>
        <v/>
      </c>
      <c r="L26" s="1" t="str">
        <f t="shared" si="6"/>
        <v/>
      </c>
    </row>
    <row r="27" spans="1:12">
      <c r="A27" t="s">
        <v>4</v>
      </c>
      <c r="B27">
        <v>6</v>
      </c>
      <c r="C27" t="str">
        <f t="shared" si="0"/>
        <v>test.BallonFactory_6_</v>
      </c>
      <c r="D27">
        <v>2</v>
      </c>
      <c r="E27">
        <v>0.61111111111111116</v>
      </c>
      <c r="F27">
        <v>0.68247422680412373</v>
      </c>
      <c r="G27" s="1" t="str">
        <f t="shared" si="1"/>
        <v/>
      </c>
      <c r="H27" s="1" t="str">
        <f t="shared" si="2"/>
        <v/>
      </c>
      <c r="I27" s="1" t="str">
        <f t="shared" si="3"/>
        <v/>
      </c>
      <c r="J27" s="1">
        <f t="shared" si="4"/>
        <v>0.61111111111111116</v>
      </c>
      <c r="K27" s="1" t="str">
        <f t="shared" si="5"/>
        <v/>
      </c>
      <c r="L27" s="1" t="str">
        <f t="shared" si="6"/>
        <v/>
      </c>
    </row>
    <row r="28" spans="1:12">
      <c r="A28" t="s">
        <v>4</v>
      </c>
      <c r="B28">
        <v>6</v>
      </c>
      <c r="C28" t="str">
        <f t="shared" si="0"/>
        <v>test.BallonFactory_6_</v>
      </c>
      <c r="D28">
        <v>3</v>
      </c>
      <c r="E28">
        <v>0.88888888888888884</v>
      </c>
      <c r="F28">
        <v>0.94639175257731956</v>
      </c>
      <c r="G28" s="1" t="str">
        <f t="shared" si="1"/>
        <v/>
      </c>
      <c r="H28" s="1" t="str">
        <f t="shared" si="2"/>
        <v/>
      </c>
      <c r="I28" s="1" t="str">
        <f t="shared" si="3"/>
        <v/>
      </c>
      <c r="J28" s="1" t="str">
        <f t="shared" si="4"/>
        <v/>
      </c>
      <c r="K28" s="1">
        <f t="shared" si="5"/>
        <v>0.88888888888888884</v>
      </c>
      <c r="L28" s="1" t="str">
        <f t="shared" si="6"/>
        <v/>
      </c>
    </row>
    <row r="29" spans="1:12">
      <c r="A29" t="s">
        <v>4</v>
      </c>
      <c r="B29">
        <v>6</v>
      </c>
      <c r="C29" t="str">
        <f t="shared" si="0"/>
        <v>test.BallonFactory_6_</v>
      </c>
      <c r="D29">
        <v>4</v>
      </c>
      <c r="E29">
        <v>1</v>
      </c>
      <c r="F29">
        <v>5.0536082474226802</v>
      </c>
      <c r="G29" s="1" t="str">
        <f t="shared" si="1"/>
        <v/>
      </c>
      <c r="H29" s="1" t="str">
        <f t="shared" si="2"/>
        <v/>
      </c>
      <c r="I29" s="1" t="str">
        <f t="shared" si="3"/>
        <v/>
      </c>
      <c r="J29" s="1" t="str">
        <f t="shared" si="4"/>
        <v/>
      </c>
      <c r="K29" s="1" t="str">
        <f t="shared" si="5"/>
        <v/>
      </c>
      <c r="L29" s="1">
        <f t="shared" si="6"/>
        <v>1</v>
      </c>
    </row>
    <row r="30" spans="1:12">
      <c r="A30" t="s">
        <v>4</v>
      </c>
      <c r="B30">
        <v>9</v>
      </c>
      <c r="C30" t="str">
        <f t="shared" si="0"/>
        <v>test.BallonFactory_9_</v>
      </c>
      <c r="D30">
        <v>5</v>
      </c>
      <c r="E30">
        <v>6.5217391304347824E-2</v>
      </c>
      <c r="F30">
        <v>8.6114819759679578E-2</v>
      </c>
      <c r="G30" s="1">
        <f t="shared" si="1"/>
        <v>6.5217391304347824E-2</v>
      </c>
      <c r="H30" s="1" t="str">
        <f t="shared" si="2"/>
        <v/>
      </c>
      <c r="I30" s="1" t="str">
        <f t="shared" si="3"/>
        <v/>
      </c>
      <c r="J30" s="1" t="str">
        <f t="shared" si="4"/>
        <v/>
      </c>
      <c r="K30" s="1" t="str">
        <f t="shared" si="5"/>
        <v/>
      </c>
      <c r="L30" s="1" t="str">
        <f t="shared" si="6"/>
        <v/>
      </c>
    </row>
    <row r="31" spans="1:12">
      <c r="A31" t="s">
        <v>4</v>
      </c>
      <c r="B31">
        <v>9</v>
      </c>
      <c r="C31" t="str">
        <f t="shared" si="0"/>
        <v>test.BallonFactory_9_</v>
      </c>
      <c r="D31">
        <v>6</v>
      </c>
      <c r="E31">
        <v>6.5217391304347824E-2</v>
      </c>
      <c r="F31">
        <v>8.678237650200267E-2</v>
      </c>
      <c r="G31" s="1">
        <f t="shared" si="1"/>
        <v>6.5217391304347824E-2</v>
      </c>
      <c r="H31" s="1" t="str">
        <f t="shared" si="2"/>
        <v/>
      </c>
      <c r="I31" s="1" t="str">
        <f t="shared" si="3"/>
        <v/>
      </c>
      <c r="J31" s="1" t="str">
        <f t="shared" si="4"/>
        <v/>
      </c>
      <c r="K31" s="1" t="str">
        <f t="shared" si="5"/>
        <v/>
      </c>
      <c r="L31" s="1" t="str">
        <f t="shared" si="6"/>
        <v/>
      </c>
    </row>
    <row r="32" spans="1:12">
      <c r="A32" t="s">
        <v>4</v>
      </c>
      <c r="B32">
        <v>9</v>
      </c>
      <c r="C32" t="str">
        <f t="shared" si="0"/>
        <v>test.BallonFactory_9_</v>
      </c>
      <c r="D32">
        <v>7</v>
      </c>
      <c r="E32">
        <v>6.5217391304347824E-2</v>
      </c>
      <c r="F32">
        <v>9.3457943925233641E-2</v>
      </c>
      <c r="G32" s="1">
        <f t="shared" si="1"/>
        <v>6.5217391304347824E-2</v>
      </c>
      <c r="H32" s="1" t="str">
        <f t="shared" si="2"/>
        <v/>
      </c>
      <c r="I32" s="1" t="str">
        <f t="shared" si="3"/>
        <v/>
      </c>
      <c r="J32" s="1" t="str">
        <f t="shared" si="4"/>
        <v/>
      </c>
      <c r="K32" s="1" t="str">
        <f t="shared" si="5"/>
        <v/>
      </c>
      <c r="L32" s="1" t="str">
        <f t="shared" si="6"/>
        <v/>
      </c>
    </row>
    <row r="33" spans="1:12">
      <c r="A33" t="s">
        <v>4</v>
      </c>
      <c r="B33">
        <v>9</v>
      </c>
      <c r="C33" t="str">
        <f t="shared" si="0"/>
        <v>test.BallonFactory_9_</v>
      </c>
      <c r="D33">
        <v>8</v>
      </c>
      <c r="E33">
        <v>0.15217391304347827</v>
      </c>
      <c r="F33">
        <v>0.16355140186915887</v>
      </c>
      <c r="G33" s="1">
        <f t="shared" si="1"/>
        <v>0.15217391304347827</v>
      </c>
      <c r="H33" s="1" t="str">
        <f t="shared" si="2"/>
        <v/>
      </c>
      <c r="I33" s="1" t="str">
        <f t="shared" si="3"/>
        <v/>
      </c>
      <c r="J33" s="1" t="str">
        <f t="shared" si="4"/>
        <v/>
      </c>
      <c r="K33" s="1" t="str">
        <f t="shared" si="5"/>
        <v/>
      </c>
      <c r="L33" s="1" t="str">
        <f t="shared" si="6"/>
        <v/>
      </c>
    </row>
    <row r="34" spans="1:12">
      <c r="A34" t="s">
        <v>4</v>
      </c>
      <c r="B34">
        <v>9</v>
      </c>
      <c r="C34" t="str">
        <f t="shared" si="0"/>
        <v>test.BallonFactory_9_</v>
      </c>
      <c r="D34">
        <v>9</v>
      </c>
      <c r="E34">
        <v>0.2391304347826087</v>
      </c>
      <c r="F34">
        <v>0.16688918558077437</v>
      </c>
      <c r="G34" s="1">
        <f t="shared" si="1"/>
        <v>0.2391304347826087</v>
      </c>
      <c r="H34" s="1" t="str">
        <f t="shared" si="2"/>
        <v/>
      </c>
      <c r="I34" s="1" t="str">
        <f t="shared" si="3"/>
        <v/>
      </c>
      <c r="J34" s="1" t="str">
        <f t="shared" si="4"/>
        <v/>
      </c>
      <c r="K34" s="1" t="str">
        <f t="shared" si="5"/>
        <v/>
      </c>
      <c r="L34" s="1" t="str">
        <f t="shared" si="6"/>
        <v/>
      </c>
    </row>
    <row r="35" spans="1:12">
      <c r="A35" t="s">
        <v>4</v>
      </c>
      <c r="B35">
        <v>9</v>
      </c>
      <c r="C35" t="str">
        <f t="shared" si="0"/>
        <v>test.BallonFactory_9_</v>
      </c>
      <c r="D35">
        <v>10</v>
      </c>
      <c r="E35">
        <v>0.5</v>
      </c>
      <c r="F35">
        <v>0.34512683578104136</v>
      </c>
      <c r="G35" s="1" t="str">
        <f t="shared" si="1"/>
        <v/>
      </c>
      <c r="H35" s="1">
        <f t="shared" si="2"/>
        <v>0.5</v>
      </c>
      <c r="I35" s="1" t="str">
        <f t="shared" si="3"/>
        <v/>
      </c>
      <c r="J35" s="1" t="str">
        <f t="shared" si="4"/>
        <v/>
      </c>
      <c r="K35" s="1" t="str">
        <f t="shared" si="5"/>
        <v/>
      </c>
      <c r="L35" s="1" t="str">
        <f t="shared" si="6"/>
        <v/>
      </c>
    </row>
    <row r="36" spans="1:12">
      <c r="A36" t="s">
        <v>4</v>
      </c>
      <c r="B36">
        <v>9</v>
      </c>
      <c r="C36" t="str">
        <f t="shared" si="0"/>
        <v>test.BallonFactory_9_</v>
      </c>
      <c r="D36">
        <v>1</v>
      </c>
      <c r="E36">
        <v>0.76086956521739135</v>
      </c>
      <c r="F36">
        <v>0.34646194926568757</v>
      </c>
      <c r="G36" s="1" t="str">
        <f t="shared" si="1"/>
        <v/>
      </c>
      <c r="H36" s="1">
        <f t="shared" si="2"/>
        <v>0.76086956521739135</v>
      </c>
      <c r="I36" s="1" t="str">
        <f t="shared" si="3"/>
        <v/>
      </c>
      <c r="J36" s="1" t="str">
        <f t="shared" si="4"/>
        <v/>
      </c>
      <c r="K36" s="1" t="str">
        <f t="shared" si="5"/>
        <v/>
      </c>
      <c r="L36" s="1" t="str">
        <f t="shared" si="6"/>
        <v/>
      </c>
    </row>
    <row r="37" spans="1:12">
      <c r="A37" t="s">
        <v>4</v>
      </c>
      <c r="B37">
        <v>9</v>
      </c>
      <c r="C37" t="str">
        <f t="shared" si="0"/>
        <v>test.BallonFactory_9_</v>
      </c>
      <c r="D37">
        <v>2</v>
      </c>
      <c r="E37">
        <v>0.91304347826086951</v>
      </c>
      <c r="F37">
        <v>0.35580774365821094</v>
      </c>
      <c r="G37" s="1" t="str">
        <f t="shared" si="1"/>
        <v/>
      </c>
      <c r="H37" s="1">
        <f t="shared" si="2"/>
        <v>0.91304347826086951</v>
      </c>
      <c r="I37" s="1" t="str">
        <f t="shared" si="3"/>
        <v/>
      </c>
      <c r="J37" s="1" t="str">
        <f t="shared" si="4"/>
        <v/>
      </c>
      <c r="K37" s="1" t="str">
        <f t="shared" si="5"/>
        <v/>
      </c>
      <c r="L37" s="1" t="str">
        <f t="shared" si="6"/>
        <v/>
      </c>
    </row>
    <row r="38" spans="1:12">
      <c r="A38" t="s">
        <v>4</v>
      </c>
      <c r="B38">
        <v>9</v>
      </c>
      <c r="C38" t="str">
        <f t="shared" si="0"/>
        <v>test.BallonFactory_9_</v>
      </c>
      <c r="D38">
        <v>3</v>
      </c>
      <c r="E38">
        <v>1</v>
      </c>
      <c r="F38">
        <v>0.40320427236315087</v>
      </c>
      <c r="G38" s="1" t="str">
        <f t="shared" si="1"/>
        <v/>
      </c>
      <c r="H38" s="1" t="str">
        <f t="shared" si="2"/>
        <v/>
      </c>
      <c r="I38" s="1">
        <f t="shared" si="3"/>
        <v>1</v>
      </c>
      <c r="J38" s="1" t="str">
        <f t="shared" si="4"/>
        <v/>
      </c>
      <c r="K38" s="1" t="str">
        <f t="shared" si="5"/>
        <v/>
      </c>
      <c r="L38" s="1" t="str">
        <f t="shared" si="6"/>
        <v/>
      </c>
    </row>
    <row r="39" spans="1:12">
      <c r="A39" t="s">
        <v>4</v>
      </c>
      <c r="B39">
        <v>9</v>
      </c>
      <c r="C39" t="str">
        <f t="shared" si="0"/>
        <v>test.BallonFactory_9_</v>
      </c>
      <c r="D39">
        <v>4</v>
      </c>
      <c r="E39">
        <v>1</v>
      </c>
      <c r="F39">
        <v>0.42323097463284381</v>
      </c>
      <c r="G39" s="1" t="str">
        <f t="shared" si="1"/>
        <v/>
      </c>
      <c r="H39" s="1" t="str">
        <f t="shared" si="2"/>
        <v/>
      </c>
      <c r="I39" s="1">
        <f t="shared" si="3"/>
        <v>1</v>
      </c>
      <c r="J39" s="1" t="str">
        <f t="shared" si="4"/>
        <v/>
      </c>
      <c r="K39" s="1" t="str">
        <f t="shared" si="5"/>
        <v/>
      </c>
      <c r="L39" s="1" t="str">
        <f t="shared" si="6"/>
        <v/>
      </c>
    </row>
    <row r="40" spans="1:12">
      <c r="A40" t="s">
        <v>32</v>
      </c>
      <c r="B40">
        <v>2</v>
      </c>
      <c r="C40" t="str">
        <f t="shared" si="0"/>
        <v>test.Base64_2_</v>
      </c>
      <c r="D40">
        <v>1</v>
      </c>
      <c r="E40">
        <v>0.19354838709677419</v>
      </c>
      <c r="F40">
        <v>0.2825322391559203</v>
      </c>
      <c r="G40" s="1" t="str">
        <f t="shared" si="1"/>
        <v/>
      </c>
      <c r="H40" s="1">
        <f t="shared" si="2"/>
        <v>0.19354838709677419</v>
      </c>
      <c r="I40" s="1" t="str">
        <f t="shared" si="3"/>
        <v/>
      </c>
      <c r="J40" s="1" t="str">
        <f t="shared" si="4"/>
        <v/>
      </c>
      <c r="K40" s="1" t="str">
        <f t="shared" si="5"/>
        <v/>
      </c>
      <c r="L40" s="1" t="str">
        <f t="shared" si="6"/>
        <v/>
      </c>
    </row>
    <row r="41" spans="1:12">
      <c r="A41" t="s">
        <v>32</v>
      </c>
      <c r="B41">
        <v>2</v>
      </c>
      <c r="C41" t="str">
        <f t="shared" si="0"/>
        <v>test.Base64_2_</v>
      </c>
      <c r="D41">
        <v>2</v>
      </c>
      <c r="E41">
        <v>0.54838709677419351</v>
      </c>
      <c r="F41">
        <v>0.62368112543962484</v>
      </c>
      <c r="G41" s="1" t="str">
        <f t="shared" si="1"/>
        <v/>
      </c>
      <c r="H41" s="1" t="str">
        <f t="shared" si="2"/>
        <v/>
      </c>
      <c r="I41" s="1" t="str">
        <f t="shared" si="3"/>
        <v/>
      </c>
      <c r="J41" s="1">
        <f t="shared" si="4"/>
        <v>0.54838709677419351</v>
      </c>
      <c r="K41" s="1" t="str">
        <f t="shared" si="5"/>
        <v/>
      </c>
      <c r="L41" s="1" t="str">
        <f t="shared" si="6"/>
        <v/>
      </c>
    </row>
    <row r="42" spans="1:12">
      <c r="A42" t="s">
        <v>32</v>
      </c>
      <c r="B42">
        <v>2</v>
      </c>
      <c r="C42" t="str">
        <f t="shared" si="0"/>
        <v>test.Base64_2_</v>
      </c>
      <c r="D42">
        <v>3</v>
      </c>
      <c r="E42">
        <v>0.93548387096774188</v>
      </c>
      <c r="F42">
        <v>0.63540445486518171</v>
      </c>
      <c r="G42" s="1" t="str">
        <f t="shared" si="1"/>
        <v/>
      </c>
      <c r="H42" s="1" t="str">
        <f t="shared" si="2"/>
        <v/>
      </c>
      <c r="I42" s="1" t="str">
        <f t="shared" si="3"/>
        <v/>
      </c>
      <c r="J42" s="1">
        <f t="shared" si="4"/>
        <v>0.93548387096774188</v>
      </c>
      <c r="K42" s="1" t="str">
        <f t="shared" si="5"/>
        <v/>
      </c>
      <c r="L42" s="1" t="str">
        <f t="shared" si="6"/>
        <v/>
      </c>
    </row>
    <row r="43" spans="1:12">
      <c r="A43" t="s">
        <v>32</v>
      </c>
      <c r="B43">
        <v>2</v>
      </c>
      <c r="C43" t="str">
        <f t="shared" si="0"/>
        <v>test.Base64_2_</v>
      </c>
      <c r="D43">
        <v>4</v>
      </c>
      <c r="E43">
        <v>1</v>
      </c>
      <c r="F43">
        <v>0.91090269636576793</v>
      </c>
      <c r="G43" s="1" t="str">
        <f t="shared" si="1"/>
        <v/>
      </c>
      <c r="H43" s="1" t="str">
        <f t="shared" si="2"/>
        <v/>
      </c>
      <c r="I43" s="1" t="str">
        <f t="shared" si="3"/>
        <v/>
      </c>
      <c r="J43" s="1" t="str">
        <f t="shared" si="4"/>
        <v/>
      </c>
      <c r="K43" s="1">
        <f t="shared" si="5"/>
        <v>1</v>
      </c>
      <c r="L43" s="1" t="str">
        <f t="shared" si="6"/>
        <v/>
      </c>
    </row>
    <row r="44" spans="1:12">
      <c r="A44" t="s">
        <v>32</v>
      </c>
      <c r="B44">
        <v>4</v>
      </c>
      <c r="C44" t="str">
        <f t="shared" si="0"/>
        <v>test.Base64_4_</v>
      </c>
      <c r="D44">
        <v>1</v>
      </c>
      <c r="E44">
        <v>0.19354838709677419</v>
      </c>
      <c r="F44">
        <v>0.29589371980676327</v>
      </c>
      <c r="G44" s="1" t="str">
        <f t="shared" si="1"/>
        <v/>
      </c>
      <c r="H44" s="1">
        <f t="shared" si="2"/>
        <v>0.19354838709677419</v>
      </c>
      <c r="I44" s="1" t="str">
        <f t="shared" si="3"/>
        <v/>
      </c>
      <c r="J44" s="1" t="str">
        <f t="shared" si="4"/>
        <v/>
      </c>
      <c r="K44" s="1" t="str">
        <f t="shared" si="5"/>
        <v/>
      </c>
      <c r="L44" s="1" t="str">
        <f t="shared" si="6"/>
        <v/>
      </c>
    </row>
    <row r="45" spans="1:12">
      <c r="A45" t="s">
        <v>32</v>
      </c>
      <c r="B45">
        <v>4</v>
      </c>
      <c r="C45" t="str">
        <f t="shared" si="0"/>
        <v>test.Base64_4_</v>
      </c>
      <c r="D45">
        <v>2</v>
      </c>
      <c r="E45">
        <v>0.54838709677419351</v>
      </c>
      <c r="F45">
        <v>0.65458937198067635</v>
      </c>
      <c r="G45" s="1" t="str">
        <f t="shared" si="1"/>
        <v/>
      </c>
      <c r="H45" s="1" t="str">
        <f t="shared" si="2"/>
        <v/>
      </c>
      <c r="I45" s="1" t="str">
        <f t="shared" si="3"/>
        <v/>
      </c>
      <c r="J45" s="1">
        <f t="shared" si="4"/>
        <v>0.54838709677419351</v>
      </c>
      <c r="K45" s="1" t="str">
        <f t="shared" si="5"/>
        <v/>
      </c>
      <c r="L45" s="1" t="str">
        <f t="shared" si="6"/>
        <v/>
      </c>
    </row>
    <row r="46" spans="1:12">
      <c r="A46" t="s">
        <v>32</v>
      </c>
      <c r="B46">
        <v>4</v>
      </c>
      <c r="C46" t="str">
        <f t="shared" si="0"/>
        <v>test.Base64_4_</v>
      </c>
      <c r="D46">
        <v>3</v>
      </c>
      <c r="E46">
        <v>0.93548387096774188</v>
      </c>
      <c r="F46">
        <v>0.65579710144927539</v>
      </c>
      <c r="G46" s="1" t="str">
        <f t="shared" si="1"/>
        <v/>
      </c>
      <c r="H46" s="1" t="str">
        <f t="shared" si="2"/>
        <v/>
      </c>
      <c r="I46" s="1" t="str">
        <f t="shared" si="3"/>
        <v/>
      </c>
      <c r="J46" s="1">
        <f t="shared" si="4"/>
        <v>0.93548387096774188</v>
      </c>
      <c r="K46" s="1" t="str">
        <f t="shared" si="5"/>
        <v/>
      </c>
      <c r="L46" s="1" t="str">
        <f t="shared" si="6"/>
        <v/>
      </c>
    </row>
    <row r="47" spans="1:12">
      <c r="A47" t="s">
        <v>32</v>
      </c>
      <c r="B47">
        <v>4</v>
      </c>
      <c r="C47" t="str">
        <f t="shared" si="0"/>
        <v>test.Base64_4_</v>
      </c>
      <c r="D47">
        <v>4</v>
      </c>
      <c r="E47">
        <v>1</v>
      </c>
      <c r="F47">
        <v>0.95289855072463769</v>
      </c>
      <c r="G47" s="1" t="str">
        <f t="shared" si="1"/>
        <v/>
      </c>
      <c r="H47" s="1" t="str">
        <f t="shared" si="2"/>
        <v/>
      </c>
      <c r="I47" s="1" t="str">
        <f t="shared" si="3"/>
        <v/>
      </c>
      <c r="J47" s="1" t="str">
        <f t="shared" si="4"/>
        <v/>
      </c>
      <c r="K47" s="1">
        <f t="shared" si="5"/>
        <v>1</v>
      </c>
      <c r="L47" s="1" t="str">
        <f t="shared" si="6"/>
        <v/>
      </c>
    </row>
    <row r="48" spans="1:12">
      <c r="A48" t="s">
        <v>32</v>
      </c>
      <c r="B48">
        <v>13</v>
      </c>
      <c r="C48" t="str">
        <f t="shared" si="0"/>
        <v>test.Base64_13_</v>
      </c>
      <c r="D48">
        <v>5</v>
      </c>
      <c r="E48">
        <v>0.875</v>
      </c>
      <c r="F48">
        <v>1.0573770491803278</v>
      </c>
      <c r="G48" s="1" t="str">
        <f t="shared" si="1"/>
        <v/>
      </c>
      <c r="H48" s="1" t="str">
        <f t="shared" si="2"/>
        <v/>
      </c>
      <c r="I48" s="1" t="str">
        <f t="shared" si="3"/>
        <v/>
      </c>
      <c r="J48" s="1" t="str">
        <f t="shared" si="4"/>
        <v/>
      </c>
      <c r="K48" s="1">
        <f t="shared" si="5"/>
        <v>0.875</v>
      </c>
      <c r="L48" s="1" t="str">
        <f t="shared" si="6"/>
        <v/>
      </c>
    </row>
    <row r="49" spans="1:12">
      <c r="A49" t="s">
        <v>32</v>
      </c>
      <c r="B49">
        <v>13</v>
      </c>
      <c r="C49" t="str">
        <f t="shared" si="0"/>
        <v>test.Base64_13_</v>
      </c>
      <c r="D49">
        <v>1</v>
      </c>
      <c r="E49">
        <v>1</v>
      </c>
      <c r="F49">
        <v>1.0737704918032787</v>
      </c>
      <c r="G49" s="1" t="str">
        <f>IF($F49 &lt;= 0.2,$E49,"")</f>
        <v/>
      </c>
      <c r="H49" s="1" t="str">
        <f t="shared" si="2"/>
        <v/>
      </c>
      <c r="I49" s="1" t="str">
        <f t="shared" si="3"/>
        <v/>
      </c>
      <c r="J49" s="1" t="str">
        <f t="shared" si="4"/>
        <v/>
      </c>
      <c r="K49" s="1">
        <f t="shared" si="5"/>
        <v>1</v>
      </c>
      <c r="L49" s="1" t="str">
        <f t="shared" si="6"/>
        <v/>
      </c>
    </row>
    <row r="50" spans="1:12">
      <c r="A50" t="s">
        <v>32</v>
      </c>
      <c r="B50">
        <v>16</v>
      </c>
      <c r="C50" t="str">
        <f t="shared" si="0"/>
        <v>test.Base64_16_</v>
      </c>
      <c r="D50">
        <v>2</v>
      </c>
      <c r="E50">
        <v>1.6393442622950821E-2</v>
      </c>
      <c r="F50">
        <v>1.3078063907240124E-2</v>
      </c>
      <c r="G50" s="1">
        <f t="shared" si="1"/>
        <v>1.6393442622950821E-2</v>
      </c>
      <c r="H50" s="1" t="str">
        <f t="shared" si="2"/>
        <v/>
      </c>
      <c r="I50" s="1" t="str">
        <f t="shared" si="3"/>
        <v/>
      </c>
      <c r="J50" s="1" t="str">
        <f t="shared" si="4"/>
        <v/>
      </c>
      <c r="K50" s="1" t="str">
        <f t="shared" si="5"/>
        <v/>
      </c>
      <c r="L50" s="1" t="str">
        <f t="shared" si="6"/>
        <v/>
      </c>
    </row>
    <row r="51" spans="1:12">
      <c r="A51" t="s">
        <v>32</v>
      </c>
      <c r="B51">
        <v>16</v>
      </c>
      <c r="C51" t="str">
        <f t="shared" si="0"/>
        <v>test.Base64_16_</v>
      </c>
      <c r="D51">
        <v>3</v>
      </c>
      <c r="E51">
        <v>3.2786885245901641E-2</v>
      </c>
      <c r="F51">
        <v>1.7527302143723878E-2</v>
      </c>
      <c r="G51" s="1">
        <f t="shared" si="1"/>
        <v>3.2786885245901641E-2</v>
      </c>
      <c r="H51" s="1" t="str">
        <f t="shared" si="2"/>
        <v/>
      </c>
      <c r="I51" s="1" t="str">
        <f t="shared" si="3"/>
        <v/>
      </c>
      <c r="J51" s="1" t="str">
        <f t="shared" si="4"/>
        <v/>
      </c>
      <c r="K51" s="1" t="str">
        <f t="shared" si="5"/>
        <v/>
      </c>
      <c r="L51" s="1" t="str">
        <f t="shared" si="6"/>
        <v/>
      </c>
    </row>
    <row r="52" spans="1:12">
      <c r="A52" t="s">
        <v>32</v>
      </c>
      <c r="B52">
        <v>16</v>
      </c>
      <c r="C52" t="str">
        <f t="shared" si="0"/>
        <v>test.Base64_16_</v>
      </c>
      <c r="D52">
        <v>4</v>
      </c>
      <c r="E52">
        <v>0.81420765027322406</v>
      </c>
      <c r="F52">
        <v>0.96514763381421065</v>
      </c>
      <c r="G52" s="1" t="str">
        <f t="shared" si="1"/>
        <v/>
      </c>
      <c r="H52" s="1" t="str">
        <f t="shared" si="2"/>
        <v/>
      </c>
      <c r="I52" s="1" t="str">
        <f t="shared" si="3"/>
        <v/>
      </c>
      <c r="J52" s="1" t="str">
        <f t="shared" si="4"/>
        <v/>
      </c>
      <c r="K52" s="1">
        <f t="shared" si="5"/>
        <v>0.81420765027322406</v>
      </c>
      <c r="L52" s="1" t="str">
        <f t="shared" si="6"/>
        <v/>
      </c>
    </row>
    <row r="53" spans="1:12">
      <c r="A53" t="s">
        <v>32</v>
      </c>
      <c r="B53">
        <v>16</v>
      </c>
      <c r="C53" t="str">
        <f t="shared" si="0"/>
        <v>test.Base64_16_</v>
      </c>
      <c r="D53">
        <v>1</v>
      </c>
      <c r="E53">
        <v>1</v>
      </c>
      <c r="F53">
        <v>0.99919104759336663</v>
      </c>
      <c r="G53" s="1" t="str">
        <f t="shared" si="1"/>
        <v/>
      </c>
      <c r="H53" s="1" t="str">
        <f t="shared" si="2"/>
        <v/>
      </c>
      <c r="I53" s="1" t="str">
        <f t="shared" si="3"/>
        <v/>
      </c>
      <c r="J53" s="1" t="str">
        <f t="shared" si="4"/>
        <v/>
      </c>
      <c r="K53" s="1">
        <f t="shared" si="5"/>
        <v>1</v>
      </c>
      <c r="L53" s="1" t="str">
        <f t="shared" si="6"/>
        <v/>
      </c>
    </row>
    <row r="54" spans="1:12">
      <c r="A54" t="s">
        <v>32</v>
      </c>
      <c r="B54">
        <v>18</v>
      </c>
      <c r="C54" t="str">
        <f t="shared" si="0"/>
        <v>test.Base64_18_</v>
      </c>
      <c r="D54">
        <v>2</v>
      </c>
      <c r="E54">
        <v>2.1276595744680851E-2</v>
      </c>
      <c r="F54">
        <v>1.8211711142026053E-2</v>
      </c>
      <c r="G54" s="1">
        <f t="shared" si="1"/>
        <v>2.1276595744680851E-2</v>
      </c>
      <c r="H54" s="1" t="str">
        <f t="shared" si="2"/>
        <v/>
      </c>
      <c r="I54" s="1" t="str">
        <f t="shared" si="3"/>
        <v/>
      </c>
      <c r="J54" s="1" t="str">
        <f t="shared" si="4"/>
        <v/>
      </c>
      <c r="K54" s="1" t="str">
        <f t="shared" si="5"/>
        <v/>
      </c>
      <c r="L54" s="1" t="str">
        <f t="shared" si="6"/>
        <v/>
      </c>
    </row>
    <row r="55" spans="1:12">
      <c r="A55" t="s">
        <v>32</v>
      </c>
      <c r="B55">
        <v>18</v>
      </c>
      <c r="C55" t="str">
        <f t="shared" si="0"/>
        <v>test.Base64_18_</v>
      </c>
      <c r="D55">
        <v>3</v>
      </c>
      <c r="E55">
        <v>4.2553191489361701E-2</v>
      </c>
      <c r="F55">
        <v>2.9467560389528268E-2</v>
      </c>
      <c r="G55" s="1">
        <f t="shared" si="1"/>
        <v>4.2553191489361701E-2</v>
      </c>
      <c r="H55" s="1" t="str">
        <f t="shared" si="2"/>
        <v/>
      </c>
      <c r="I55" s="1" t="str">
        <f t="shared" si="3"/>
        <v/>
      </c>
      <c r="J55" s="1" t="str">
        <f t="shared" si="4"/>
        <v/>
      </c>
      <c r="K55" s="1" t="str">
        <f t="shared" si="5"/>
        <v/>
      </c>
      <c r="L55" s="1" t="str">
        <f t="shared" si="6"/>
        <v/>
      </c>
    </row>
    <row r="56" spans="1:12">
      <c r="A56" t="s">
        <v>32</v>
      </c>
      <c r="B56">
        <v>18</v>
      </c>
      <c r="C56" t="str">
        <f t="shared" si="0"/>
        <v>test.Base64_18_</v>
      </c>
      <c r="D56">
        <v>4</v>
      </c>
      <c r="E56">
        <v>0.12056737588652482</v>
      </c>
      <c r="F56">
        <v>6.7155684836221072E-2</v>
      </c>
      <c r="G56" s="1">
        <f t="shared" si="1"/>
        <v>0.12056737588652482</v>
      </c>
      <c r="H56" s="1" t="str">
        <f t="shared" si="2"/>
        <v/>
      </c>
      <c r="I56" s="1" t="str">
        <f t="shared" si="3"/>
        <v/>
      </c>
      <c r="J56" s="1" t="str">
        <f t="shared" si="4"/>
        <v/>
      </c>
      <c r="K56" s="1" t="str">
        <f t="shared" si="5"/>
        <v/>
      </c>
      <c r="L56" s="1" t="str">
        <f t="shared" si="6"/>
        <v/>
      </c>
    </row>
    <row r="57" spans="1:12">
      <c r="A57" t="s">
        <v>32</v>
      </c>
      <c r="B57">
        <v>18</v>
      </c>
      <c r="C57" t="str">
        <f t="shared" si="0"/>
        <v>test.Base64_18_</v>
      </c>
      <c r="D57">
        <v>5</v>
      </c>
      <c r="E57">
        <v>0.16312056737588654</v>
      </c>
      <c r="F57">
        <v>7.9296825597571771E-2</v>
      </c>
      <c r="G57" s="1">
        <f t="shared" si="1"/>
        <v>0.16312056737588654</v>
      </c>
      <c r="H57" s="1" t="str">
        <f t="shared" si="2"/>
        <v/>
      </c>
      <c r="I57" s="1" t="str">
        <f t="shared" si="3"/>
        <v/>
      </c>
      <c r="J57" s="1" t="str">
        <f t="shared" si="4"/>
        <v/>
      </c>
      <c r="K57" s="1" t="str">
        <f t="shared" si="5"/>
        <v/>
      </c>
      <c r="L57" s="1" t="str">
        <f t="shared" si="6"/>
        <v/>
      </c>
    </row>
    <row r="58" spans="1:12">
      <c r="A58" t="s">
        <v>32</v>
      </c>
      <c r="B58">
        <v>18</v>
      </c>
      <c r="C58" t="str">
        <f t="shared" si="0"/>
        <v>test.Base64_18_</v>
      </c>
      <c r="D58">
        <v>6</v>
      </c>
      <c r="E58">
        <v>0.24822695035460993</v>
      </c>
      <c r="F58">
        <v>0.10383204755280132</v>
      </c>
      <c r="G58" s="1">
        <f t="shared" si="1"/>
        <v>0.24822695035460993</v>
      </c>
      <c r="H58" s="1" t="str">
        <f t="shared" si="2"/>
        <v/>
      </c>
      <c r="I58" s="1" t="str">
        <f t="shared" si="3"/>
        <v/>
      </c>
      <c r="J58" s="1" t="str">
        <f t="shared" si="4"/>
        <v/>
      </c>
      <c r="K58" s="1" t="str">
        <f t="shared" si="5"/>
        <v/>
      </c>
      <c r="L58" s="1" t="str">
        <f t="shared" si="6"/>
        <v/>
      </c>
    </row>
    <row r="59" spans="1:12">
      <c r="A59" t="s">
        <v>32</v>
      </c>
      <c r="B59">
        <v>18</v>
      </c>
      <c r="C59" t="str">
        <f t="shared" si="0"/>
        <v>test.Base64_18_</v>
      </c>
      <c r="D59">
        <v>7</v>
      </c>
      <c r="E59">
        <v>0.26950354609929078</v>
      </c>
      <c r="F59">
        <v>0.11040849879853294</v>
      </c>
      <c r="G59" s="1">
        <f t="shared" si="1"/>
        <v>0.26950354609929078</v>
      </c>
      <c r="H59" s="1" t="str">
        <f t="shared" si="2"/>
        <v/>
      </c>
      <c r="I59" s="1" t="str">
        <f t="shared" si="3"/>
        <v/>
      </c>
      <c r="J59" s="1" t="str">
        <f t="shared" si="4"/>
        <v/>
      </c>
      <c r="K59" s="1" t="str">
        <f t="shared" si="5"/>
        <v/>
      </c>
      <c r="L59" s="1" t="str">
        <f t="shared" si="6"/>
        <v/>
      </c>
    </row>
    <row r="60" spans="1:12">
      <c r="A60" t="s">
        <v>32</v>
      </c>
      <c r="B60">
        <v>18</v>
      </c>
      <c r="C60" t="str">
        <f t="shared" si="0"/>
        <v>test.Base64_18_</v>
      </c>
      <c r="D60">
        <v>8</v>
      </c>
      <c r="E60">
        <v>0.30496453900709219</v>
      </c>
      <c r="F60">
        <v>0.11078790944732515</v>
      </c>
      <c r="G60" s="1">
        <f t="shared" si="1"/>
        <v>0.30496453900709219</v>
      </c>
      <c r="H60" s="1" t="str">
        <f t="shared" si="2"/>
        <v/>
      </c>
      <c r="I60" s="1" t="str">
        <f t="shared" si="3"/>
        <v/>
      </c>
      <c r="J60" s="1" t="str">
        <f t="shared" si="4"/>
        <v/>
      </c>
      <c r="K60" s="1" t="str">
        <f t="shared" si="5"/>
        <v/>
      </c>
      <c r="L60" s="1" t="str">
        <f t="shared" si="6"/>
        <v/>
      </c>
    </row>
    <row r="61" spans="1:12">
      <c r="A61" t="s">
        <v>32</v>
      </c>
      <c r="B61">
        <v>18</v>
      </c>
      <c r="C61" t="str">
        <f t="shared" si="0"/>
        <v>test.Base64_18_</v>
      </c>
      <c r="D61">
        <v>9</v>
      </c>
      <c r="E61">
        <v>0.31205673758865249</v>
      </c>
      <c r="F61">
        <v>0.11179967117743771</v>
      </c>
      <c r="G61" s="1">
        <f t="shared" si="1"/>
        <v>0.31205673758865249</v>
      </c>
      <c r="H61" s="1" t="str">
        <f t="shared" si="2"/>
        <v/>
      </c>
      <c r="I61" s="1" t="str">
        <f t="shared" si="3"/>
        <v/>
      </c>
      <c r="J61" s="1" t="str">
        <f t="shared" si="4"/>
        <v/>
      </c>
      <c r="K61" s="1" t="str">
        <f t="shared" si="5"/>
        <v/>
      </c>
      <c r="L61" s="1" t="str">
        <f t="shared" si="6"/>
        <v/>
      </c>
    </row>
    <row r="62" spans="1:12">
      <c r="A62" t="s">
        <v>32</v>
      </c>
      <c r="B62">
        <v>18</v>
      </c>
      <c r="C62" t="str">
        <f t="shared" si="0"/>
        <v>test.Base64_18_</v>
      </c>
      <c r="D62">
        <v>10</v>
      </c>
      <c r="E62">
        <v>0.33333333333333331</v>
      </c>
      <c r="F62">
        <v>0.11319084355634249</v>
      </c>
      <c r="G62" s="1">
        <f t="shared" si="1"/>
        <v>0.33333333333333331</v>
      </c>
      <c r="H62" s="1" t="str">
        <f t="shared" si="2"/>
        <v/>
      </c>
      <c r="I62" s="1" t="str">
        <f t="shared" si="3"/>
        <v/>
      </c>
      <c r="J62" s="1" t="str">
        <f t="shared" si="4"/>
        <v/>
      </c>
      <c r="K62" s="1" t="str">
        <f t="shared" si="5"/>
        <v/>
      </c>
      <c r="L62" s="1" t="str">
        <f t="shared" si="6"/>
        <v/>
      </c>
    </row>
    <row r="63" spans="1:12">
      <c r="A63" t="s">
        <v>32</v>
      </c>
      <c r="B63">
        <v>18</v>
      </c>
      <c r="C63" t="str">
        <f t="shared" si="0"/>
        <v>test.Base64_18_</v>
      </c>
      <c r="D63">
        <v>11</v>
      </c>
      <c r="E63">
        <v>0.36170212765957449</v>
      </c>
      <c r="F63">
        <v>0.11862906285569748</v>
      </c>
      <c r="G63" s="1">
        <f t="shared" si="1"/>
        <v>0.36170212765957449</v>
      </c>
      <c r="H63" s="1" t="str">
        <f t="shared" si="2"/>
        <v/>
      </c>
      <c r="I63" s="1" t="str">
        <f t="shared" si="3"/>
        <v/>
      </c>
      <c r="J63" s="1" t="str">
        <f t="shared" si="4"/>
        <v/>
      </c>
      <c r="K63" s="1" t="str">
        <f t="shared" si="5"/>
        <v/>
      </c>
      <c r="L63" s="1" t="str">
        <f t="shared" si="6"/>
        <v/>
      </c>
    </row>
    <row r="64" spans="1:12">
      <c r="A64" t="s">
        <v>32</v>
      </c>
      <c r="B64">
        <v>18</v>
      </c>
      <c r="C64" t="str">
        <f t="shared" si="0"/>
        <v>test.Base64_18_</v>
      </c>
      <c r="D64">
        <v>12</v>
      </c>
      <c r="E64">
        <v>0.36170212765957449</v>
      </c>
      <c r="F64">
        <v>0.11875553307196156</v>
      </c>
      <c r="G64" s="1">
        <f t="shared" si="1"/>
        <v>0.36170212765957449</v>
      </c>
      <c r="H64" s="1" t="str">
        <f t="shared" si="2"/>
        <v/>
      </c>
      <c r="I64" s="1" t="str">
        <f t="shared" si="3"/>
        <v/>
      </c>
      <c r="J64" s="1" t="str">
        <f t="shared" si="4"/>
        <v/>
      </c>
      <c r="K64" s="1" t="str">
        <f t="shared" si="5"/>
        <v/>
      </c>
      <c r="L64" s="1" t="str">
        <f t="shared" si="6"/>
        <v/>
      </c>
    </row>
    <row r="65" spans="1:12">
      <c r="A65" t="s">
        <v>32</v>
      </c>
      <c r="B65">
        <v>18</v>
      </c>
      <c r="C65" t="str">
        <f t="shared" si="0"/>
        <v>test.Base64_18_</v>
      </c>
      <c r="D65">
        <v>13</v>
      </c>
      <c r="E65">
        <v>0.36170212765957449</v>
      </c>
      <c r="F65">
        <v>0.11888200328822562</v>
      </c>
      <c r="G65" s="1">
        <f t="shared" si="1"/>
        <v>0.36170212765957449</v>
      </c>
      <c r="H65" s="1" t="str">
        <f t="shared" si="2"/>
        <v/>
      </c>
      <c r="I65" s="1" t="str">
        <f t="shared" si="3"/>
        <v/>
      </c>
      <c r="J65" s="1" t="str">
        <f t="shared" si="4"/>
        <v/>
      </c>
      <c r="K65" s="1" t="str">
        <f t="shared" si="5"/>
        <v/>
      </c>
      <c r="L65" s="1" t="str">
        <f t="shared" si="6"/>
        <v/>
      </c>
    </row>
    <row r="66" spans="1:12">
      <c r="A66" t="s">
        <v>32</v>
      </c>
      <c r="B66">
        <v>18</v>
      </c>
      <c r="C66" t="str">
        <f t="shared" si="0"/>
        <v>test.Base64_18_</v>
      </c>
      <c r="D66">
        <v>14</v>
      </c>
      <c r="E66">
        <v>0.36170212765957449</v>
      </c>
      <c r="F66">
        <v>0.11926141393701783</v>
      </c>
      <c r="G66" s="1">
        <f t="shared" si="1"/>
        <v>0.36170212765957449</v>
      </c>
      <c r="H66" s="1" t="str">
        <f t="shared" si="2"/>
        <v/>
      </c>
      <c r="I66" s="1" t="str">
        <f t="shared" si="3"/>
        <v/>
      </c>
      <c r="J66" s="1" t="str">
        <f t="shared" si="4"/>
        <v/>
      </c>
      <c r="K66" s="1" t="str">
        <f t="shared" si="5"/>
        <v/>
      </c>
      <c r="L66" s="1" t="str">
        <f t="shared" si="6"/>
        <v/>
      </c>
    </row>
    <row r="67" spans="1:12">
      <c r="A67" t="s">
        <v>32</v>
      </c>
      <c r="B67">
        <v>18</v>
      </c>
      <c r="C67" t="str">
        <f t="shared" ref="C67:C130" si="18">CONCATENATE(A67, "_",B67,"_")</f>
        <v>test.Base64_18_</v>
      </c>
      <c r="D67">
        <v>15</v>
      </c>
      <c r="E67">
        <v>0.36170212765957449</v>
      </c>
      <c r="F67">
        <v>0.12014670545086632</v>
      </c>
      <c r="G67" s="1">
        <f t="shared" ref="G67:G130" si="19">IF($F67 &lt;= 0.2,$E67,"")</f>
        <v>0.36170212765957449</v>
      </c>
      <c r="H67" s="1" t="str">
        <f t="shared" ref="H67:H130" si="20">IF(AND($F67 &gt; 0.2,$F67 &lt;= 0.4),$E67,"")</f>
        <v/>
      </c>
      <c r="I67" s="1" t="str">
        <f t="shared" ref="I67:I130" si="21">IF(AND($F67 &gt; 0.4,$F67 &lt;= 0.6),$E67,"")</f>
        <v/>
      </c>
      <c r="J67" s="1" t="str">
        <f t="shared" ref="J67:J130" si="22">IF(AND($F67 &gt; 0.6,$F67 &lt;= 0.8),$E67,"")</f>
        <v/>
      </c>
      <c r="K67" s="1" t="str">
        <f t="shared" ref="K67:K130" si="23">IF(AND($F67 &gt; 0.8, $F67 &lt;=1.1),$E67,"")</f>
        <v/>
      </c>
      <c r="L67" s="1" t="str">
        <f t="shared" ref="L67:L130" si="24">IF(AND($F67 &gt; 1.1),$E67,"")</f>
        <v/>
      </c>
    </row>
    <row r="68" spans="1:12">
      <c r="A68" t="s">
        <v>32</v>
      </c>
      <c r="B68">
        <v>18</v>
      </c>
      <c r="C68" t="str">
        <f t="shared" si="18"/>
        <v>test.Base64_18_</v>
      </c>
      <c r="D68">
        <v>16</v>
      </c>
      <c r="E68">
        <v>0.36170212765957449</v>
      </c>
      <c r="F68">
        <v>0.12545845453395726</v>
      </c>
      <c r="G68" s="1">
        <f t="shared" si="19"/>
        <v>0.36170212765957449</v>
      </c>
      <c r="H68" s="1" t="str">
        <f t="shared" si="20"/>
        <v/>
      </c>
      <c r="I68" s="1" t="str">
        <f t="shared" si="21"/>
        <v/>
      </c>
      <c r="J68" s="1" t="str">
        <f t="shared" si="22"/>
        <v/>
      </c>
      <c r="K68" s="1" t="str">
        <f t="shared" si="23"/>
        <v/>
      </c>
      <c r="L68" s="1" t="str">
        <f t="shared" si="24"/>
        <v/>
      </c>
    </row>
    <row r="69" spans="1:12">
      <c r="A69" t="s">
        <v>32</v>
      </c>
      <c r="B69">
        <v>18</v>
      </c>
      <c r="C69" t="str">
        <f t="shared" si="18"/>
        <v>test.Base64_18_</v>
      </c>
      <c r="D69">
        <v>17</v>
      </c>
      <c r="E69">
        <v>0.36170212765957449</v>
      </c>
      <c r="F69">
        <v>0.12558492475022132</v>
      </c>
      <c r="G69" s="1">
        <f t="shared" si="19"/>
        <v>0.36170212765957449</v>
      </c>
      <c r="H69" s="1" t="str">
        <f t="shared" si="20"/>
        <v/>
      </c>
      <c r="I69" s="1" t="str">
        <f t="shared" si="21"/>
        <v/>
      </c>
      <c r="J69" s="1" t="str">
        <f t="shared" si="22"/>
        <v/>
      </c>
      <c r="K69" s="1" t="str">
        <f t="shared" si="23"/>
        <v/>
      </c>
      <c r="L69" s="1" t="str">
        <f t="shared" si="24"/>
        <v/>
      </c>
    </row>
    <row r="70" spans="1:12">
      <c r="A70" t="s">
        <v>32</v>
      </c>
      <c r="B70">
        <v>18</v>
      </c>
      <c r="C70" t="str">
        <f t="shared" si="18"/>
        <v>test.Base64_18_</v>
      </c>
      <c r="D70">
        <v>18</v>
      </c>
      <c r="E70">
        <v>0.36170212765957449</v>
      </c>
      <c r="F70">
        <v>0.12887315037308714</v>
      </c>
      <c r="G70" s="1">
        <f t="shared" si="19"/>
        <v>0.36170212765957449</v>
      </c>
      <c r="H70" s="1" t="str">
        <f t="shared" si="20"/>
        <v/>
      </c>
      <c r="I70" s="1" t="str">
        <f t="shared" si="21"/>
        <v/>
      </c>
      <c r="J70" s="1" t="str">
        <f t="shared" si="22"/>
        <v/>
      </c>
      <c r="K70" s="1" t="str">
        <f t="shared" si="23"/>
        <v/>
      </c>
      <c r="L70" s="1" t="str">
        <f t="shared" si="24"/>
        <v/>
      </c>
    </row>
    <row r="71" spans="1:12">
      <c r="A71" t="s">
        <v>32</v>
      </c>
      <c r="B71">
        <v>18</v>
      </c>
      <c r="C71" t="str">
        <f t="shared" si="18"/>
        <v>test.Base64_18_</v>
      </c>
      <c r="D71">
        <v>19</v>
      </c>
      <c r="E71">
        <v>0.36170212765957449</v>
      </c>
      <c r="F71">
        <v>0.13342607815859364</v>
      </c>
      <c r="G71" s="1">
        <f t="shared" si="19"/>
        <v>0.36170212765957449</v>
      </c>
      <c r="H71" s="1" t="str">
        <f t="shared" si="20"/>
        <v/>
      </c>
      <c r="I71" s="1" t="str">
        <f t="shared" si="21"/>
        <v/>
      </c>
      <c r="J71" s="1" t="str">
        <f t="shared" si="22"/>
        <v/>
      </c>
      <c r="K71" s="1" t="str">
        <f t="shared" si="23"/>
        <v/>
      </c>
      <c r="L71" s="1" t="str">
        <f t="shared" si="24"/>
        <v/>
      </c>
    </row>
    <row r="72" spans="1:12">
      <c r="A72" t="s">
        <v>32</v>
      </c>
      <c r="B72">
        <v>18</v>
      </c>
      <c r="C72" t="str">
        <f t="shared" si="18"/>
        <v>test.Base64_18_</v>
      </c>
      <c r="D72">
        <v>20</v>
      </c>
      <c r="E72">
        <v>0.77304964539007093</v>
      </c>
      <c r="F72">
        <v>0.90046793980017703</v>
      </c>
      <c r="G72" s="1" t="str">
        <f t="shared" si="19"/>
        <v/>
      </c>
      <c r="H72" s="1" t="str">
        <f t="shared" si="20"/>
        <v/>
      </c>
      <c r="I72" s="1" t="str">
        <f t="shared" si="21"/>
        <v/>
      </c>
      <c r="J72" s="1" t="str">
        <f t="shared" si="22"/>
        <v/>
      </c>
      <c r="K72" s="1">
        <f t="shared" si="23"/>
        <v>0.77304964539007093</v>
      </c>
      <c r="L72" s="1" t="str">
        <f t="shared" si="24"/>
        <v/>
      </c>
    </row>
    <row r="73" spans="1:12">
      <c r="A73" t="s">
        <v>32</v>
      </c>
      <c r="B73">
        <v>18</v>
      </c>
      <c r="C73" t="str">
        <f t="shared" si="18"/>
        <v>test.Base64_18_</v>
      </c>
      <c r="D73">
        <v>21</v>
      </c>
      <c r="E73">
        <v>0.86524822695035464</v>
      </c>
      <c r="F73">
        <v>0.91792082964461874</v>
      </c>
      <c r="G73" s="1" t="str">
        <f t="shared" si="19"/>
        <v/>
      </c>
      <c r="H73" s="1" t="str">
        <f t="shared" si="20"/>
        <v/>
      </c>
      <c r="I73" s="1" t="str">
        <f t="shared" si="21"/>
        <v/>
      </c>
      <c r="J73" s="1" t="str">
        <f t="shared" si="22"/>
        <v/>
      </c>
      <c r="K73" s="1">
        <f t="shared" si="23"/>
        <v>0.86524822695035464</v>
      </c>
      <c r="L73" s="1" t="str">
        <f t="shared" si="24"/>
        <v/>
      </c>
    </row>
    <row r="74" spans="1:12">
      <c r="A74" t="s">
        <v>32</v>
      </c>
      <c r="B74">
        <v>18</v>
      </c>
      <c r="C74" t="str">
        <f t="shared" si="18"/>
        <v>test.Base64_18_</v>
      </c>
      <c r="D74">
        <v>22</v>
      </c>
      <c r="E74">
        <v>1</v>
      </c>
      <c r="F74">
        <v>0.91804729986088274</v>
      </c>
      <c r="G74" s="1" t="str">
        <f t="shared" si="19"/>
        <v/>
      </c>
      <c r="H74" s="1" t="str">
        <f t="shared" si="20"/>
        <v/>
      </c>
      <c r="I74" s="1" t="str">
        <f t="shared" si="21"/>
        <v/>
      </c>
      <c r="J74" s="1" t="str">
        <f t="shared" si="22"/>
        <v/>
      </c>
      <c r="K74" s="1">
        <f t="shared" si="23"/>
        <v>1</v>
      </c>
      <c r="L74" s="1" t="str">
        <f t="shared" si="24"/>
        <v/>
      </c>
    </row>
    <row r="75" spans="1:12">
      <c r="A75" t="s">
        <v>32</v>
      </c>
      <c r="B75">
        <v>18</v>
      </c>
      <c r="C75" t="str">
        <f t="shared" si="18"/>
        <v>test.Base64_18_</v>
      </c>
      <c r="D75">
        <v>23</v>
      </c>
      <c r="E75">
        <v>1</v>
      </c>
      <c r="F75">
        <v>0.920323763753636</v>
      </c>
      <c r="G75" s="1" t="str">
        <f t="shared" si="19"/>
        <v/>
      </c>
      <c r="H75" s="1" t="str">
        <f t="shared" si="20"/>
        <v/>
      </c>
      <c r="I75" s="1" t="str">
        <f t="shared" si="21"/>
        <v/>
      </c>
      <c r="J75" s="1" t="str">
        <f t="shared" si="22"/>
        <v/>
      </c>
      <c r="K75" s="1">
        <f t="shared" si="23"/>
        <v>1</v>
      </c>
      <c r="L75" s="1" t="str">
        <f t="shared" si="24"/>
        <v/>
      </c>
    </row>
    <row r="76" spans="1:12">
      <c r="A76" t="s">
        <v>32</v>
      </c>
      <c r="B76">
        <v>18</v>
      </c>
      <c r="C76" t="str">
        <f t="shared" si="18"/>
        <v>test.Base64_18_</v>
      </c>
      <c r="D76">
        <v>24</v>
      </c>
      <c r="E76">
        <v>1</v>
      </c>
      <c r="F76">
        <v>0.92955608954091307</v>
      </c>
      <c r="G76" s="1" t="str">
        <f t="shared" si="19"/>
        <v/>
      </c>
      <c r="H76" s="1" t="str">
        <f t="shared" si="20"/>
        <v/>
      </c>
      <c r="I76" s="1" t="str">
        <f t="shared" si="21"/>
        <v/>
      </c>
      <c r="J76" s="1" t="str">
        <f t="shared" si="22"/>
        <v/>
      </c>
      <c r="K76" s="1">
        <f t="shared" si="23"/>
        <v>1</v>
      </c>
      <c r="L76" s="1" t="str">
        <f t="shared" si="24"/>
        <v/>
      </c>
    </row>
    <row r="77" spans="1:12">
      <c r="A77" t="s">
        <v>32</v>
      </c>
      <c r="B77">
        <v>18</v>
      </c>
      <c r="C77" t="str">
        <f t="shared" si="18"/>
        <v>test.Base64_18_</v>
      </c>
      <c r="D77">
        <v>25</v>
      </c>
      <c r="E77">
        <v>1</v>
      </c>
      <c r="F77">
        <v>0.93170608321740234</v>
      </c>
      <c r="G77" s="1" t="str">
        <f t="shared" si="19"/>
        <v/>
      </c>
      <c r="H77" s="1" t="str">
        <f t="shared" si="20"/>
        <v/>
      </c>
      <c r="I77" s="1" t="str">
        <f t="shared" si="21"/>
        <v/>
      </c>
      <c r="J77" s="1" t="str">
        <f t="shared" si="22"/>
        <v/>
      </c>
      <c r="K77" s="1">
        <f t="shared" si="23"/>
        <v>1</v>
      </c>
      <c r="L77" s="1" t="str">
        <f t="shared" si="24"/>
        <v/>
      </c>
    </row>
    <row r="78" spans="1:12">
      <c r="A78" t="s">
        <v>32</v>
      </c>
      <c r="B78">
        <v>18</v>
      </c>
      <c r="C78" t="str">
        <f t="shared" si="18"/>
        <v>test.Base64_18_</v>
      </c>
      <c r="D78">
        <v>26</v>
      </c>
      <c r="E78">
        <v>1</v>
      </c>
      <c r="F78">
        <v>0.96408245858100416</v>
      </c>
      <c r="G78" s="1" t="str">
        <f t="shared" si="19"/>
        <v/>
      </c>
      <c r="H78" s="1" t="str">
        <f t="shared" si="20"/>
        <v/>
      </c>
      <c r="I78" s="1" t="str">
        <f t="shared" si="21"/>
        <v/>
      </c>
      <c r="J78" s="1" t="str">
        <f t="shared" si="22"/>
        <v/>
      </c>
      <c r="K78" s="1">
        <f t="shared" si="23"/>
        <v>1</v>
      </c>
      <c r="L78" s="1" t="str">
        <f t="shared" si="24"/>
        <v/>
      </c>
    </row>
    <row r="79" spans="1:12">
      <c r="A79" t="s">
        <v>32</v>
      </c>
      <c r="B79">
        <v>19</v>
      </c>
      <c r="C79" t="str">
        <f t="shared" si="18"/>
        <v>test.Base64_19_</v>
      </c>
      <c r="D79">
        <v>27</v>
      </c>
      <c r="E79">
        <v>2.3622047244094488E-2</v>
      </c>
      <c r="F79">
        <v>1.8383425736796032E-2</v>
      </c>
      <c r="G79" s="1">
        <f t="shared" si="19"/>
        <v>2.3622047244094488E-2</v>
      </c>
      <c r="H79" s="1" t="str">
        <f t="shared" si="20"/>
        <v/>
      </c>
      <c r="I79" s="1" t="str">
        <f t="shared" si="21"/>
        <v/>
      </c>
      <c r="J79" s="1" t="str">
        <f t="shared" si="22"/>
        <v/>
      </c>
      <c r="K79" s="1" t="str">
        <f t="shared" si="23"/>
        <v/>
      </c>
      <c r="L79" s="1" t="str">
        <f t="shared" si="24"/>
        <v/>
      </c>
    </row>
    <row r="80" spans="1:12">
      <c r="A80" t="s">
        <v>32</v>
      </c>
      <c r="B80">
        <v>19</v>
      </c>
      <c r="C80" t="str">
        <f t="shared" si="18"/>
        <v>test.Base64_19_</v>
      </c>
      <c r="D80">
        <v>28</v>
      </c>
      <c r="E80">
        <v>4.7244094488188976E-2</v>
      </c>
      <c r="F80">
        <v>3.2827545958564339E-2</v>
      </c>
      <c r="G80" s="1">
        <f t="shared" si="19"/>
        <v>4.7244094488188976E-2</v>
      </c>
      <c r="H80" s="1" t="str">
        <f t="shared" si="20"/>
        <v/>
      </c>
      <c r="I80" s="1" t="str">
        <f t="shared" si="21"/>
        <v/>
      </c>
      <c r="J80" s="1" t="str">
        <f t="shared" si="22"/>
        <v/>
      </c>
      <c r="K80" s="1" t="str">
        <f t="shared" si="23"/>
        <v/>
      </c>
      <c r="L80" s="1" t="str">
        <f t="shared" si="24"/>
        <v/>
      </c>
    </row>
    <row r="81" spans="1:12">
      <c r="A81" t="s">
        <v>32</v>
      </c>
      <c r="B81">
        <v>19</v>
      </c>
      <c r="C81" t="str">
        <f t="shared" si="18"/>
        <v>test.Base64_19_</v>
      </c>
      <c r="D81">
        <v>29</v>
      </c>
      <c r="E81">
        <v>0.48031496062992124</v>
      </c>
      <c r="F81">
        <v>0.8742340239276335</v>
      </c>
      <c r="G81" s="1" t="str">
        <f t="shared" si="19"/>
        <v/>
      </c>
      <c r="H81" s="1" t="str">
        <f t="shared" si="20"/>
        <v/>
      </c>
      <c r="I81" s="1" t="str">
        <f t="shared" si="21"/>
        <v/>
      </c>
      <c r="J81" s="1" t="str">
        <f t="shared" si="22"/>
        <v/>
      </c>
      <c r="K81" s="1">
        <f t="shared" si="23"/>
        <v>0.48031496062992124</v>
      </c>
      <c r="L81" s="1" t="str">
        <f t="shared" si="24"/>
        <v/>
      </c>
    </row>
    <row r="82" spans="1:12">
      <c r="A82" t="s">
        <v>32</v>
      </c>
      <c r="B82">
        <v>19</v>
      </c>
      <c r="C82" t="str">
        <f t="shared" si="18"/>
        <v>test.Base64_19_</v>
      </c>
      <c r="D82">
        <v>30</v>
      </c>
      <c r="E82">
        <v>0.61417322834645671</v>
      </c>
      <c r="F82">
        <v>0.90414356580099209</v>
      </c>
      <c r="G82" s="1" t="str">
        <f t="shared" si="19"/>
        <v/>
      </c>
      <c r="H82" s="1" t="str">
        <f t="shared" si="20"/>
        <v/>
      </c>
      <c r="I82" s="1" t="str">
        <f t="shared" si="21"/>
        <v/>
      </c>
      <c r="J82" s="1" t="str">
        <f t="shared" si="22"/>
        <v/>
      </c>
      <c r="K82" s="1">
        <f t="shared" si="23"/>
        <v>0.61417322834645671</v>
      </c>
      <c r="L82" s="1" t="str">
        <f t="shared" si="24"/>
        <v/>
      </c>
    </row>
    <row r="83" spans="1:12">
      <c r="A83" t="s">
        <v>32</v>
      </c>
      <c r="B83">
        <v>19</v>
      </c>
      <c r="C83" t="str">
        <f t="shared" si="18"/>
        <v>test.Base64_19_</v>
      </c>
      <c r="D83">
        <v>31</v>
      </c>
      <c r="E83">
        <v>0.63779527559055116</v>
      </c>
      <c r="F83">
        <v>0.91596148234607533</v>
      </c>
      <c r="G83" s="1" t="str">
        <f t="shared" si="19"/>
        <v/>
      </c>
      <c r="H83" s="1" t="str">
        <f t="shared" si="20"/>
        <v/>
      </c>
      <c r="I83" s="1" t="str">
        <f t="shared" si="21"/>
        <v/>
      </c>
      <c r="J83" s="1" t="str">
        <f t="shared" si="22"/>
        <v/>
      </c>
      <c r="K83" s="1">
        <f t="shared" si="23"/>
        <v>0.63779527559055116</v>
      </c>
      <c r="L83" s="1" t="str">
        <f t="shared" si="24"/>
        <v/>
      </c>
    </row>
    <row r="84" spans="1:12">
      <c r="A84" t="s">
        <v>32</v>
      </c>
      <c r="B84">
        <v>19</v>
      </c>
      <c r="C84" t="str">
        <f t="shared" si="18"/>
        <v>test.Base64_19_</v>
      </c>
      <c r="D84">
        <v>32</v>
      </c>
      <c r="E84">
        <v>0.76377952755905509</v>
      </c>
      <c r="F84">
        <v>0.91654508316311645</v>
      </c>
      <c r="G84" s="1" t="str">
        <f t="shared" si="19"/>
        <v/>
      </c>
      <c r="H84" s="1" t="str">
        <f t="shared" si="20"/>
        <v/>
      </c>
      <c r="I84" s="1" t="str">
        <f t="shared" si="21"/>
        <v/>
      </c>
      <c r="J84" s="1" t="str">
        <f t="shared" si="22"/>
        <v/>
      </c>
      <c r="K84" s="1">
        <f t="shared" si="23"/>
        <v>0.76377952755905509</v>
      </c>
      <c r="L84" s="1" t="str">
        <f t="shared" si="24"/>
        <v/>
      </c>
    </row>
    <row r="85" spans="1:12">
      <c r="A85" t="s">
        <v>32</v>
      </c>
      <c r="B85">
        <v>19</v>
      </c>
      <c r="C85" t="str">
        <f t="shared" si="18"/>
        <v>test.Base64_19_</v>
      </c>
      <c r="D85">
        <v>33</v>
      </c>
      <c r="E85">
        <v>0.8110236220472441</v>
      </c>
      <c r="F85">
        <v>0.91902538663554134</v>
      </c>
      <c r="G85" s="1" t="str">
        <f t="shared" si="19"/>
        <v/>
      </c>
      <c r="H85" s="1" t="str">
        <f t="shared" si="20"/>
        <v/>
      </c>
      <c r="I85" s="1" t="str">
        <f t="shared" si="21"/>
        <v/>
      </c>
      <c r="J85" s="1" t="str">
        <f t="shared" si="22"/>
        <v/>
      </c>
      <c r="K85" s="1">
        <f t="shared" si="23"/>
        <v>0.8110236220472441</v>
      </c>
      <c r="L85" s="1" t="str">
        <f t="shared" si="24"/>
        <v/>
      </c>
    </row>
    <row r="86" spans="1:12">
      <c r="A86" t="s">
        <v>32</v>
      </c>
      <c r="B86">
        <v>19</v>
      </c>
      <c r="C86" t="str">
        <f t="shared" si="18"/>
        <v>test.Base64_19_</v>
      </c>
      <c r="D86">
        <v>34</v>
      </c>
      <c r="E86">
        <v>0.85039370078740162</v>
      </c>
      <c r="F86">
        <v>0.91917128683980154</v>
      </c>
      <c r="G86" s="1" t="str">
        <f t="shared" si="19"/>
        <v/>
      </c>
      <c r="H86" s="1" t="str">
        <f t="shared" si="20"/>
        <v/>
      </c>
      <c r="I86" s="1" t="str">
        <f t="shared" si="21"/>
        <v/>
      </c>
      <c r="J86" s="1" t="str">
        <f t="shared" si="22"/>
        <v/>
      </c>
      <c r="K86" s="1">
        <f t="shared" si="23"/>
        <v>0.85039370078740162</v>
      </c>
      <c r="L86" s="1" t="str">
        <f t="shared" si="24"/>
        <v/>
      </c>
    </row>
    <row r="87" spans="1:12">
      <c r="A87" t="s">
        <v>32</v>
      </c>
      <c r="B87">
        <v>19</v>
      </c>
      <c r="C87" t="str">
        <f t="shared" si="18"/>
        <v>test.Base64_19_</v>
      </c>
      <c r="D87">
        <v>35</v>
      </c>
      <c r="E87">
        <v>0.8582677165354331</v>
      </c>
      <c r="F87">
        <v>0.91975488765684277</v>
      </c>
      <c r="G87" s="1" t="str">
        <f t="shared" si="19"/>
        <v/>
      </c>
      <c r="H87" s="1" t="str">
        <f t="shared" si="20"/>
        <v/>
      </c>
      <c r="I87" s="1" t="str">
        <f t="shared" si="21"/>
        <v/>
      </c>
      <c r="J87" s="1" t="str">
        <f t="shared" si="22"/>
        <v/>
      </c>
      <c r="K87" s="1">
        <f t="shared" si="23"/>
        <v>0.8582677165354331</v>
      </c>
      <c r="L87" s="1" t="str">
        <f t="shared" si="24"/>
        <v/>
      </c>
    </row>
    <row r="88" spans="1:12">
      <c r="A88" t="s">
        <v>32</v>
      </c>
      <c r="B88">
        <v>19</v>
      </c>
      <c r="C88" t="str">
        <f t="shared" si="18"/>
        <v>test.Base64_19_</v>
      </c>
      <c r="D88">
        <v>36</v>
      </c>
      <c r="E88">
        <v>0.86614173228346458</v>
      </c>
      <c r="F88">
        <v>0.92238109133352786</v>
      </c>
      <c r="G88" s="1" t="str">
        <f t="shared" si="19"/>
        <v/>
      </c>
      <c r="H88" s="1" t="str">
        <f t="shared" si="20"/>
        <v/>
      </c>
      <c r="I88" s="1" t="str">
        <f t="shared" si="21"/>
        <v/>
      </c>
      <c r="J88" s="1" t="str">
        <f t="shared" si="22"/>
        <v/>
      </c>
      <c r="K88" s="1">
        <f t="shared" si="23"/>
        <v>0.86614173228346458</v>
      </c>
      <c r="L88" s="1" t="str">
        <f t="shared" si="24"/>
        <v/>
      </c>
    </row>
    <row r="89" spans="1:12">
      <c r="A89" t="s">
        <v>32</v>
      </c>
      <c r="B89">
        <v>19</v>
      </c>
      <c r="C89" t="str">
        <f t="shared" si="18"/>
        <v>test.Base64_19_</v>
      </c>
      <c r="D89">
        <v>37</v>
      </c>
      <c r="E89">
        <v>0.90551181102362199</v>
      </c>
      <c r="F89">
        <v>0.92500729501021306</v>
      </c>
      <c r="G89" s="1" t="str">
        <f t="shared" si="19"/>
        <v/>
      </c>
      <c r="H89" s="1" t="str">
        <f t="shared" si="20"/>
        <v/>
      </c>
      <c r="I89" s="1" t="str">
        <f t="shared" si="21"/>
        <v/>
      </c>
      <c r="J89" s="1" t="str">
        <f t="shared" si="22"/>
        <v/>
      </c>
      <c r="K89" s="1">
        <f t="shared" si="23"/>
        <v>0.90551181102362199</v>
      </c>
      <c r="L89" s="1" t="str">
        <f t="shared" si="24"/>
        <v/>
      </c>
    </row>
    <row r="90" spans="1:12">
      <c r="A90" t="s">
        <v>32</v>
      </c>
      <c r="B90">
        <v>19</v>
      </c>
      <c r="C90" t="str">
        <f t="shared" si="18"/>
        <v>test.Base64_19_</v>
      </c>
      <c r="D90">
        <v>38</v>
      </c>
      <c r="E90">
        <v>0.90551181102362199</v>
      </c>
      <c r="F90">
        <v>0.92777939889115846</v>
      </c>
      <c r="G90" s="1" t="str">
        <f t="shared" si="19"/>
        <v/>
      </c>
      <c r="H90" s="1" t="str">
        <f t="shared" si="20"/>
        <v/>
      </c>
      <c r="I90" s="1" t="str">
        <f t="shared" si="21"/>
        <v/>
      </c>
      <c r="J90" s="1" t="str">
        <f t="shared" si="22"/>
        <v/>
      </c>
      <c r="K90" s="1">
        <f t="shared" si="23"/>
        <v>0.90551181102362199</v>
      </c>
      <c r="L90" s="1" t="str">
        <f t="shared" si="24"/>
        <v/>
      </c>
    </row>
    <row r="91" spans="1:12">
      <c r="A91" t="s">
        <v>32</v>
      </c>
      <c r="B91">
        <v>19</v>
      </c>
      <c r="C91" t="str">
        <f t="shared" si="18"/>
        <v>test.Base64_19_</v>
      </c>
      <c r="D91">
        <v>39</v>
      </c>
      <c r="E91">
        <v>0.90551181102362199</v>
      </c>
      <c r="F91">
        <v>0.93055150277210386</v>
      </c>
      <c r="G91" s="1" t="str">
        <f t="shared" si="19"/>
        <v/>
      </c>
      <c r="H91" s="1" t="str">
        <f t="shared" si="20"/>
        <v/>
      </c>
      <c r="I91" s="1" t="str">
        <f t="shared" si="21"/>
        <v/>
      </c>
      <c r="J91" s="1" t="str">
        <f t="shared" si="22"/>
        <v/>
      </c>
      <c r="K91" s="1">
        <f t="shared" si="23"/>
        <v>0.90551181102362199</v>
      </c>
      <c r="L91" s="1" t="str">
        <f t="shared" si="24"/>
        <v/>
      </c>
    </row>
    <row r="92" spans="1:12">
      <c r="A92" t="s">
        <v>32</v>
      </c>
      <c r="B92">
        <v>19</v>
      </c>
      <c r="C92" t="str">
        <f t="shared" si="18"/>
        <v>test.Base64_19_</v>
      </c>
      <c r="D92">
        <v>40</v>
      </c>
      <c r="E92">
        <v>0.90551181102362199</v>
      </c>
      <c r="F92">
        <v>0.93215640501896702</v>
      </c>
      <c r="G92" s="1" t="str">
        <f t="shared" si="19"/>
        <v/>
      </c>
      <c r="H92" s="1" t="str">
        <f t="shared" si="20"/>
        <v/>
      </c>
      <c r="I92" s="1" t="str">
        <f t="shared" si="21"/>
        <v/>
      </c>
      <c r="J92" s="1" t="str">
        <f t="shared" si="22"/>
        <v/>
      </c>
      <c r="K92" s="1">
        <f t="shared" si="23"/>
        <v>0.90551181102362199</v>
      </c>
      <c r="L92" s="1" t="str">
        <f t="shared" si="24"/>
        <v/>
      </c>
    </row>
    <row r="93" spans="1:12">
      <c r="A93" t="s">
        <v>32</v>
      </c>
      <c r="B93">
        <v>19</v>
      </c>
      <c r="C93" t="str">
        <f t="shared" si="18"/>
        <v>test.Base64_19_</v>
      </c>
      <c r="D93">
        <v>41</v>
      </c>
      <c r="E93">
        <v>0.90551181102362199</v>
      </c>
      <c r="F93">
        <v>0.93463670849139191</v>
      </c>
      <c r="G93" s="1" t="str">
        <f t="shared" si="19"/>
        <v/>
      </c>
      <c r="H93" s="1" t="str">
        <f t="shared" si="20"/>
        <v/>
      </c>
      <c r="I93" s="1" t="str">
        <f t="shared" si="21"/>
        <v/>
      </c>
      <c r="J93" s="1" t="str">
        <f t="shared" si="22"/>
        <v/>
      </c>
      <c r="K93" s="1">
        <f t="shared" si="23"/>
        <v>0.90551181102362199</v>
      </c>
      <c r="L93" s="1" t="str">
        <f t="shared" si="24"/>
        <v/>
      </c>
    </row>
    <row r="94" spans="1:12">
      <c r="A94" t="s">
        <v>32</v>
      </c>
      <c r="B94">
        <v>19</v>
      </c>
      <c r="C94" t="str">
        <f t="shared" si="18"/>
        <v>test.Base64_19_</v>
      </c>
      <c r="D94">
        <v>42</v>
      </c>
      <c r="E94">
        <v>0.90551181102362199</v>
      </c>
      <c r="F94">
        <v>0.94003501604902251</v>
      </c>
      <c r="G94" s="1" t="str">
        <f t="shared" si="19"/>
        <v/>
      </c>
      <c r="H94" s="1" t="str">
        <f t="shared" si="20"/>
        <v/>
      </c>
      <c r="I94" s="1" t="str">
        <f t="shared" si="21"/>
        <v/>
      </c>
      <c r="J94" s="1" t="str">
        <f t="shared" si="22"/>
        <v/>
      </c>
      <c r="K94" s="1">
        <f t="shared" si="23"/>
        <v>0.90551181102362199</v>
      </c>
      <c r="L94" s="1" t="str">
        <f t="shared" si="24"/>
        <v/>
      </c>
    </row>
    <row r="95" spans="1:12">
      <c r="A95" t="s">
        <v>32</v>
      </c>
      <c r="B95">
        <v>19</v>
      </c>
      <c r="C95" t="str">
        <f t="shared" si="18"/>
        <v>test.Base64_19_</v>
      </c>
      <c r="D95">
        <v>43</v>
      </c>
      <c r="E95">
        <v>0.90551181102362199</v>
      </c>
      <c r="F95">
        <v>0.94193171870440617</v>
      </c>
      <c r="G95" s="1" t="str">
        <f t="shared" si="19"/>
        <v/>
      </c>
      <c r="H95" s="1" t="str">
        <f t="shared" si="20"/>
        <v/>
      </c>
      <c r="I95" s="1" t="str">
        <f t="shared" si="21"/>
        <v/>
      </c>
      <c r="J95" s="1" t="str">
        <f t="shared" si="22"/>
        <v/>
      </c>
      <c r="K95" s="1">
        <f t="shared" si="23"/>
        <v>0.90551181102362199</v>
      </c>
      <c r="L95" s="1" t="str">
        <f t="shared" si="24"/>
        <v/>
      </c>
    </row>
    <row r="96" spans="1:12">
      <c r="A96" t="s">
        <v>32</v>
      </c>
      <c r="B96">
        <v>19</v>
      </c>
      <c r="C96" t="str">
        <f t="shared" si="18"/>
        <v>test.Base64_19_</v>
      </c>
      <c r="D96">
        <v>44</v>
      </c>
      <c r="E96">
        <v>0.99212598425196852</v>
      </c>
      <c r="F96">
        <v>0.94514152319813249</v>
      </c>
      <c r="G96" s="1" t="str">
        <f t="shared" si="19"/>
        <v/>
      </c>
      <c r="H96" s="1" t="str">
        <f t="shared" si="20"/>
        <v/>
      </c>
      <c r="I96" s="1" t="str">
        <f t="shared" si="21"/>
        <v/>
      </c>
      <c r="J96" s="1" t="str">
        <f t="shared" si="22"/>
        <v/>
      </c>
      <c r="K96" s="1">
        <f t="shared" si="23"/>
        <v>0.99212598425196852</v>
      </c>
      <c r="L96" s="1" t="str">
        <f t="shared" si="24"/>
        <v/>
      </c>
    </row>
    <row r="97" spans="1:12">
      <c r="A97" t="s">
        <v>32</v>
      </c>
      <c r="B97">
        <v>19</v>
      </c>
      <c r="C97" t="str">
        <f t="shared" si="18"/>
        <v>test.Base64_19_</v>
      </c>
      <c r="D97">
        <v>45</v>
      </c>
      <c r="E97">
        <v>0.99212598425196852</v>
      </c>
      <c r="F97">
        <v>0.95170703238984533</v>
      </c>
      <c r="G97" s="1" t="str">
        <f t="shared" si="19"/>
        <v/>
      </c>
      <c r="H97" s="1" t="str">
        <f t="shared" si="20"/>
        <v/>
      </c>
      <c r="I97" s="1" t="str">
        <f t="shared" si="21"/>
        <v/>
      </c>
      <c r="J97" s="1" t="str">
        <f t="shared" si="22"/>
        <v/>
      </c>
      <c r="K97" s="1">
        <f t="shared" si="23"/>
        <v>0.99212598425196852</v>
      </c>
      <c r="L97" s="1" t="str">
        <f t="shared" si="24"/>
        <v/>
      </c>
    </row>
    <row r="98" spans="1:12">
      <c r="A98" t="s">
        <v>32</v>
      </c>
      <c r="B98">
        <v>19</v>
      </c>
      <c r="C98" t="str">
        <f t="shared" si="18"/>
        <v>test.Base64_19_</v>
      </c>
      <c r="D98">
        <v>46</v>
      </c>
      <c r="E98">
        <v>0.99212598425196852</v>
      </c>
      <c r="F98">
        <v>0.9534578348409688</v>
      </c>
      <c r="G98" s="1" t="str">
        <f t="shared" si="19"/>
        <v/>
      </c>
      <c r="H98" s="1" t="str">
        <f t="shared" si="20"/>
        <v/>
      </c>
      <c r="I98" s="1" t="str">
        <f t="shared" si="21"/>
        <v/>
      </c>
      <c r="J98" s="1" t="str">
        <f t="shared" si="22"/>
        <v/>
      </c>
      <c r="K98" s="1">
        <f t="shared" si="23"/>
        <v>0.99212598425196852</v>
      </c>
      <c r="L98" s="1" t="str">
        <f t="shared" si="24"/>
        <v/>
      </c>
    </row>
    <row r="99" spans="1:12">
      <c r="A99" t="s">
        <v>32</v>
      </c>
      <c r="B99">
        <v>19</v>
      </c>
      <c r="C99" t="str">
        <f t="shared" si="18"/>
        <v>test.Base64_19_</v>
      </c>
      <c r="D99">
        <v>1</v>
      </c>
      <c r="E99">
        <v>0.99212598425196852</v>
      </c>
      <c r="F99">
        <v>0.95491683688357165</v>
      </c>
      <c r="G99" s="1" t="str">
        <f t="shared" si="19"/>
        <v/>
      </c>
      <c r="H99" s="1" t="str">
        <f t="shared" si="20"/>
        <v/>
      </c>
      <c r="I99" s="1" t="str">
        <f t="shared" si="21"/>
        <v/>
      </c>
      <c r="J99" s="1" t="str">
        <f t="shared" si="22"/>
        <v/>
      </c>
      <c r="K99" s="1">
        <f t="shared" si="23"/>
        <v>0.99212598425196852</v>
      </c>
      <c r="L99" s="1" t="str">
        <f t="shared" si="24"/>
        <v/>
      </c>
    </row>
    <row r="100" spans="1:12">
      <c r="A100" t="s">
        <v>32</v>
      </c>
      <c r="B100">
        <v>19</v>
      </c>
      <c r="C100" t="str">
        <f t="shared" si="18"/>
        <v>test.Base64_19_</v>
      </c>
      <c r="D100">
        <v>2</v>
      </c>
      <c r="E100">
        <v>0.99212598425196852</v>
      </c>
      <c r="F100">
        <v>0.96790195506273713</v>
      </c>
      <c r="G100" s="1" t="str">
        <f t="shared" si="19"/>
        <v/>
      </c>
      <c r="H100" s="1" t="str">
        <f t="shared" si="20"/>
        <v/>
      </c>
      <c r="I100" s="1" t="str">
        <f t="shared" si="21"/>
        <v/>
      </c>
      <c r="J100" s="1" t="str">
        <f t="shared" si="22"/>
        <v/>
      </c>
      <c r="K100" s="1">
        <f t="shared" si="23"/>
        <v>0.99212598425196852</v>
      </c>
      <c r="L100" s="1" t="str">
        <f t="shared" si="24"/>
        <v/>
      </c>
    </row>
    <row r="101" spans="1:12">
      <c r="A101" t="s">
        <v>32</v>
      </c>
      <c r="B101">
        <v>19</v>
      </c>
      <c r="C101" t="str">
        <f t="shared" si="18"/>
        <v>test.Base64_19_</v>
      </c>
      <c r="D101">
        <v>3</v>
      </c>
      <c r="E101">
        <v>0.99212598425196852</v>
      </c>
      <c r="F101">
        <v>0.97694776772687486</v>
      </c>
      <c r="G101" s="1" t="str">
        <f t="shared" si="19"/>
        <v/>
      </c>
      <c r="H101" s="1" t="str">
        <f t="shared" si="20"/>
        <v/>
      </c>
      <c r="I101" s="1" t="str">
        <f t="shared" si="21"/>
        <v/>
      </c>
      <c r="J101" s="1" t="str">
        <f t="shared" si="22"/>
        <v/>
      </c>
      <c r="K101" s="1">
        <f t="shared" si="23"/>
        <v>0.99212598425196852</v>
      </c>
      <c r="L101" s="1" t="str">
        <f t="shared" si="24"/>
        <v/>
      </c>
    </row>
    <row r="102" spans="1:12">
      <c r="A102" t="s">
        <v>32</v>
      </c>
      <c r="B102">
        <v>19</v>
      </c>
      <c r="C102" t="str">
        <f t="shared" si="18"/>
        <v>test.Base64_19_</v>
      </c>
      <c r="D102">
        <v>4</v>
      </c>
      <c r="E102">
        <v>1</v>
      </c>
      <c r="F102">
        <v>1.6634082287715202</v>
      </c>
      <c r="G102" s="1" t="str">
        <f t="shared" si="19"/>
        <v/>
      </c>
      <c r="H102" s="1" t="str">
        <f t="shared" si="20"/>
        <v/>
      </c>
      <c r="I102" s="1" t="str">
        <f t="shared" si="21"/>
        <v/>
      </c>
      <c r="J102" s="1" t="str">
        <f t="shared" si="22"/>
        <v/>
      </c>
      <c r="K102" s="1" t="str">
        <f t="shared" si="23"/>
        <v/>
      </c>
      <c r="L102" s="1">
        <f t="shared" si="24"/>
        <v>1</v>
      </c>
    </row>
    <row r="103" spans="1:12">
      <c r="A103" t="s">
        <v>32</v>
      </c>
      <c r="B103">
        <v>19</v>
      </c>
      <c r="C103" t="str">
        <f t="shared" si="18"/>
        <v>test.Base64_19_</v>
      </c>
      <c r="D103">
        <v>5</v>
      </c>
      <c r="E103">
        <v>1</v>
      </c>
      <c r="F103">
        <v>1.7119929967901955</v>
      </c>
      <c r="G103" s="1" t="str">
        <f t="shared" si="19"/>
        <v/>
      </c>
      <c r="H103" s="1" t="str">
        <f t="shared" si="20"/>
        <v/>
      </c>
      <c r="I103" s="1" t="str">
        <f t="shared" si="21"/>
        <v/>
      </c>
      <c r="J103" s="1" t="str">
        <f t="shared" si="22"/>
        <v/>
      </c>
      <c r="K103" s="1" t="str">
        <f t="shared" si="23"/>
        <v/>
      </c>
      <c r="L103" s="1">
        <f t="shared" si="24"/>
        <v>1</v>
      </c>
    </row>
    <row r="104" spans="1:12">
      <c r="A104" t="s">
        <v>32</v>
      </c>
      <c r="B104">
        <v>20</v>
      </c>
      <c r="C104" t="str">
        <f t="shared" si="18"/>
        <v>test.Base64_20_</v>
      </c>
      <c r="D104">
        <v>6</v>
      </c>
      <c r="E104">
        <v>0.54716981132075471</v>
      </c>
      <c r="F104">
        <v>0.85940285204991085</v>
      </c>
      <c r="G104" s="1" t="str">
        <f t="shared" si="19"/>
        <v/>
      </c>
      <c r="H104" s="1" t="str">
        <f t="shared" si="20"/>
        <v/>
      </c>
      <c r="I104" s="1" t="str">
        <f t="shared" si="21"/>
        <v/>
      </c>
      <c r="J104" s="1" t="str">
        <f t="shared" si="22"/>
        <v/>
      </c>
      <c r="K104" s="1">
        <f t="shared" si="23"/>
        <v>0.54716981132075471</v>
      </c>
      <c r="L104" s="1" t="str">
        <f t="shared" si="24"/>
        <v/>
      </c>
    </row>
    <row r="105" spans="1:12">
      <c r="A105" t="s">
        <v>32</v>
      </c>
      <c r="B105">
        <v>20</v>
      </c>
      <c r="C105" t="str">
        <f t="shared" si="18"/>
        <v>test.Base64_20_</v>
      </c>
      <c r="D105">
        <v>7</v>
      </c>
      <c r="E105">
        <v>0.60377358490566035</v>
      </c>
      <c r="F105">
        <v>0.89037433155080214</v>
      </c>
      <c r="G105" s="1" t="str">
        <f t="shared" si="19"/>
        <v/>
      </c>
      <c r="H105" s="1" t="str">
        <f t="shared" si="20"/>
        <v/>
      </c>
      <c r="I105" s="1" t="str">
        <f t="shared" si="21"/>
        <v/>
      </c>
      <c r="J105" s="1" t="str">
        <f t="shared" si="22"/>
        <v/>
      </c>
      <c r="K105" s="1">
        <f t="shared" si="23"/>
        <v>0.60377358490566035</v>
      </c>
      <c r="L105" s="1" t="str">
        <f t="shared" si="24"/>
        <v/>
      </c>
    </row>
    <row r="106" spans="1:12">
      <c r="A106" t="s">
        <v>32</v>
      </c>
      <c r="B106">
        <v>20</v>
      </c>
      <c r="C106" t="str">
        <f t="shared" si="18"/>
        <v>test.Base64_20_</v>
      </c>
      <c r="D106">
        <v>8</v>
      </c>
      <c r="E106">
        <v>0.60377358490566035</v>
      </c>
      <c r="F106">
        <v>0.89683600713012479</v>
      </c>
      <c r="G106" s="1" t="str">
        <f t="shared" si="19"/>
        <v/>
      </c>
      <c r="H106" s="1" t="str">
        <f t="shared" si="20"/>
        <v/>
      </c>
      <c r="I106" s="1" t="str">
        <f t="shared" si="21"/>
        <v/>
      </c>
      <c r="J106" s="1" t="str">
        <f t="shared" si="22"/>
        <v/>
      </c>
      <c r="K106" s="1">
        <f t="shared" si="23"/>
        <v>0.60377358490566035</v>
      </c>
      <c r="L106" s="1" t="str">
        <f t="shared" si="24"/>
        <v/>
      </c>
    </row>
    <row r="107" spans="1:12">
      <c r="A107" t="s">
        <v>32</v>
      </c>
      <c r="B107">
        <v>20</v>
      </c>
      <c r="C107" t="str">
        <f t="shared" si="18"/>
        <v>test.Base64_20_</v>
      </c>
      <c r="D107">
        <v>9</v>
      </c>
      <c r="E107">
        <v>0.64150943396226412</v>
      </c>
      <c r="F107">
        <v>0.89928698752228164</v>
      </c>
      <c r="G107" s="1" t="str">
        <f t="shared" si="19"/>
        <v/>
      </c>
      <c r="H107" s="1" t="str">
        <f t="shared" si="20"/>
        <v/>
      </c>
      <c r="I107" s="1" t="str">
        <f t="shared" si="21"/>
        <v/>
      </c>
      <c r="J107" s="1" t="str">
        <f t="shared" si="22"/>
        <v/>
      </c>
      <c r="K107" s="1">
        <f t="shared" si="23"/>
        <v>0.64150943396226412</v>
      </c>
      <c r="L107" s="1" t="str">
        <f t="shared" si="24"/>
        <v/>
      </c>
    </row>
    <row r="108" spans="1:12">
      <c r="A108" t="s">
        <v>32</v>
      </c>
      <c r="B108">
        <v>20</v>
      </c>
      <c r="C108" t="str">
        <f t="shared" si="18"/>
        <v>test.Base64_20_</v>
      </c>
      <c r="D108">
        <v>10</v>
      </c>
      <c r="E108">
        <v>0.66981132075471694</v>
      </c>
      <c r="F108">
        <v>0.90441176470588236</v>
      </c>
      <c r="G108" s="1" t="str">
        <f t="shared" si="19"/>
        <v/>
      </c>
      <c r="H108" s="1" t="str">
        <f t="shared" si="20"/>
        <v/>
      </c>
      <c r="I108" s="1" t="str">
        <f t="shared" si="21"/>
        <v/>
      </c>
      <c r="J108" s="1" t="str">
        <f t="shared" si="22"/>
        <v/>
      </c>
      <c r="K108" s="1">
        <f t="shared" si="23"/>
        <v>0.66981132075471694</v>
      </c>
      <c r="L108" s="1" t="str">
        <f t="shared" si="24"/>
        <v/>
      </c>
    </row>
    <row r="109" spans="1:12">
      <c r="A109" t="s">
        <v>32</v>
      </c>
      <c r="B109">
        <v>20</v>
      </c>
      <c r="C109" t="str">
        <f t="shared" si="18"/>
        <v>test.Base64_20_</v>
      </c>
      <c r="D109">
        <v>11</v>
      </c>
      <c r="E109">
        <v>0.66981132075471694</v>
      </c>
      <c r="F109">
        <v>0.90686274509803921</v>
      </c>
      <c r="G109" s="1" t="str">
        <f t="shared" si="19"/>
        <v/>
      </c>
      <c r="H109" s="1" t="str">
        <f t="shared" si="20"/>
        <v/>
      </c>
      <c r="I109" s="1" t="str">
        <f t="shared" si="21"/>
        <v/>
      </c>
      <c r="J109" s="1" t="str">
        <f t="shared" si="22"/>
        <v/>
      </c>
      <c r="K109" s="1">
        <f t="shared" si="23"/>
        <v>0.66981132075471694</v>
      </c>
      <c r="L109" s="1" t="str">
        <f t="shared" si="24"/>
        <v/>
      </c>
    </row>
    <row r="110" spans="1:12">
      <c r="A110" t="s">
        <v>32</v>
      </c>
      <c r="B110">
        <v>20</v>
      </c>
      <c r="C110" t="str">
        <f t="shared" si="18"/>
        <v>test.Base64_20_</v>
      </c>
      <c r="D110">
        <v>12</v>
      </c>
      <c r="E110">
        <v>0.69811320754716977</v>
      </c>
      <c r="F110">
        <v>0.90797682709447414</v>
      </c>
      <c r="G110" s="1" t="str">
        <f t="shared" si="19"/>
        <v/>
      </c>
      <c r="H110" s="1" t="str">
        <f t="shared" si="20"/>
        <v/>
      </c>
      <c r="I110" s="1" t="str">
        <f t="shared" si="21"/>
        <v/>
      </c>
      <c r="J110" s="1" t="str">
        <f t="shared" si="22"/>
        <v/>
      </c>
      <c r="K110" s="1">
        <f t="shared" si="23"/>
        <v>0.69811320754716977</v>
      </c>
      <c r="L110" s="1" t="str">
        <f t="shared" si="24"/>
        <v/>
      </c>
    </row>
    <row r="111" spans="1:12">
      <c r="A111" t="s">
        <v>32</v>
      </c>
      <c r="B111">
        <v>20</v>
      </c>
      <c r="C111" t="str">
        <f t="shared" si="18"/>
        <v>test.Base64_20_</v>
      </c>
      <c r="D111">
        <v>13</v>
      </c>
      <c r="E111">
        <v>0.69811320754716977</v>
      </c>
      <c r="F111">
        <v>0.91265597147950084</v>
      </c>
      <c r="G111" s="1" t="str">
        <f t="shared" si="19"/>
        <v/>
      </c>
      <c r="H111" s="1" t="str">
        <f t="shared" si="20"/>
        <v/>
      </c>
      <c r="I111" s="1" t="str">
        <f t="shared" si="21"/>
        <v/>
      </c>
      <c r="J111" s="1" t="str">
        <f t="shared" si="22"/>
        <v/>
      </c>
      <c r="K111" s="1">
        <f t="shared" si="23"/>
        <v>0.69811320754716977</v>
      </c>
      <c r="L111" s="1" t="str">
        <f t="shared" si="24"/>
        <v/>
      </c>
    </row>
    <row r="112" spans="1:12">
      <c r="A112" t="s">
        <v>32</v>
      </c>
      <c r="B112">
        <v>20</v>
      </c>
      <c r="C112" t="str">
        <f t="shared" si="18"/>
        <v>test.Base64_20_</v>
      </c>
      <c r="D112">
        <v>14</v>
      </c>
      <c r="E112">
        <v>0.69811320754716977</v>
      </c>
      <c r="F112">
        <v>0.91287878787878785</v>
      </c>
      <c r="G112" s="1" t="str">
        <f t="shared" si="19"/>
        <v/>
      </c>
      <c r="H112" s="1" t="str">
        <f t="shared" si="20"/>
        <v/>
      </c>
      <c r="I112" s="1" t="str">
        <f t="shared" si="21"/>
        <v/>
      </c>
      <c r="J112" s="1" t="str">
        <f t="shared" si="22"/>
        <v/>
      </c>
      <c r="K112" s="1">
        <f t="shared" si="23"/>
        <v>0.69811320754716977</v>
      </c>
      <c r="L112" s="1" t="str">
        <f t="shared" si="24"/>
        <v/>
      </c>
    </row>
    <row r="113" spans="1:12">
      <c r="A113" t="s">
        <v>32</v>
      </c>
      <c r="B113">
        <v>20</v>
      </c>
      <c r="C113" t="str">
        <f t="shared" si="18"/>
        <v>test.Base64_20_</v>
      </c>
      <c r="D113">
        <v>15</v>
      </c>
      <c r="E113">
        <v>0.69811320754716977</v>
      </c>
      <c r="F113">
        <v>0.9153297682709447</v>
      </c>
      <c r="G113" s="1" t="str">
        <f t="shared" si="19"/>
        <v/>
      </c>
      <c r="H113" s="1" t="str">
        <f t="shared" si="20"/>
        <v/>
      </c>
      <c r="I113" s="1" t="str">
        <f t="shared" si="21"/>
        <v/>
      </c>
      <c r="J113" s="1" t="str">
        <f t="shared" si="22"/>
        <v/>
      </c>
      <c r="K113" s="1">
        <f t="shared" si="23"/>
        <v>0.69811320754716977</v>
      </c>
      <c r="L113" s="1" t="str">
        <f t="shared" si="24"/>
        <v/>
      </c>
    </row>
    <row r="114" spans="1:12">
      <c r="A114" t="s">
        <v>32</v>
      </c>
      <c r="B114">
        <v>20</v>
      </c>
      <c r="C114" t="str">
        <f t="shared" si="18"/>
        <v>test.Base64_20_</v>
      </c>
      <c r="D114">
        <v>16</v>
      </c>
      <c r="E114">
        <v>0.69811320754716977</v>
      </c>
      <c r="F114">
        <v>0.9195632798573975</v>
      </c>
      <c r="G114" s="1" t="str">
        <f t="shared" si="19"/>
        <v/>
      </c>
      <c r="H114" s="1" t="str">
        <f t="shared" si="20"/>
        <v/>
      </c>
      <c r="I114" s="1" t="str">
        <f t="shared" si="21"/>
        <v/>
      </c>
      <c r="J114" s="1" t="str">
        <f t="shared" si="22"/>
        <v/>
      </c>
      <c r="K114" s="1">
        <f t="shared" si="23"/>
        <v>0.69811320754716977</v>
      </c>
      <c r="L114" s="1" t="str">
        <f t="shared" si="24"/>
        <v/>
      </c>
    </row>
    <row r="115" spans="1:12">
      <c r="A115" t="s">
        <v>32</v>
      </c>
      <c r="B115">
        <v>20</v>
      </c>
      <c r="C115" t="str">
        <f t="shared" si="18"/>
        <v>test.Base64_20_</v>
      </c>
      <c r="D115">
        <v>17</v>
      </c>
      <c r="E115">
        <v>0.69811320754716977</v>
      </c>
      <c r="F115">
        <v>0.92803030303030298</v>
      </c>
      <c r="G115" s="1" t="str">
        <f t="shared" si="19"/>
        <v/>
      </c>
      <c r="H115" s="1" t="str">
        <f t="shared" si="20"/>
        <v/>
      </c>
      <c r="I115" s="1" t="str">
        <f t="shared" si="21"/>
        <v/>
      </c>
      <c r="J115" s="1" t="str">
        <f t="shared" si="22"/>
        <v/>
      </c>
      <c r="K115" s="1">
        <f t="shared" si="23"/>
        <v>0.69811320754716977</v>
      </c>
      <c r="L115" s="1" t="str">
        <f t="shared" si="24"/>
        <v/>
      </c>
    </row>
    <row r="116" spans="1:12">
      <c r="A116" t="s">
        <v>32</v>
      </c>
      <c r="B116">
        <v>20</v>
      </c>
      <c r="C116" t="str">
        <f t="shared" si="18"/>
        <v>test.Base64_20_</v>
      </c>
      <c r="D116">
        <v>18</v>
      </c>
      <c r="E116">
        <v>0.80188679245283023</v>
      </c>
      <c r="F116">
        <v>0.93805704099821752</v>
      </c>
      <c r="G116" s="1" t="str">
        <f t="shared" si="19"/>
        <v/>
      </c>
      <c r="H116" s="1" t="str">
        <f t="shared" si="20"/>
        <v/>
      </c>
      <c r="I116" s="1" t="str">
        <f t="shared" si="21"/>
        <v/>
      </c>
      <c r="J116" s="1" t="str">
        <f t="shared" si="22"/>
        <v/>
      </c>
      <c r="K116" s="1">
        <f t="shared" si="23"/>
        <v>0.80188679245283023</v>
      </c>
      <c r="L116" s="1" t="str">
        <f t="shared" si="24"/>
        <v/>
      </c>
    </row>
    <row r="117" spans="1:12">
      <c r="A117" t="s">
        <v>32</v>
      </c>
      <c r="B117">
        <v>20</v>
      </c>
      <c r="C117" t="str">
        <f t="shared" si="18"/>
        <v>test.Base64_20_</v>
      </c>
      <c r="D117">
        <v>19</v>
      </c>
      <c r="E117">
        <v>0.80188679245283023</v>
      </c>
      <c r="F117">
        <v>0.94808377896613194</v>
      </c>
      <c r="G117" s="1" t="str">
        <f t="shared" si="19"/>
        <v/>
      </c>
      <c r="H117" s="1" t="str">
        <f t="shared" si="20"/>
        <v/>
      </c>
      <c r="I117" s="1" t="str">
        <f t="shared" si="21"/>
        <v/>
      </c>
      <c r="J117" s="1" t="str">
        <f t="shared" si="22"/>
        <v/>
      </c>
      <c r="K117" s="1">
        <f t="shared" si="23"/>
        <v>0.80188679245283023</v>
      </c>
      <c r="L117" s="1" t="str">
        <f t="shared" si="24"/>
        <v/>
      </c>
    </row>
    <row r="118" spans="1:12">
      <c r="A118" t="s">
        <v>32</v>
      </c>
      <c r="B118">
        <v>20</v>
      </c>
      <c r="C118" t="str">
        <f t="shared" si="18"/>
        <v>test.Base64_20_</v>
      </c>
      <c r="D118">
        <v>20</v>
      </c>
      <c r="E118">
        <v>0.80188679245283023</v>
      </c>
      <c r="F118">
        <v>0.94897504456327986</v>
      </c>
      <c r="G118" s="1" t="str">
        <f t="shared" si="19"/>
        <v/>
      </c>
      <c r="H118" s="1" t="str">
        <f t="shared" si="20"/>
        <v/>
      </c>
      <c r="I118" s="1" t="str">
        <f t="shared" si="21"/>
        <v/>
      </c>
      <c r="J118" s="1" t="str">
        <f t="shared" si="22"/>
        <v/>
      </c>
      <c r="K118" s="1">
        <f t="shared" si="23"/>
        <v>0.80188679245283023</v>
      </c>
      <c r="L118" s="1" t="str">
        <f t="shared" si="24"/>
        <v/>
      </c>
    </row>
    <row r="119" spans="1:12">
      <c r="A119" t="s">
        <v>32</v>
      </c>
      <c r="B119">
        <v>20</v>
      </c>
      <c r="C119" t="str">
        <f t="shared" si="18"/>
        <v>test.Base64_20_</v>
      </c>
      <c r="D119">
        <v>21</v>
      </c>
      <c r="E119">
        <v>0.95283018867924529</v>
      </c>
      <c r="F119">
        <v>0.9512032085561497</v>
      </c>
      <c r="G119" s="1" t="str">
        <f t="shared" si="19"/>
        <v/>
      </c>
      <c r="H119" s="1" t="str">
        <f t="shared" si="20"/>
        <v/>
      </c>
      <c r="I119" s="1" t="str">
        <f t="shared" si="21"/>
        <v/>
      </c>
      <c r="J119" s="1" t="str">
        <f t="shared" si="22"/>
        <v/>
      </c>
      <c r="K119" s="1">
        <f t="shared" si="23"/>
        <v>0.95283018867924529</v>
      </c>
      <c r="L119" s="1" t="str">
        <f t="shared" si="24"/>
        <v/>
      </c>
    </row>
    <row r="120" spans="1:12">
      <c r="A120" t="s">
        <v>32</v>
      </c>
      <c r="B120">
        <v>20</v>
      </c>
      <c r="C120" t="str">
        <f t="shared" si="18"/>
        <v>test.Base64_20_</v>
      </c>
      <c r="D120">
        <v>22</v>
      </c>
      <c r="E120">
        <v>1</v>
      </c>
      <c r="F120">
        <v>0.95944741532976829</v>
      </c>
      <c r="G120" s="1" t="str">
        <f t="shared" si="19"/>
        <v/>
      </c>
      <c r="H120" s="1" t="str">
        <f t="shared" si="20"/>
        <v/>
      </c>
      <c r="I120" s="1" t="str">
        <f t="shared" si="21"/>
        <v/>
      </c>
      <c r="J120" s="1" t="str">
        <f t="shared" si="22"/>
        <v/>
      </c>
      <c r="K120" s="1">
        <f t="shared" si="23"/>
        <v>1</v>
      </c>
      <c r="L120" s="1" t="str">
        <f t="shared" si="24"/>
        <v/>
      </c>
    </row>
    <row r="121" spans="1:12">
      <c r="A121" t="s">
        <v>32</v>
      </c>
      <c r="B121">
        <v>20</v>
      </c>
      <c r="C121" t="str">
        <f t="shared" si="18"/>
        <v>test.Base64_20_</v>
      </c>
      <c r="D121">
        <v>23</v>
      </c>
      <c r="E121">
        <v>1</v>
      </c>
      <c r="F121">
        <v>0.96791443850267378</v>
      </c>
      <c r="G121" s="1" t="str">
        <f t="shared" si="19"/>
        <v/>
      </c>
      <c r="H121" s="1" t="str">
        <f t="shared" si="20"/>
        <v/>
      </c>
      <c r="I121" s="1" t="str">
        <f t="shared" si="21"/>
        <v/>
      </c>
      <c r="J121" s="1" t="str">
        <f t="shared" si="22"/>
        <v/>
      </c>
      <c r="K121" s="1">
        <f t="shared" si="23"/>
        <v>1</v>
      </c>
      <c r="L121" s="1" t="str">
        <f t="shared" si="24"/>
        <v/>
      </c>
    </row>
    <row r="122" spans="1:12">
      <c r="A122" t="s">
        <v>32</v>
      </c>
      <c r="B122">
        <v>20</v>
      </c>
      <c r="C122" t="str">
        <f t="shared" si="18"/>
        <v>test.Base64_20_</v>
      </c>
      <c r="D122">
        <v>24</v>
      </c>
      <c r="E122">
        <v>1</v>
      </c>
      <c r="F122">
        <v>0.98529411764705888</v>
      </c>
      <c r="G122" s="1" t="str">
        <f t="shared" si="19"/>
        <v/>
      </c>
      <c r="H122" s="1" t="str">
        <f t="shared" si="20"/>
        <v/>
      </c>
      <c r="I122" s="1" t="str">
        <f t="shared" si="21"/>
        <v/>
      </c>
      <c r="J122" s="1" t="str">
        <f t="shared" si="22"/>
        <v/>
      </c>
      <c r="K122" s="1">
        <f t="shared" si="23"/>
        <v>1</v>
      </c>
      <c r="L122" s="1" t="str">
        <f t="shared" si="24"/>
        <v/>
      </c>
    </row>
    <row r="123" spans="1:12">
      <c r="A123" t="s">
        <v>32</v>
      </c>
      <c r="B123">
        <v>20</v>
      </c>
      <c r="C123" t="str">
        <f t="shared" si="18"/>
        <v>test.Base64_20_</v>
      </c>
      <c r="D123">
        <v>25</v>
      </c>
      <c r="E123">
        <v>1</v>
      </c>
      <c r="F123">
        <v>0.98752228163992872</v>
      </c>
      <c r="G123" s="1" t="str">
        <f t="shared" si="19"/>
        <v/>
      </c>
      <c r="H123" s="1" t="str">
        <f t="shared" si="20"/>
        <v/>
      </c>
      <c r="I123" s="1" t="str">
        <f t="shared" si="21"/>
        <v/>
      </c>
      <c r="J123" s="1" t="str">
        <f t="shared" si="22"/>
        <v/>
      </c>
      <c r="K123" s="1">
        <f t="shared" si="23"/>
        <v>1</v>
      </c>
      <c r="L123" s="1" t="str">
        <f t="shared" si="24"/>
        <v/>
      </c>
    </row>
    <row r="124" spans="1:12">
      <c r="A124" t="s">
        <v>32</v>
      </c>
      <c r="B124">
        <v>20</v>
      </c>
      <c r="C124" t="str">
        <f t="shared" si="18"/>
        <v>test.Base64_20_</v>
      </c>
      <c r="D124">
        <v>26</v>
      </c>
      <c r="E124">
        <v>1</v>
      </c>
      <c r="F124">
        <v>2.0481283422459895</v>
      </c>
      <c r="G124" s="1" t="str">
        <f t="shared" si="19"/>
        <v/>
      </c>
      <c r="H124" s="1" t="str">
        <f t="shared" si="20"/>
        <v/>
      </c>
      <c r="I124" s="1" t="str">
        <f t="shared" si="21"/>
        <v/>
      </c>
      <c r="J124" s="1" t="str">
        <f t="shared" si="22"/>
        <v/>
      </c>
      <c r="K124" s="1" t="str">
        <f t="shared" si="23"/>
        <v/>
      </c>
      <c r="L124" s="1">
        <f t="shared" si="24"/>
        <v>1</v>
      </c>
    </row>
    <row r="125" spans="1:12">
      <c r="A125" t="s">
        <v>56</v>
      </c>
      <c r="B125">
        <v>10</v>
      </c>
      <c r="C125" t="str">
        <f t="shared" si="18"/>
        <v>test.Class11_10_</v>
      </c>
      <c r="D125">
        <v>27</v>
      </c>
      <c r="E125">
        <v>3.9408866995073892E-2</v>
      </c>
      <c r="F125">
        <v>6.566571749072396E-2</v>
      </c>
      <c r="G125" s="1">
        <f t="shared" si="19"/>
        <v>3.9408866995073892E-2</v>
      </c>
      <c r="H125" s="1" t="str">
        <f t="shared" si="20"/>
        <v/>
      </c>
      <c r="I125" s="1" t="str">
        <f t="shared" si="21"/>
        <v/>
      </c>
      <c r="J125" s="1" t="str">
        <f t="shared" si="22"/>
        <v/>
      </c>
      <c r="K125" s="1" t="str">
        <f t="shared" si="23"/>
        <v/>
      </c>
      <c r="L125" s="1" t="str">
        <f t="shared" si="24"/>
        <v/>
      </c>
    </row>
    <row r="126" spans="1:12">
      <c r="A126" t="s">
        <v>56</v>
      </c>
      <c r="B126">
        <v>10</v>
      </c>
      <c r="C126" t="str">
        <f t="shared" si="18"/>
        <v>test.Class11_10_</v>
      </c>
      <c r="D126">
        <v>28</v>
      </c>
      <c r="E126">
        <v>6.6502463054187194E-2</v>
      </c>
      <c r="F126">
        <v>0.10121667098110276</v>
      </c>
      <c r="G126" s="1">
        <f t="shared" si="19"/>
        <v>6.6502463054187194E-2</v>
      </c>
      <c r="H126" s="1" t="str">
        <f t="shared" si="20"/>
        <v/>
      </c>
      <c r="I126" s="1" t="str">
        <f t="shared" si="21"/>
        <v/>
      </c>
      <c r="J126" s="1" t="str">
        <f t="shared" si="22"/>
        <v/>
      </c>
      <c r="K126" s="1" t="str">
        <f t="shared" si="23"/>
        <v/>
      </c>
      <c r="L126" s="1" t="str">
        <f t="shared" si="24"/>
        <v/>
      </c>
    </row>
    <row r="127" spans="1:12">
      <c r="A127" t="s">
        <v>56</v>
      </c>
      <c r="B127">
        <v>10</v>
      </c>
      <c r="C127" t="str">
        <f t="shared" si="18"/>
        <v>test.Class11_10_</v>
      </c>
      <c r="D127">
        <v>1</v>
      </c>
      <c r="E127">
        <v>9.3596059113300489E-2</v>
      </c>
      <c r="F127">
        <v>0.10777461385796876</v>
      </c>
      <c r="G127" s="1">
        <f t="shared" si="19"/>
        <v>9.3596059113300489E-2</v>
      </c>
      <c r="H127" s="1" t="str">
        <f t="shared" si="20"/>
        <v/>
      </c>
      <c r="I127" s="1" t="str">
        <f t="shared" si="21"/>
        <v/>
      </c>
      <c r="J127" s="1" t="str">
        <f t="shared" si="22"/>
        <v/>
      </c>
      <c r="K127" s="1" t="str">
        <f t="shared" si="23"/>
        <v/>
      </c>
      <c r="L127" s="1" t="str">
        <f t="shared" si="24"/>
        <v/>
      </c>
    </row>
    <row r="128" spans="1:12">
      <c r="A128" t="s">
        <v>56</v>
      </c>
      <c r="B128">
        <v>10</v>
      </c>
      <c r="C128" t="str">
        <f t="shared" si="18"/>
        <v>test.Class11_10_</v>
      </c>
      <c r="D128">
        <v>2</v>
      </c>
      <c r="E128">
        <v>0.1206896551724138</v>
      </c>
      <c r="F128">
        <v>0.11407369056864268</v>
      </c>
      <c r="G128" s="1">
        <f t="shared" si="19"/>
        <v>0.1206896551724138</v>
      </c>
      <c r="H128" s="1" t="str">
        <f t="shared" si="20"/>
        <v/>
      </c>
      <c r="I128" s="1" t="str">
        <f t="shared" si="21"/>
        <v/>
      </c>
      <c r="J128" s="1" t="str">
        <f t="shared" si="22"/>
        <v/>
      </c>
      <c r="K128" s="1" t="str">
        <f t="shared" si="23"/>
        <v/>
      </c>
      <c r="L128" s="1" t="str">
        <f t="shared" si="24"/>
        <v/>
      </c>
    </row>
    <row r="129" spans="1:12">
      <c r="A129" t="s">
        <v>56</v>
      </c>
      <c r="B129">
        <v>10</v>
      </c>
      <c r="C129" t="str">
        <f t="shared" si="18"/>
        <v>test.Class11_10_</v>
      </c>
      <c r="D129">
        <v>3</v>
      </c>
      <c r="E129">
        <v>0.14778325123152711</v>
      </c>
      <c r="F129">
        <v>0.11718008456294762</v>
      </c>
      <c r="G129" s="1">
        <f t="shared" si="19"/>
        <v>0.14778325123152711</v>
      </c>
      <c r="H129" s="1" t="str">
        <f t="shared" si="20"/>
        <v/>
      </c>
      <c r="I129" s="1" t="str">
        <f t="shared" si="21"/>
        <v/>
      </c>
      <c r="J129" s="1" t="str">
        <f t="shared" si="22"/>
        <v/>
      </c>
      <c r="K129" s="1" t="str">
        <f t="shared" si="23"/>
        <v/>
      </c>
      <c r="L129" s="1" t="str">
        <f t="shared" si="24"/>
        <v/>
      </c>
    </row>
    <row r="130" spans="1:12">
      <c r="A130" t="s">
        <v>56</v>
      </c>
      <c r="B130">
        <v>10</v>
      </c>
      <c r="C130" t="str">
        <f t="shared" si="18"/>
        <v>test.Class11_10_</v>
      </c>
      <c r="D130">
        <v>4</v>
      </c>
      <c r="E130">
        <v>0.16009852216748768</v>
      </c>
      <c r="F130">
        <v>0.11856070411597204</v>
      </c>
      <c r="G130" s="1">
        <f t="shared" si="19"/>
        <v>0.16009852216748768</v>
      </c>
      <c r="H130" s="1" t="str">
        <f t="shared" si="20"/>
        <v/>
      </c>
      <c r="I130" s="1" t="str">
        <f t="shared" si="21"/>
        <v/>
      </c>
      <c r="J130" s="1" t="str">
        <f t="shared" si="22"/>
        <v/>
      </c>
      <c r="K130" s="1" t="str">
        <f t="shared" si="23"/>
        <v/>
      </c>
      <c r="L130" s="1" t="str">
        <f t="shared" si="24"/>
        <v/>
      </c>
    </row>
    <row r="131" spans="1:12">
      <c r="A131" t="s">
        <v>56</v>
      </c>
      <c r="B131">
        <v>10</v>
      </c>
      <c r="C131" t="str">
        <f t="shared" ref="C131:C194" si="25">CONCATENATE(A131, "_",B131,"_")</f>
        <v>test.Class11_10_</v>
      </c>
      <c r="D131">
        <v>5</v>
      </c>
      <c r="E131">
        <v>0.17241379310344829</v>
      </c>
      <c r="F131">
        <v>0.12045905600138061</v>
      </c>
      <c r="G131" s="1">
        <f t="shared" ref="G131:G194" si="26">IF($F131 &lt;= 0.2,$E131,"")</f>
        <v>0.17241379310344829</v>
      </c>
      <c r="H131" s="1" t="str">
        <f t="shared" ref="H131:H194" si="27">IF(AND($F131 &gt; 0.2,$F131 &lt;= 0.4),$E131,"")</f>
        <v/>
      </c>
      <c r="I131" s="1" t="str">
        <f t="shared" ref="I131:I194" si="28">IF(AND($F131 &gt; 0.4,$F131 &lt;= 0.6),$E131,"")</f>
        <v/>
      </c>
      <c r="J131" s="1" t="str">
        <f t="shared" ref="J131:J194" si="29">IF(AND($F131 &gt; 0.6,$F131 &lt;= 0.8),$E131,"")</f>
        <v/>
      </c>
      <c r="K131" s="1" t="str">
        <f t="shared" ref="K131:K194" si="30">IF(AND($F131 &gt; 0.8, $F131 &lt;=1.1),$E131,"")</f>
        <v/>
      </c>
      <c r="L131" s="1" t="str">
        <f t="shared" ref="L131:L194" si="31">IF(AND($F131 &gt; 1.1),$E131,"")</f>
        <v/>
      </c>
    </row>
    <row r="132" spans="1:12">
      <c r="A132" t="s">
        <v>56</v>
      </c>
      <c r="B132">
        <v>10</v>
      </c>
      <c r="C132" t="str">
        <f t="shared" si="25"/>
        <v>test.Class11_10_</v>
      </c>
      <c r="D132">
        <v>6</v>
      </c>
      <c r="E132">
        <v>0.18472906403940886</v>
      </c>
      <c r="F132">
        <v>0.1230477176633014</v>
      </c>
      <c r="G132" s="1">
        <f t="shared" si="26"/>
        <v>0.18472906403940886</v>
      </c>
      <c r="H132" s="1" t="str">
        <f t="shared" si="27"/>
        <v/>
      </c>
      <c r="I132" s="1" t="str">
        <f t="shared" si="28"/>
        <v/>
      </c>
      <c r="J132" s="1" t="str">
        <f t="shared" si="29"/>
        <v/>
      </c>
      <c r="K132" s="1" t="str">
        <f t="shared" si="30"/>
        <v/>
      </c>
      <c r="L132" s="1" t="str">
        <f t="shared" si="31"/>
        <v/>
      </c>
    </row>
    <row r="133" spans="1:12">
      <c r="A133" t="s">
        <v>56</v>
      </c>
      <c r="B133">
        <v>10</v>
      </c>
      <c r="C133" t="str">
        <f t="shared" si="25"/>
        <v>test.Class11_10_</v>
      </c>
      <c r="D133">
        <v>7</v>
      </c>
      <c r="E133">
        <v>0.19704433497536947</v>
      </c>
      <c r="F133">
        <v>0.12365173871774959</v>
      </c>
      <c r="G133" s="1">
        <f t="shared" si="26"/>
        <v>0.19704433497536947</v>
      </c>
      <c r="H133" s="1" t="str">
        <f t="shared" si="27"/>
        <v/>
      </c>
      <c r="I133" s="1" t="str">
        <f t="shared" si="28"/>
        <v/>
      </c>
      <c r="J133" s="1" t="str">
        <f t="shared" si="29"/>
        <v/>
      </c>
      <c r="K133" s="1" t="str">
        <f t="shared" si="30"/>
        <v/>
      </c>
      <c r="L133" s="1" t="str">
        <f t="shared" si="31"/>
        <v/>
      </c>
    </row>
    <row r="134" spans="1:12">
      <c r="A134" t="s">
        <v>56</v>
      </c>
      <c r="B134">
        <v>10</v>
      </c>
      <c r="C134" t="str">
        <f t="shared" si="25"/>
        <v>test.Class11_10_</v>
      </c>
      <c r="D134">
        <v>8</v>
      </c>
      <c r="E134">
        <v>0.20935960591133004</v>
      </c>
      <c r="F134">
        <v>0.12658555526792648</v>
      </c>
      <c r="G134" s="1">
        <f t="shared" si="26"/>
        <v>0.20935960591133004</v>
      </c>
      <c r="H134" s="1" t="str">
        <f t="shared" si="27"/>
        <v/>
      </c>
      <c r="I134" s="1" t="str">
        <f t="shared" si="28"/>
        <v/>
      </c>
      <c r="J134" s="1" t="str">
        <f t="shared" si="29"/>
        <v/>
      </c>
      <c r="K134" s="1" t="str">
        <f t="shared" si="30"/>
        <v/>
      </c>
      <c r="L134" s="1" t="str">
        <f t="shared" si="31"/>
        <v/>
      </c>
    </row>
    <row r="135" spans="1:12">
      <c r="A135" t="s">
        <v>56</v>
      </c>
      <c r="B135">
        <v>10</v>
      </c>
      <c r="C135" t="str">
        <f t="shared" si="25"/>
        <v>test.Class11_10_</v>
      </c>
      <c r="D135">
        <v>9</v>
      </c>
      <c r="E135">
        <v>0.21182266009852216</v>
      </c>
      <c r="F135">
        <v>0.12736215376650273</v>
      </c>
      <c r="G135" s="1">
        <f t="shared" si="26"/>
        <v>0.21182266009852216</v>
      </c>
      <c r="H135" s="1" t="str">
        <f t="shared" si="27"/>
        <v/>
      </c>
      <c r="I135" s="1" t="str">
        <f t="shared" si="28"/>
        <v/>
      </c>
      <c r="J135" s="1" t="str">
        <f t="shared" si="29"/>
        <v/>
      </c>
      <c r="K135" s="1" t="str">
        <f t="shared" si="30"/>
        <v/>
      </c>
      <c r="L135" s="1" t="str">
        <f t="shared" si="31"/>
        <v/>
      </c>
    </row>
    <row r="136" spans="1:12">
      <c r="A136" t="s">
        <v>56</v>
      </c>
      <c r="B136">
        <v>10</v>
      </c>
      <c r="C136" t="str">
        <f t="shared" si="25"/>
        <v>test.Class11_10_</v>
      </c>
      <c r="D136">
        <v>10</v>
      </c>
      <c r="E136">
        <v>0.21674876847290642</v>
      </c>
      <c r="F136">
        <v>0.12882906204159117</v>
      </c>
      <c r="G136" s="1">
        <f t="shared" si="26"/>
        <v>0.21674876847290642</v>
      </c>
      <c r="H136" s="1" t="str">
        <f t="shared" si="27"/>
        <v/>
      </c>
      <c r="I136" s="1" t="str">
        <f t="shared" si="28"/>
        <v/>
      </c>
      <c r="J136" s="1" t="str">
        <f t="shared" si="29"/>
        <v/>
      </c>
      <c r="K136" s="1" t="str">
        <f t="shared" si="30"/>
        <v/>
      </c>
      <c r="L136" s="1" t="str">
        <f t="shared" si="31"/>
        <v/>
      </c>
    </row>
    <row r="137" spans="1:12">
      <c r="A137" t="s">
        <v>56</v>
      </c>
      <c r="B137">
        <v>10</v>
      </c>
      <c r="C137" t="str">
        <f t="shared" si="25"/>
        <v>test.Class11_10_</v>
      </c>
      <c r="D137">
        <v>11</v>
      </c>
      <c r="E137">
        <v>0.22167487684729065</v>
      </c>
      <c r="F137">
        <v>0.1292605056519113</v>
      </c>
      <c r="G137" s="1">
        <f t="shared" si="26"/>
        <v>0.22167487684729065</v>
      </c>
      <c r="H137" s="1" t="str">
        <f t="shared" si="27"/>
        <v/>
      </c>
      <c r="I137" s="1" t="str">
        <f t="shared" si="28"/>
        <v/>
      </c>
      <c r="J137" s="1" t="str">
        <f t="shared" si="29"/>
        <v/>
      </c>
      <c r="K137" s="1" t="str">
        <f t="shared" si="30"/>
        <v/>
      </c>
      <c r="L137" s="1" t="str">
        <f t="shared" si="31"/>
        <v/>
      </c>
    </row>
    <row r="138" spans="1:12">
      <c r="A138" t="s">
        <v>56</v>
      </c>
      <c r="B138">
        <v>10</v>
      </c>
      <c r="C138" t="str">
        <f t="shared" si="25"/>
        <v>test.Class11_10_</v>
      </c>
      <c r="D138">
        <v>12</v>
      </c>
      <c r="E138">
        <v>0.31280788177339902</v>
      </c>
      <c r="F138">
        <v>0.13236689964621623</v>
      </c>
      <c r="G138" s="1">
        <f t="shared" si="26"/>
        <v>0.31280788177339902</v>
      </c>
      <c r="H138" s="1" t="str">
        <f t="shared" si="27"/>
        <v/>
      </c>
      <c r="I138" s="1" t="str">
        <f t="shared" si="28"/>
        <v/>
      </c>
      <c r="J138" s="1" t="str">
        <f t="shared" si="29"/>
        <v/>
      </c>
      <c r="K138" s="1" t="str">
        <f t="shared" si="30"/>
        <v/>
      </c>
      <c r="L138" s="1" t="str">
        <f t="shared" si="31"/>
        <v/>
      </c>
    </row>
    <row r="139" spans="1:12">
      <c r="A139" t="s">
        <v>56</v>
      </c>
      <c r="B139">
        <v>10</v>
      </c>
      <c r="C139" t="str">
        <f t="shared" si="25"/>
        <v>test.Class11_10_</v>
      </c>
      <c r="D139">
        <v>13</v>
      </c>
      <c r="E139">
        <v>0.32758620689655171</v>
      </c>
      <c r="F139">
        <v>0.1328846319786004</v>
      </c>
      <c r="G139" s="1">
        <f t="shared" si="26"/>
        <v>0.32758620689655171</v>
      </c>
      <c r="H139" s="1" t="str">
        <f t="shared" si="27"/>
        <v/>
      </c>
      <c r="I139" s="1" t="str">
        <f t="shared" si="28"/>
        <v/>
      </c>
      <c r="J139" s="1" t="str">
        <f t="shared" si="29"/>
        <v/>
      </c>
      <c r="K139" s="1" t="str">
        <f t="shared" si="30"/>
        <v/>
      </c>
      <c r="L139" s="1" t="str">
        <f t="shared" si="31"/>
        <v/>
      </c>
    </row>
    <row r="140" spans="1:12">
      <c r="A140" t="s">
        <v>56</v>
      </c>
      <c r="B140">
        <v>10</v>
      </c>
      <c r="C140" t="str">
        <f t="shared" si="25"/>
        <v>test.Class11_10_</v>
      </c>
      <c r="D140">
        <v>14</v>
      </c>
      <c r="E140">
        <v>0.33990147783251229</v>
      </c>
      <c r="F140">
        <v>0.1338338079213047</v>
      </c>
      <c r="G140" s="1">
        <f t="shared" si="26"/>
        <v>0.33990147783251229</v>
      </c>
      <c r="H140" s="1" t="str">
        <f t="shared" si="27"/>
        <v/>
      </c>
      <c r="I140" s="1" t="str">
        <f t="shared" si="28"/>
        <v/>
      </c>
      <c r="J140" s="1" t="str">
        <f t="shared" si="29"/>
        <v/>
      </c>
      <c r="K140" s="1" t="str">
        <f t="shared" si="30"/>
        <v/>
      </c>
      <c r="L140" s="1" t="str">
        <f t="shared" si="31"/>
        <v/>
      </c>
    </row>
    <row r="141" spans="1:12">
      <c r="A141" t="s">
        <v>56</v>
      </c>
      <c r="B141">
        <v>10</v>
      </c>
      <c r="C141" t="str">
        <f t="shared" si="25"/>
        <v>test.Class11_10_</v>
      </c>
      <c r="D141">
        <v>15</v>
      </c>
      <c r="E141">
        <v>0.43103448275862066</v>
      </c>
      <c r="F141">
        <v>0.13538700491845715</v>
      </c>
      <c r="G141" s="1">
        <f t="shared" si="26"/>
        <v>0.43103448275862066</v>
      </c>
      <c r="H141" s="1" t="str">
        <f t="shared" si="27"/>
        <v/>
      </c>
      <c r="I141" s="1" t="str">
        <f t="shared" si="28"/>
        <v/>
      </c>
      <c r="J141" s="1" t="str">
        <f t="shared" si="29"/>
        <v/>
      </c>
      <c r="K141" s="1" t="str">
        <f t="shared" si="30"/>
        <v/>
      </c>
      <c r="L141" s="1" t="str">
        <f t="shared" si="31"/>
        <v/>
      </c>
    </row>
    <row r="142" spans="1:12">
      <c r="A142" t="s">
        <v>56</v>
      </c>
      <c r="B142">
        <v>10</v>
      </c>
      <c r="C142" t="str">
        <f t="shared" si="25"/>
        <v>test.Class11_10_</v>
      </c>
      <c r="D142">
        <v>16</v>
      </c>
      <c r="E142">
        <v>0.45566502463054187</v>
      </c>
      <c r="F142">
        <v>0.13668133574941754</v>
      </c>
      <c r="G142" s="1">
        <f t="shared" si="26"/>
        <v>0.45566502463054187</v>
      </c>
      <c r="H142" s="1" t="str">
        <f t="shared" si="27"/>
        <v/>
      </c>
      <c r="I142" s="1" t="str">
        <f t="shared" si="28"/>
        <v/>
      </c>
      <c r="J142" s="1" t="str">
        <f t="shared" si="29"/>
        <v/>
      </c>
      <c r="K142" s="1" t="str">
        <f t="shared" si="30"/>
        <v/>
      </c>
      <c r="L142" s="1" t="str">
        <f t="shared" si="31"/>
        <v/>
      </c>
    </row>
    <row r="143" spans="1:12">
      <c r="A143" t="s">
        <v>56</v>
      </c>
      <c r="B143">
        <v>10</v>
      </c>
      <c r="C143" t="str">
        <f t="shared" si="25"/>
        <v>test.Class11_10_</v>
      </c>
      <c r="D143">
        <v>17</v>
      </c>
      <c r="E143">
        <v>0.47290640394088668</v>
      </c>
      <c r="F143">
        <v>0.14056432824229873</v>
      </c>
      <c r="G143" s="1">
        <f t="shared" si="26"/>
        <v>0.47290640394088668</v>
      </c>
      <c r="H143" s="1" t="str">
        <f t="shared" si="27"/>
        <v/>
      </c>
      <c r="I143" s="1" t="str">
        <f t="shared" si="28"/>
        <v/>
      </c>
      <c r="J143" s="1" t="str">
        <f t="shared" si="29"/>
        <v/>
      </c>
      <c r="K143" s="1" t="str">
        <f t="shared" si="30"/>
        <v/>
      </c>
      <c r="L143" s="1" t="str">
        <f t="shared" si="31"/>
        <v/>
      </c>
    </row>
    <row r="144" spans="1:12">
      <c r="A144" t="s">
        <v>56</v>
      </c>
      <c r="B144">
        <v>10</v>
      </c>
      <c r="C144" t="str">
        <f t="shared" si="25"/>
        <v>test.Class11_10_</v>
      </c>
      <c r="D144">
        <v>18</v>
      </c>
      <c r="E144">
        <v>0.47290640394088668</v>
      </c>
      <c r="F144">
        <v>0.14099577185261886</v>
      </c>
      <c r="G144" s="1">
        <f t="shared" si="26"/>
        <v>0.47290640394088668</v>
      </c>
      <c r="H144" s="1" t="str">
        <f t="shared" si="27"/>
        <v/>
      </c>
      <c r="I144" s="1" t="str">
        <f t="shared" si="28"/>
        <v/>
      </c>
      <c r="J144" s="1" t="str">
        <f t="shared" si="29"/>
        <v/>
      </c>
      <c r="K144" s="1" t="str">
        <f t="shared" si="30"/>
        <v/>
      </c>
      <c r="L144" s="1" t="str">
        <f t="shared" si="31"/>
        <v/>
      </c>
    </row>
    <row r="145" spans="1:12">
      <c r="A145" t="s">
        <v>56</v>
      </c>
      <c r="B145">
        <v>10</v>
      </c>
      <c r="C145" t="str">
        <f t="shared" si="25"/>
        <v>test.Class11_10_</v>
      </c>
      <c r="D145">
        <v>19</v>
      </c>
      <c r="E145">
        <v>0.49753694581280788</v>
      </c>
      <c r="F145">
        <v>0.15040124255759771</v>
      </c>
      <c r="G145" s="1">
        <f t="shared" si="26"/>
        <v>0.49753694581280788</v>
      </c>
      <c r="H145" s="1" t="str">
        <f t="shared" si="27"/>
        <v/>
      </c>
      <c r="I145" s="1" t="str">
        <f t="shared" si="28"/>
        <v/>
      </c>
      <c r="J145" s="1" t="str">
        <f t="shared" si="29"/>
        <v/>
      </c>
      <c r="K145" s="1" t="str">
        <f t="shared" si="30"/>
        <v/>
      </c>
      <c r="L145" s="1" t="str">
        <f t="shared" si="31"/>
        <v/>
      </c>
    </row>
    <row r="146" spans="1:12">
      <c r="A146" t="s">
        <v>56</v>
      </c>
      <c r="B146">
        <v>10</v>
      </c>
      <c r="C146" t="str">
        <f t="shared" si="25"/>
        <v>test.Class11_10_</v>
      </c>
      <c r="D146">
        <v>20</v>
      </c>
      <c r="E146">
        <v>0.51477832512315269</v>
      </c>
      <c r="F146">
        <v>0.15195443955475019</v>
      </c>
      <c r="G146" s="1">
        <f t="shared" si="26"/>
        <v>0.51477832512315269</v>
      </c>
      <c r="H146" s="1" t="str">
        <f t="shared" si="27"/>
        <v/>
      </c>
      <c r="I146" s="1" t="str">
        <f t="shared" si="28"/>
        <v/>
      </c>
      <c r="J146" s="1" t="str">
        <f t="shared" si="29"/>
        <v/>
      </c>
      <c r="K146" s="1" t="str">
        <f t="shared" si="30"/>
        <v/>
      </c>
      <c r="L146" s="1" t="str">
        <f t="shared" si="31"/>
        <v/>
      </c>
    </row>
    <row r="147" spans="1:12">
      <c r="A147" t="s">
        <v>56</v>
      </c>
      <c r="B147">
        <v>10</v>
      </c>
      <c r="C147" t="str">
        <f t="shared" si="25"/>
        <v>test.Class11_10_</v>
      </c>
      <c r="D147">
        <v>21</v>
      </c>
      <c r="E147">
        <v>0.53201970443349755</v>
      </c>
      <c r="F147">
        <v>0.15204072827681422</v>
      </c>
      <c r="G147" s="1">
        <f t="shared" si="26"/>
        <v>0.53201970443349755</v>
      </c>
      <c r="H147" s="1" t="str">
        <f t="shared" si="27"/>
        <v/>
      </c>
      <c r="I147" s="1" t="str">
        <f t="shared" si="28"/>
        <v/>
      </c>
      <c r="J147" s="1" t="str">
        <f t="shared" si="29"/>
        <v/>
      </c>
      <c r="K147" s="1" t="str">
        <f t="shared" si="30"/>
        <v/>
      </c>
      <c r="L147" s="1" t="str">
        <f t="shared" si="31"/>
        <v/>
      </c>
    </row>
    <row r="148" spans="1:12">
      <c r="A148" t="s">
        <v>56</v>
      </c>
      <c r="B148">
        <v>10</v>
      </c>
      <c r="C148" t="str">
        <f t="shared" si="25"/>
        <v>test.Class11_10_</v>
      </c>
      <c r="D148">
        <v>22</v>
      </c>
      <c r="E148">
        <v>0.55911330049261088</v>
      </c>
      <c r="F148">
        <v>0.15928898093019242</v>
      </c>
      <c r="G148" s="1">
        <f t="shared" si="26"/>
        <v>0.55911330049261088</v>
      </c>
      <c r="H148" s="1" t="str">
        <f t="shared" si="27"/>
        <v/>
      </c>
      <c r="I148" s="1" t="str">
        <f t="shared" si="28"/>
        <v/>
      </c>
      <c r="J148" s="1" t="str">
        <f t="shared" si="29"/>
        <v/>
      </c>
      <c r="K148" s="1" t="str">
        <f t="shared" si="30"/>
        <v/>
      </c>
      <c r="L148" s="1" t="str">
        <f t="shared" si="31"/>
        <v/>
      </c>
    </row>
    <row r="149" spans="1:12">
      <c r="A149" t="s">
        <v>56</v>
      </c>
      <c r="B149">
        <v>10</v>
      </c>
      <c r="C149" t="str">
        <f t="shared" si="25"/>
        <v>test.Class11_10_</v>
      </c>
      <c r="D149">
        <v>23</v>
      </c>
      <c r="E149">
        <v>0.58620689655172409</v>
      </c>
      <c r="F149">
        <v>0.16196393131417725</v>
      </c>
      <c r="G149" s="1">
        <f t="shared" si="26"/>
        <v>0.58620689655172409</v>
      </c>
      <c r="H149" s="1" t="str">
        <f t="shared" si="27"/>
        <v/>
      </c>
      <c r="I149" s="1" t="str">
        <f t="shared" si="28"/>
        <v/>
      </c>
      <c r="J149" s="1" t="str">
        <f t="shared" si="29"/>
        <v/>
      </c>
      <c r="K149" s="1" t="str">
        <f t="shared" si="30"/>
        <v/>
      </c>
      <c r="L149" s="1" t="str">
        <f t="shared" si="31"/>
        <v/>
      </c>
    </row>
    <row r="150" spans="1:12">
      <c r="A150" t="s">
        <v>56</v>
      </c>
      <c r="B150">
        <v>10</v>
      </c>
      <c r="C150" t="str">
        <f t="shared" si="25"/>
        <v>test.Class11_10_</v>
      </c>
      <c r="D150">
        <v>24</v>
      </c>
      <c r="E150">
        <v>0.72167487684729059</v>
      </c>
      <c r="F150">
        <v>0.16895331780136336</v>
      </c>
      <c r="G150" s="1">
        <f t="shared" si="26"/>
        <v>0.72167487684729059</v>
      </c>
      <c r="H150" s="1" t="str">
        <f t="shared" si="27"/>
        <v/>
      </c>
      <c r="I150" s="1" t="str">
        <f t="shared" si="28"/>
        <v/>
      </c>
      <c r="J150" s="1" t="str">
        <f t="shared" si="29"/>
        <v/>
      </c>
      <c r="K150" s="1" t="str">
        <f t="shared" si="30"/>
        <v/>
      </c>
      <c r="L150" s="1" t="str">
        <f t="shared" si="31"/>
        <v/>
      </c>
    </row>
    <row r="151" spans="1:12">
      <c r="A151" t="s">
        <v>56</v>
      </c>
      <c r="B151">
        <v>10</v>
      </c>
      <c r="C151" t="str">
        <f t="shared" si="25"/>
        <v>test.Class11_10_</v>
      </c>
      <c r="D151">
        <v>25</v>
      </c>
      <c r="E151">
        <v>0.74630541871921185</v>
      </c>
      <c r="F151">
        <v>0.17507981706790923</v>
      </c>
      <c r="G151" s="1">
        <f t="shared" si="26"/>
        <v>0.74630541871921185</v>
      </c>
      <c r="H151" s="1" t="str">
        <f t="shared" si="27"/>
        <v/>
      </c>
      <c r="I151" s="1" t="str">
        <f t="shared" si="28"/>
        <v/>
      </c>
      <c r="J151" s="1" t="str">
        <f t="shared" si="29"/>
        <v/>
      </c>
      <c r="K151" s="1" t="str">
        <f t="shared" si="30"/>
        <v/>
      </c>
      <c r="L151" s="1" t="str">
        <f t="shared" si="31"/>
        <v/>
      </c>
    </row>
    <row r="152" spans="1:12">
      <c r="A152" t="s">
        <v>56</v>
      </c>
      <c r="B152">
        <v>10</v>
      </c>
      <c r="C152" t="str">
        <f t="shared" si="25"/>
        <v>test.Class11_10_</v>
      </c>
      <c r="D152">
        <v>26</v>
      </c>
      <c r="E152">
        <v>0.76108374384236455</v>
      </c>
      <c r="F152">
        <v>0.17525239451203728</v>
      </c>
      <c r="G152" s="1">
        <f t="shared" si="26"/>
        <v>0.76108374384236455</v>
      </c>
      <c r="H152" s="1" t="str">
        <f t="shared" si="27"/>
        <v/>
      </c>
      <c r="I152" s="1" t="str">
        <f t="shared" si="28"/>
        <v/>
      </c>
      <c r="J152" s="1" t="str">
        <f t="shared" si="29"/>
        <v/>
      </c>
      <c r="K152" s="1" t="str">
        <f t="shared" si="30"/>
        <v/>
      </c>
      <c r="L152" s="1" t="str">
        <f t="shared" si="31"/>
        <v/>
      </c>
    </row>
    <row r="153" spans="1:12">
      <c r="A153" t="s">
        <v>56</v>
      </c>
      <c r="B153">
        <v>10</v>
      </c>
      <c r="C153" t="str">
        <f t="shared" si="25"/>
        <v>test.Class11_10_</v>
      </c>
      <c r="D153">
        <v>27</v>
      </c>
      <c r="E153">
        <v>0.77586206896551724</v>
      </c>
      <c r="F153">
        <v>0.17758219000776598</v>
      </c>
      <c r="G153" s="1">
        <f t="shared" si="26"/>
        <v>0.77586206896551724</v>
      </c>
      <c r="H153" s="1" t="str">
        <f t="shared" si="27"/>
        <v/>
      </c>
      <c r="I153" s="1" t="str">
        <f t="shared" si="28"/>
        <v/>
      </c>
      <c r="J153" s="1" t="str">
        <f t="shared" si="29"/>
        <v/>
      </c>
      <c r="K153" s="1" t="str">
        <f t="shared" si="30"/>
        <v/>
      </c>
      <c r="L153" s="1" t="str">
        <f t="shared" si="31"/>
        <v/>
      </c>
    </row>
    <row r="154" spans="1:12">
      <c r="A154" t="s">
        <v>56</v>
      </c>
      <c r="B154">
        <v>10</v>
      </c>
      <c r="C154" t="str">
        <f t="shared" si="25"/>
        <v>test.Class11_10_</v>
      </c>
      <c r="D154">
        <v>28</v>
      </c>
      <c r="E154">
        <v>0.80049261083743839</v>
      </c>
      <c r="F154">
        <v>0.18379497799637587</v>
      </c>
      <c r="G154" s="1">
        <f t="shared" si="26"/>
        <v>0.80049261083743839</v>
      </c>
      <c r="H154" s="1" t="str">
        <f t="shared" si="27"/>
        <v/>
      </c>
      <c r="I154" s="1" t="str">
        <f t="shared" si="28"/>
        <v/>
      </c>
      <c r="J154" s="1" t="str">
        <f t="shared" si="29"/>
        <v/>
      </c>
      <c r="K154" s="1" t="str">
        <f t="shared" si="30"/>
        <v/>
      </c>
      <c r="L154" s="1" t="str">
        <f t="shared" si="31"/>
        <v/>
      </c>
    </row>
    <row r="155" spans="1:12">
      <c r="A155" t="s">
        <v>56</v>
      </c>
      <c r="B155">
        <v>10</v>
      </c>
      <c r="C155" t="str">
        <f t="shared" si="25"/>
        <v>test.Class11_10_</v>
      </c>
      <c r="D155">
        <v>29</v>
      </c>
      <c r="E155">
        <v>0.98522167487684731</v>
      </c>
      <c r="F155">
        <v>0.24212615411165761</v>
      </c>
      <c r="G155" s="1" t="str">
        <f t="shared" si="26"/>
        <v/>
      </c>
      <c r="H155" s="1">
        <f t="shared" si="27"/>
        <v>0.98522167487684731</v>
      </c>
      <c r="I155" s="1" t="str">
        <f t="shared" si="28"/>
        <v/>
      </c>
      <c r="J155" s="1" t="str">
        <f t="shared" si="29"/>
        <v/>
      </c>
      <c r="K155" s="1" t="str">
        <f t="shared" si="30"/>
        <v/>
      </c>
      <c r="L155" s="1" t="str">
        <f t="shared" si="31"/>
        <v/>
      </c>
    </row>
    <row r="156" spans="1:12">
      <c r="A156" t="s">
        <v>56</v>
      </c>
      <c r="B156">
        <v>10</v>
      </c>
      <c r="C156" t="str">
        <f t="shared" si="25"/>
        <v>test.Class11_10_</v>
      </c>
      <c r="D156">
        <v>30</v>
      </c>
      <c r="E156">
        <v>1</v>
      </c>
      <c r="F156">
        <v>1.0805073776857366</v>
      </c>
      <c r="G156" s="1" t="str">
        <f t="shared" si="26"/>
        <v/>
      </c>
      <c r="H156" s="1" t="str">
        <f t="shared" si="27"/>
        <v/>
      </c>
      <c r="I156" s="1" t="str">
        <f t="shared" si="28"/>
        <v/>
      </c>
      <c r="J156" s="1" t="str">
        <f t="shared" si="29"/>
        <v/>
      </c>
      <c r="K156" s="1">
        <f t="shared" si="30"/>
        <v>1</v>
      </c>
      <c r="L156" s="1" t="str">
        <f t="shared" si="31"/>
        <v/>
      </c>
    </row>
    <row r="157" spans="1:12">
      <c r="A157" t="s">
        <v>56</v>
      </c>
      <c r="B157">
        <v>11</v>
      </c>
      <c r="C157" t="str">
        <f t="shared" si="25"/>
        <v>test.Class11_11_</v>
      </c>
      <c r="D157">
        <v>31</v>
      </c>
      <c r="E157">
        <v>5.208333333333333E-3</v>
      </c>
      <c r="F157">
        <v>1.8853405155829166E-2</v>
      </c>
      <c r="G157" s="1">
        <f t="shared" si="26"/>
        <v>5.208333333333333E-3</v>
      </c>
      <c r="H157" s="1" t="str">
        <f t="shared" si="27"/>
        <v/>
      </c>
      <c r="I157" s="1" t="str">
        <f t="shared" si="28"/>
        <v/>
      </c>
      <c r="J157" s="1" t="str">
        <f t="shared" si="29"/>
        <v/>
      </c>
      <c r="K157" s="1" t="str">
        <f t="shared" si="30"/>
        <v/>
      </c>
      <c r="L157" s="1" t="str">
        <f t="shared" si="31"/>
        <v/>
      </c>
    </row>
    <row r="158" spans="1:12">
      <c r="A158" t="s">
        <v>56</v>
      </c>
      <c r="B158">
        <v>11</v>
      </c>
      <c r="C158" t="str">
        <f t="shared" si="25"/>
        <v>test.Class11_11_</v>
      </c>
      <c r="D158">
        <v>32</v>
      </c>
      <c r="E158">
        <v>0.38541666666666669</v>
      </c>
      <c r="F158">
        <v>0.42227779915352059</v>
      </c>
      <c r="G158" s="1" t="str">
        <f t="shared" si="26"/>
        <v/>
      </c>
      <c r="H158" s="1" t="str">
        <f t="shared" si="27"/>
        <v/>
      </c>
      <c r="I158" s="1">
        <f t="shared" si="28"/>
        <v>0.38541666666666669</v>
      </c>
      <c r="J158" s="1" t="str">
        <f t="shared" si="29"/>
        <v/>
      </c>
      <c r="K158" s="1" t="str">
        <f t="shared" si="30"/>
        <v/>
      </c>
      <c r="L158" s="1" t="str">
        <f t="shared" si="31"/>
        <v/>
      </c>
    </row>
    <row r="159" spans="1:12">
      <c r="A159" t="s">
        <v>56</v>
      </c>
      <c r="B159">
        <v>11</v>
      </c>
      <c r="C159" t="str">
        <f t="shared" si="25"/>
        <v>test.Class11_11_</v>
      </c>
      <c r="D159">
        <v>33</v>
      </c>
      <c r="E159">
        <v>0.40625</v>
      </c>
      <c r="F159">
        <v>0.44440169295883031</v>
      </c>
      <c r="G159" s="1" t="str">
        <f t="shared" si="26"/>
        <v/>
      </c>
      <c r="H159" s="1" t="str">
        <f t="shared" si="27"/>
        <v/>
      </c>
      <c r="I159" s="1">
        <f t="shared" si="28"/>
        <v>0.40625</v>
      </c>
      <c r="J159" s="1" t="str">
        <f t="shared" si="29"/>
        <v/>
      </c>
      <c r="K159" s="1" t="str">
        <f t="shared" si="30"/>
        <v/>
      </c>
      <c r="L159" s="1" t="str">
        <f t="shared" si="31"/>
        <v/>
      </c>
    </row>
    <row r="160" spans="1:12">
      <c r="A160" t="s">
        <v>56</v>
      </c>
      <c r="B160">
        <v>11</v>
      </c>
      <c r="C160" t="str">
        <f t="shared" si="25"/>
        <v>test.Class11_11_</v>
      </c>
      <c r="D160">
        <v>1</v>
      </c>
      <c r="E160">
        <v>0.546875</v>
      </c>
      <c r="F160">
        <v>0.53289726818006922</v>
      </c>
      <c r="G160" s="1" t="str">
        <f t="shared" si="26"/>
        <v/>
      </c>
      <c r="H160" s="1" t="str">
        <f t="shared" si="27"/>
        <v/>
      </c>
      <c r="I160" s="1">
        <f t="shared" si="28"/>
        <v>0.546875</v>
      </c>
      <c r="J160" s="1" t="str">
        <f t="shared" si="29"/>
        <v/>
      </c>
      <c r="K160" s="1" t="str">
        <f t="shared" si="30"/>
        <v/>
      </c>
      <c r="L160" s="1" t="str">
        <f t="shared" si="31"/>
        <v/>
      </c>
    </row>
    <row r="161" spans="1:12">
      <c r="A161" t="s">
        <v>56</v>
      </c>
      <c r="B161">
        <v>11</v>
      </c>
      <c r="C161" t="str">
        <f t="shared" si="25"/>
        <v>test.Class11_11_</v>
      </c>
      <c r="D161">
        <v>2</v>
      </c>
      <c r="E161">
        <v>0.6875</v>
      </c>
      <c r="F161">
        <v>0.5536744901885341</v>
      </c>
      <c r="G161" s="1" t="str">
        <f t="shared" si="26"/>
        <v/>
      </c>
      <c r="H161" s="1" t="str">
        <f t="shared" si="27"/>
        <v/>
      </c>
      <c r="I161" s="1">
        <f t="shared" si="28"/>
        <v>0.6875</v>
      </c>
      <c r="J161" s="1" t="str">
        <f t="shared" si="29"/>
        <v/>
      </c>
      <c r="K161" s="1" t="str">
        <f t="shared" si="30"/>
        <v/>
      </c>
      <c r="L161" s="1" t="str">
        <f t="shared" si="31"/>
        <v/>
      </c>
    </row>
    <row r="162" spans="1:12">
      <c r="A162" t="s">
        <v>56</v>
      </c>
      <c r="B162">
        <v>11</v>
      </c>
      <c r="C162" t="str">
        <f t="shared" si="25"/>
        <v>test.Class11_11_</v>
      </c>
      <c r="D162">
        <v>3</v>
      </c>
      <c r="E162">
        <v>0.6875</v>
      </c>
      <c r="F162">
        <v>0.56156213928434018</v>
      </c>
      <c r="G162" s="1" t="str">
        <f t="shared" si="26"/>
        <v/>
      </c>
      <c r="H162" s="1" t="str">
        <f t="shared" si="27"/>
        <v/>
      </c>
      <c r="I162" s="1">
        <f t="shared" si="28"/>
        <v>0.6875</v>
      </c>
      <c r="J162" s="1" t="str">
        <f t="shared" si="29"/>
        <v/>
      </c>
      <c r="K162" s="1" t="str">
        <f t="shared" si="30"/>
        <v/>
      </c>
      <c r="L162" s="1" t="str">
        <f t="shared" si="31"/>
        <v/>
      </c>
    </row>
    <row r="163" spans="1:12">
      <c r="A163" t="s">
        <v>56</v>
      </c>
      <c r="B163">
        <v>11</v>
      </c>
      <c r="C163" t="str">
        <f t="shared" si="25"/>
        <v>test.Class11_11_</v>
      </c>
      <c r="D163">
        <v>1</v>
      </c>
      <c r="E163">
        <v>0.6875</v>
      </c>
      <c r="F163">
        <v>0.56194690265486724</v>
      </c>
      <c r="G163" s="1" t="str">
        <f t="shared" si="26"/>
        <v/>
      </c>
      <c r="H163" s="1" t="str">
        <f t="shared" si="27"/>
        <v/>
      </c>
      <c r="I163" s="1">
        <f t="shared" si="28"/>
        <v>0.6875</v>
      </c>
      <c r="J163" s="1" t="str">
        <f t="shared" si="29"/>
        <v/>
      </c>
      <c r="K163" s="1" t="str">
        <f t="shared" si="30"/>
        <v/>
      </c>
      <c r="L163" s="1" t="str">
        <f t="shared" si="31"/>
        <v/>
      </c>
    </row>
    <row r="164" spans="1:12">
      <c r="A164" t="s">
        <v>56</v>
      </c>
      <c r="B164">
        <v>11</v>
      </c>
      <c r="C164" t="str">
        <f t="shared" si="25"/>
        <v>test.Class11_11_</v>
      </c>
      <c r="D164">
        <v>2</v>
      </c>
      <c r="E164">
        <v>0.828125</v>
      </c>
      <c r="F164">
        <v>0.56406310119276648</v>
      </c>
      <c r="G164" s="1" t="str">
        <f t="shared" si="26"/>
        <v/>
      </c>
      <c r="H164" s="1" t="str">
        <f t="shared" si="27"/>
        <v/>
      </c>
      <c r="I164" s="1">
        <f t="shared" si="28"/>
        <v>0.828125</v>
      </c>
      <c r="J164" s="1" t="str">
        <f t="shared" si="29"/>
        <v/>
      </c>
      <c r="K164" s="1" t="str">
        <f t="shared" si="30"/>
        <v/>
      </c>
      <c r="L164" s="1" t="str">
        <f t="shared" si="31"/>
        <v/>
      </c>
    </row>
    <row r="165" spans="1:12">
      <c r="A165" t="s">
        <v>56</v>
      </c>
      <c r="B165">
        <v>11</v>
      </c>
      <c r="C165" t="str">
        <f t="shared" si="25"/>
        <v>test.Class11_11_</v>
      </c>
      <c r="D165">
        <v>1</v>
      </c>
      <c r="E165">
        <v>0.828125</v>
      </c>
      <c r="F165">
        <v>0.57406694882647169</v>
      </c>
      <c r="G165" s="1" t="str">
        <f t="shared" si="26"/>
        <v/>
      </c>
      <c r="H165" s="1" t="str">
        <f t="shared" si="27"/>
        <v/>
      </c>
      <c r="I165" s="1">
        <f t="shared" si="28"/>
        <v>0.828125</v>
      </c>
      <c r="J165" s="1" t="str">
        <f t="shared" si="29"/>
        <v/>
      </c>
      <c r="K165" s="1" t="str">
        <f t="shared" si="30"/>
        <v/>
      </c>
      <c r="L165" s="1" t="str">
        <f t="shared" si="31"/>
        <v/>
      </c>
    </row>
    <row r="166" spans="1:12">
      <c r="A166" t="s">
        <v>56</v>
      </c>
      <c r="B166">
        <v>11</v>
      </c>
      <c r="C166" t="str">
        <f t="shared" si="25"/>
        <v>test.Class11_11_</v>
      </c>
      <c r="D166">
        <v>2</v>
      </c>
      <c r="E166">
        <v>0.96875</v>
      </c>
      <c r="F166">
        <v>0.58580223162754907</v>
      </c>
      <c r="G166" s="1" t="str">
        <f t="shared" si="26"/>
        <v/>
      </c>
      <c r="H166" s="1" t="str">
        <f t="shared" si="27"/>
        <v/>
      </c>
      <c r="I166" s="1">
        <f t="shared" si="28"/>
        <v>0.96875</v>
      </c>
      <c r="J166" s="1" t="str">
        <f t="shared" si="29"/>
        <v/>
      </c>
      <c r="K166" s="1" t="str">
        <f t="shared" si="30"/>
        <v/>
      </c>
      <c r="L166" s="1" t="str">
        <f t="shared" si="31"/>
        <v/>
      </c>
    </row>
    <row r="167" spans="1:12">
      <c r="A167" t="s">
        <v>56</v>
      </c>
      <c r="B167">
        <v>11</v>
      </c>
      <c r="C167" t="str">
        <f t="shared" si="25"/>
        <v>test.Class11_11_</v>
      </c>
      <c r="D167">
        <v>1</v>
      </c>
      <c r="E167">
        <v>0.96875</v>
      </c>
      <c r="F167">
        <v>0.59811465948441711</v>
      </c>
      <c r="G167" s="1" t="str">
        <f t="shared" si="26"/>
        <v/>
      </c>
      <c r="H167" s="1" t="str">
        <f t="shared" si="27"/>
        <v/>
      </c>
      <c r="I167" s="1">
        <f t="shared" si="28"/>
        <v>0.96875</v>
      </c>
      <c r="J167" s="1" t="str">
        <f t="shared" si="29"/>
        <v/>
      </c>
      <c r="K167" s="1" t="str">
        <f t="shared" si="30"/>
        <v/>
      </c>
      <c r="L167" s="1" t="str">
        <f t="shared" si="31"/>
        <v/>
      </c>
    </row>
    <row r="168" spans="1:12">
      <c r="A168" t="s">
        <v>56</v>
      </c>
      <c r="B168">
        <v>11</v>
      </c>
      <c r="C168" t="str">
        <f t="shared" si="25"/>
        <v>test.Class11_11_</v>
      </c>
      <c r="D168">
        <v>2</v>
      </c>
      <c r="E168">
        <v>1</v>
      </c>
      <c r="F168">
        <v>1.0517506733358983</v>
      </c>
      <c r="G168" s="1" t="str">
        <f t="shared" si="26"/>
        <v/>
      </c>
      <c r="H168" s="1" t="str">
        <f t="shared" si="27"/>
        <v/>
      </c>
      <c r="I168" s="1" t="str">
        <f t="shared" si="28"/>
        <v/>
      </c>
      <c r="J168" s="1" t="str">
        <f t="shared" si="29"/>
        <v/>
      </c>
      <c r="K168" s="1">
        <f t="shared" si="30"/>
        <v>1</v>
      </c>
      <c r="L168" s="1" t="str">
        <f t="shared" si="31"/>
        <v/>
      </c>
    </row>
    <row r="169" spans="1:12">
      <c r="A169" t="s">
        <v>56</v>
      </c>
      <c r="B169">
        <v>12</v>
      </c>
      <c r="C169" t="str">
        <f t="shared" si="25"/>
        <v>test.Class11_12_</v>
      </c>
      <c r="D169">
        <v>3</v>
      </c>
      <c r="E169">
        <v>8.4745762711864406E-3</v>
      </c>
      <c r="F169">
        <v>2.9868942395611095E-2</v>
      </c>
      <c r="G169" s="1">
        <f t="shared" si="26"/>
        <v>8.4745762711864406E-3</v>
      </c>
      <c r="H169" s="1" t="str">
        <f t="shared" si="27"/>
        <v/>
      </c>
      <c r="I169" s="1" t="str">
        <f t="shared" si="28"/>
        <v/>
      </c>
      <c r="J169" s="1" t="str">
        <f t="shared" si="29"/>
        <v/>
      </c>
      <c r="K169" s="1" t="str">
        <f t="shared" si="30"/>
        <v/>
      </c>
      <c r="L169" s="1" t="str">
        <f t="shared" si="31"/>
        <v/>
      </c>
    </row>
    <row r="170" spans="1:12">
      <c r="A170" t="s">
        <v>56</v>
      </c>
      <c r="B170">
        <v>12</v>
      </c>
      <c r="C170" t="str">
        <f t="shared" si="25"/>
        <v>test.Class11_12_</v>
      </c>
      <c r="D170">
        <v>4</v>
      </c>
      <c r="E170">
        <v>0.4152542372881356</v>
      </c>
      <c r="F170">
        <v>0.54282231027125871</v>
      </c>
      <c r="G170" s="1" t="str">
        <f t="shared" si="26"/>
        <v/>
      </c>
      <c r="H170" s="1" t="str">
        <f t="shared" si="27"/>
        <v/>
      </c>
      <c r="I170" s="1">
        <f t="shared" si="28"/>
        <v>0.4152542372881356</v>
      </c>
      <c r="J170" s="1" t="str">
        <f t="shared" si="29"/>
        <v/>
      </c>
      <c r="K170" s="1" t="str">
        <f t="shared" si="30"/>
        <v/>
      </c>
      <c r="L170" s="1" t="str">
        <f t="shared" si="31"/>
        <v/>
      </c>
    </row>
    <row r="171" spans="1:12">
      <c r="A171" t="s">
        <v>56</v>
      </c>
      <c r="B171">
        <v>12</v>
      </c>
      <c r="C171" t="str">
        <f t="shared" si="25"/>
        <v>test.Class11_12_</v>
      </c>
      <c r="D171">
        <v>5</v>
      </c>
      <c r="E171">
        <v>0.50847457627118642</v>
      </c>
      <c r="F171">
        <v>0.62572386467540386</v>
      </c>
      <c r="G171" s="1" t="str">
        <f t="shared" si="26"/>
        <v/>
      </c>
      <c r="H171" s="1" t="str">
        <f t="shared" si="27"/>
        <v/>
      </c>
      <c r="I171" s="1" t="str">
        <f t="shared" si="28"/>
        <v/>
      </c>
      <c r="J171" s="1">
        <f t="shared" si="29"/>
        <v>0.50847457627118642</v>
      </c>
      <c r="K171" s="1" t="str">
        <f t="shared" si="30"/>
        <v/>
      </c>
      <c r="L171" s="1" t="str">
        <f t="shared" si="31"/>
        <v/>
      </c>
    </row>
    <row r="172" spans="1:12">
      <c r="A172" t="s">
        <v>56</v>
      </c>
      <c r="B172">
        <v>12</v>
      </c>
      <c r="C172" t="str">
        <f t="shared" si="25"/>
        <v>test.Class11_12_</v>
      </c>
      <c r="D172">
        <v>6</v>
      </c>
      <c r="E172">
        <v>0.51694915254237284</v>
      </c>
      <c r="F172">
        <v>0.64218226150563851</v>
      </c>
      <c r="G172" s="1" t="str">
        <f t="shared" si="26"/>
        <v/>
      </c>
      <c r="H172" s="1" t="str">
        <f t="shared" si="27"/>
        <v/>
      </c>
      <c r="I172" s="1" t="str">
        <f t="shared" si="28"/>
        <v/>
      </c>
      <c r="J172" s="1">
        <f t="shared" si="29"/>
        <v>0.51694915254237284</v>
      </c>
      <c r="K172" s="1" t="str">
        <f t="shared" si="30"/>
        <v/>
      </c>
      <c r="L172" s="1" t="str">
        <f t="shared" si="31"/>
        <v/>
      </c>
    </row>
    <row r="173" spans="1:12">
      <c r="A173" t="s">
        <v>56</v>
      </c>
      <c r="B173">
        <v>12</v>
      </c>
      <c r="C173" t="str">
        <f t="shared" si="25"/>
        <v>test.Class11_12_</v>
      </c>
      <c r="D173">
        <v>7</v>
      </c>
      <c r="E173">
        <v>0.5847457627118644</v>
      </c>
      <c r="F173">
        <v>0.66016458396830235</v>
      </c>
      <c r="G173" s="1" t="str">
        <f t="shared" si="26"/>
        <v/>
      </c>
      <c r="H173" s="1" t="str">
        <f t="shared" si="27"/>
        <v/>
      </c>
      <c r="I173" s="1" t="str">
        <f t="shared" si="28"/>
        <v/>
      </c>
      <c r="J173" s="1">
        <f t="shared" si="29"/>
        <v>0.5847457627118644</v>
      </c>
      <c r="K173" s="1" t="str">
        <f t="shared" si="30"/>
        <v/>
      </c>
      <c r="L173" s="1" t="str">
        <f t="shared" si="31"/>
        <v/>
      </c>
    </row>
    <row r="174" spans="1:12">
      <c r="A174" t="s">
        <v>56</v>
      </c>
      <c r="B174">
        <v>12</v>
      </c>
      <c r="C174" t="str">
        <f t="shared" si="25"/>
        <v>test.Class11_12_</v>
      </c>
      <c r="D174">
        <v>8</v>
      </c>
      <c r="E174">
        <v>0.59322033898305082</v>
      </c>
      <c r="F174">
        <v>0.68942395611094176</v>
      </c>
      <c r="G174" s="1" t="str">
        <f t="shared" si="26"/>
        <v/>
      </c>
      <c r="H174" s="1" t="str">
        <f t="shared" si="27"/>
        <v/>
      </c>
      <c r="I174" s="1" t="str">
        <f t="shared" si="28"/>
        <v/>
      </c>
      <c r="J174" s="1">
        <f t="shared" si="29"/>
        <v>0.59322033898305082</v>
      </c>
      <c r="K174" s="1" t="str">
        <f t="shared" si="30"/>
        <v/>
      </c>
      <c r="L174" s="1" t="str">
        <f t="shared" si="31"/>
        <v/>
      </c>
    </row>
    <row r="175" spans="1:12">
      <c r="A175" t="s">
        <v>56</v>
      </c>
      <c r="B175">
        <v>12</v>
      </c>
      <c r="C175" t="str">
        <f t="shared" si="25"/>
        <v>test.Class11_12_</v>
      </c>
      <c r="D175">
        <v>9</v>
      </c>
      <c r="E175">
        <v>0.59322033898305082</v>
      </c>
      <c r="F175">
        <v>0.68972874123742767</v>
      </c>
      <c r="G175" s="1" t="str">
        <f t="shared" si="26"/>
        <v/>
      </c>
      <c r="H175" s="1" t="str">
        <f t="shared" si="27"/>
        <v/>
      </c>
      <c r="I175" s="1" t="str">
        <f t="shared" si="28"/>
        <v/>
      </c>
      <c r="J175" s="1">
        <f t="shared" si="29"/>
        <v>0.59322033898305082</v>
      </c>
      <c r="K175" s="1" t="str">
        <f t="shared" si="30"/>
        <v/>
      </c>
      <c r="L175" s="1" t="str">
        <f t="shared" si="31"/>
        <v/>
      </c>
    </row>
    <row r="176" spans="1:12">
      <c r="A176" t="s">
        <v>56</v>
      </c>
      <c r="B176">
        <v>12</v>
      </c>
      <c r="C176" t="str">
        <f t="shared" si="25"/>
        <v>test.Class11_12_</v>
      </c>
      <c r="D176">
        <v>10</v>
      </c>
      <c r="E176">
        <v>0.59322033898305082</v>
      </c>
      <c r="F176">
        <v>0.69978665041145993</v>
      </c>
      <c r="G176" s="1" t="str">
        <f t="shared" si="26"/>
        <v/>
      </c>
      <c r="H176" s="1" t="str">
        <f t="shared" si="27"/>
        <v/>
      </c>
      <c r="I176" s="1" t="str">
        <f t="shared" si="28"/>
        <v/>
      </c>
      <c r="J176" s="1">
        <f t="shared" si="29"/>
        <v>0.59322033898305082</v>
      </c>
      <c r="K176" s="1" t="str">
        <f t="shared" si="30"/>
        <v/>
      </c>
      <c r="L176" s="1" t="str">
        <f t="shared" si="31"/>
        <v/>
      </c>
    </row>
    <row r="177" spans="1:12">
      <c r="A177" t="s">
        <v>56</v>
      </c>
      <c r="B177">
        <v>12</v>
      </c>
      <c r="C177" t="str">
        <f t="shared" si="25"/>
        <v>test.Class11_12_</v>
      </c>
      <c r="D177">
        <v>11</v>
      </c>
      <c r="E177">
        <v>0.59322033898305082</v>
      </c>
      <c r="F177">
        <v>0.71167327034440719</v>
      </c>
      <c r="G177" s="1" t="str">
        <f t="shared" si="26"/>
        <v/>
      </c>
      <c r="H177" s="1" t="str">
        <f t="shared" si="27"/>
        <v/>
      </c>
      <c r="I177" s="1" t="str">
        <f t="shared" si="28"/>
        <v/>
      </c>
      <c r="J177" s="1">
        <f t="shared" si="29"/>
        <v>0.59322033898305082</v>
      </c>
      <c r="K177" s="1" t="str">
        <f t="shared" si="30"/>
        <v/>
      </c>
      <c r="L177" s="1" t="str">
        <f t="shared" si="31"/>
        <v/>
      </c>
    </row>
    <row r="178" spans="1:12">
      <c r="A178" t="s">
        <v>56</v>
      </c>
      <c r="B178">
        <v>12</v>
      </c>
      <c r="C178" t="str">
        <f t="shared" si="25"/>
        <v>test.Class11_12_</v>
      </c>
      <c r="D178">
        <v>12</v>
      </c>
      <c r="E178">
        <v>0.70338983050847459</v>
      </c>
      <c r="F178">
        <v>0.77141115513562941</v>
      </c>
      <c r="G178" s="1" t="str">
        <f t="shared" si="26"/>
        <v/>
      </c>
      <c r="H178" s="1" t="str">
        <f t="shared" si="27"/>
        <v/>
      </c>
      <c r="I178" s="1" t="str">
        <f t="shared" si="28"/>
        <v/>
      </c>
      <c r="J178" s="1">
        <f t="shared" si="29"/>
        <v>0.70338983050847459</v>
      </c>
      <c r="K178" s="1" t="str">
        <f t="shared" si="30"/>
        <v/>
      </c>
      <c r="L178" s="1" t="str">
        <f t="shared" si="31"/>
        <v/>
      </c>
    </row>
    <row r="179" spans="1:12">
      <c r="A179" t="s">
        <v>56</v>
      </c>
      <c r="B179">
        <v>12</v>
      </c>
      <c r="C179" t="str">
        <f t="shared" si="25"/>
        <v>test.Class11_12_</v>
      </c>
      <c r="D179">
        <v>13</v>
      </c>
      <c r="E179">
        <v>0.88135593220338981</v>
      </c>
      <c r="F179">
        <v>0.88540079244132885</v>
      </c>
      <c r="G179" s="1" t="str">
        <f t="shared" si="26"/>
        <v/>
      </c>
      <c r="H179" s="1" t="str">
        <f t="shared" si="27"/>
        <v/>
      </c>
      <c r="I179" s="1" t="str">
        <f t="shared" si="28"/>
        <v/>
      </c>
      <c r="J179" s="1" t="str">
        <f t="shared" si="29"/>
        <v/>
      </c>
      <c r="K179" s="1">
        <f t="shared" si="30"/>
        <v>0.88135593220338981</v>
      </c>
      <c r="L179" s="1" t="str">
        <f t="shared" si="31"/>
        <v/>
      </c>
    </row>
    <row r="180" spans="1:12">
      <c r="A180" t="s">
        <v>56</v>
      </c>
      <c r="B180">
        <v>12</v>
      </c>
      <c r="C180" t="str">
        <f t="shared" si="25"/>
        <v>test.Class11_12_</v>
      </c>
      <c r="D180">
        <v>14</v>
      </c>
      <c r="E180">
        <v>1</v>
      </c>
      <c r="F180">
        <v>1.0630905211825663</v>
      </c>
      <c r="G180" s="1" t="str">
        <f t="shared" si="26"/>
        <v/>
      </c>
      <c r="H180" s="1" t="str">
        <f t="shared" si="27"/>
        <v/>
      </c>
      <c r="I180" s="1" t="str">
        <f t="shared" si="28"/>
        <v/>
      </c>
      <c r="J180" s="1" t="str">
        <f t="shared" si="29"/>
        <v/>
      </c>
      <c r="K180" s="1">
        <f t="shared" si="30"/>
        <v>1</v>
      </c>
      <c r="L180" s="1" t="str">
        <f t="shared" si="31"/>
        <v/>
      </c>
    </row>
    <row r="181" spans="1:12">
      <c r="A181" t="s">
        <v>65</v>
      </c>
      <c r="B181">
        <v>1</v>
      </c>
      <c r="C181" t="str">
        <f t="shared" si="25"/>
        <v>test.client_1_</v>
      </c>
      <c r="D181">
        <v>15</v>
      </c>
      <c r="E181">
        <v>8.9285714285714288E-2</v>
      </c>
      <c r="F181">
        <v>3.7841246959185511E-2</v>
      </c>
      <c r="G181" s="1">
        <f t="shared" si="26"/>
        <v>8.9285714285714288E-2</v>
      </c>
      <c r="H181" s="1" t="str">
        <f t="shared" si="27"/>
        <v/>
      </c>
      <c r="I181" s="1" t="str">
        <f t="shared" si="28"/>
        <v/>
      </c>
      <c r="J181" s="1" t="str">
        <f t="shared" si="29"/>
        <v/>
      </c>
      <c r="K181" s="1" t="str">
        <f t="shared" si="30"/>
        <v/>
      </c>
      <c r="L181" s="1" t="str">
        <f t="shared" si="31"/>
        <v/>
      </c>
    </row>
    <row r="182" spans="1:12">
      <c r="A182" t="s">
        <v>65</v>
      </c>
      <c r="B182">
        <v>1</v>
      </c>
      <c r="C182" t="str">
        <f t="shared" si="25"/>
        <v>test.client_1_</v>
      </c>
      <c r="D182">
        <v>16</v>
      </c>
      <c r="E182">
        <v>0.25595238095238093</v>
      </c>
      <c r="F182">
        <v>6.0185602306514104E-2</v>
      </c>
      <c r="G182" s="1">
        <f t="shared" si="26"/>
        <v>0.25595238095238093</v>
      </c>
      <c r="H182" s="1" t="str">
        <f t="shared" si="27"/>
        <v/>
      </c>
      <c r="I182" s="1" t="str">
        <f t="shared" si="28"/>
        <v/>
      </c>
      <c r="J182" s="1" t="str">
        <f t="shared" si="29"/>
        <v/>
      </c>
      <c r="K182" s="1" t="str">
        <f t="shared" si="30"/>
        <v/>
      </c>
      <c r="L182" s="1" t="str">
        <f t="shared" si="31"/>
        <v/>
      </c>
    </row>
    <row r="183" spans="1:12">
      <c r="A183" t="s">
        <v>65</v>
      </c>
      <c r="B183">
        <v>1</v>
      </c>
      <c r="C183" t="str">
        <f t="shared" si="25"/>
        <v>test.client_1_</v>
      </c>
      <c r="D183">
        <v>17</v>
      </c>
      <c r="E183">
        <v>0.26190476190476192</v>
      </c>
      <c r="F183">
        <v>6.1987566447427693E-2</v>
      </c>
      <c r="G183" s="1">
        <f t="shared" si="26"/>
        <v>0.26190476190476192</v>
      </c>
      <c r="H183" s="1" t="str">
        <f t="shared" si="27"/>
        <v/>
      </c>
      <c r="I183" s="1" t="str">
        <f t="shared" si="28"/>
        <v/>
      </c>
      <c r="J183" s="1" t="str">
        <f t="shared" si="29"/>
        <v/>
      </c>
      <c r="K183" s="1" t="str">
        <f t="shared" si="30"/>
        <v/>
      </c>
      <c r="L183" s="1" t="str">
        <f t="shared" si="31"/>
        <v/>
      </c>
    </row>
    <row r="184" spans="1:12">
      <c r="A184" t="s">
        <v>65</v>
      </c>
      <c r="B184">
        <v>1</v>
      </c>
      <c r="C184" t="str">
        <f t="shared" si="25"/>
        <v>test.client_1_</v>
      </c>
      <c r="D184">
        <v>18</v>
      </c>
      <c r="E184">
        <v>0.9107142857142857</v>
      </c>
      <c r="F184">
        <v>0.9732408325074331</v>
      </c>
      <c r="G184" s="1" t="str">
        <f t="shared" si="26"/>
        <v/>
      </c>
      <c r="H184" s="1" t="str">
        <f t="shared" si="27"/>
        <v/>
      </c>
      <c r="I184" s="1" t="str">
        <f t="shared" si="28"/>
        <v/>
      </c>
      <c r="J184" s="1" t="str">
        <f t="shared" si="29"/>
        <v/>
      </c>
      <c r="K184" s="1">
        <f t="shared" si="30"/>
        <v>0.9107142857142857</v>
      </c>
      <c r="L184" s="1" t="str">
        <f t="shared" si="31"/>
        <v/>
      </c>
    </row>
    <row r="185" spans="1:12">
      <c r="A185" t="s">
        <v>65</v>
      </c>
      <c r="B185">
        <v>1</v>
      </c>
      <c r="C185" t="str">
        <f t="shared" si="25"/>
        <v>test.client_1_</v>
      </c>
      <c r="D185">
        <v>19</v>
      </c>
      <c r="E185">
        <v>0.92261904761904767</v>
      </c>
      <c r="F185">
        <v>0.97387151995675281</v>
      </c>
      <c r="G185" s="1" t="str">
        <f t="shared" si="26"/>
        <v/>
      </c>
      <c r="H185" s="1" t="str">
        <f t="shared" si="27"/>
        <v/>
      </c>
      <c r="I185" s="1" t="str">
        <f t="shared" si="28"/>
        <v/>
      </c>
      <c r="J185" s="1" t="str">
        <f t="shared" si="29"/>
        <v/>
      </c>
      <c r="K185" s="1">
        <f t="shared" si="30"/>
        <v>0.92261904761904767</v>
      </c>
      <c r="L185" s="1" t="str">
        <f t="shared" si="31"/>
        <v/>
      </c>
    </row>
    <row r="186" spans="1:12">
      <c r="A186" t="s">
        <v>65</v>
      </c>
      <c r="B186">
        <v>1</v>
      </c>
      <c r="C186" t="str">
        <f t="shared" si="25"/>
        <v>test.client_1_</v>
      </c>
      <c r="D186">
        <v>20</v>
      </c>
      <c r="E186">
        <v>0.98809523809523814</v>
      </c>
      <c r="F186">
        <v>1.0300027029462113</v>
      </c>
      <c r="G186" s="1" t="str">
        <f t="shared" si="26"/>
        <v/>
      </c>
      <c r="H186" s="1" t="str">
        <f t="shared" si="27"/>
        <v/>
      </c>
      <c r="I186" s="1" t="str">
        <f t="shared" si="28"/>
        <v/>
      </c>
      <c r="J186" s="1" t="str">
        <f t="shared" si="29"/>
        <v/>
      </c>
      <c r="K186" s="1">
        <f t="shared" si="30"/>
        <v>0.98809523809523814</v>
      </c>
      <c r="L186" s="1" t="str">
        <f t="shared" si="31"/>
        <v/>
      </c>
    </row>
    <row r="187" spans="1:12">
      <c r="A187" t="s">
        <v>65</v>
      </c>
      <c r="B187">
        <v>1</v>
      </c>
      <c r="C187" t="str">
        <f t="shared" si="25"/>
        <v>test.client_1_</v>
      </c>
      <c r="D187">
        <v>21</v>
      </c>
      <c r="E187">
        <v>1</v>
      </c>
      <c r="F187">
        <v>1.1879448598972882</v>
      </c>
      <c r="G187" s="1" t="str">
        <f t="shared" si="26"/>
        <v/>
      </c>
      <c r="H187" s="1" t="str">
        <f t="shared" si="27"/>
        <v/>
      </c>
      <c r="I187" s="1" t="str">
        <f t="shared" si="28"/>
        <v/>
      </c>
      <c r="J187" s="1" t="str">
        <f t="shared" si="29"/>
        <v/>
      </c>
      <c r="K187" s="1" t="str">
        <f t="shared" si="30"/>
        <v/>
      </c>
      <c r="L187" s="1">
        <f t="shared" si="31"/>
        <v>1</v>
      </c>
    </row>
    <row r="188" spans="1:12">
      <c r="A188" t="s">
        <v>65</v>
      </c>
      <c r="B188">
        <v>3</v>
      </c>
      <c r="C188" t="str">
        <f t="shared" si="25"/>
        <v>test.client_3_</v>
      </c>
      <c r="D188">
        <v>22</v>
      </c>
      <c r="E188">
        <v>0.84036144578313254</v>
      </c>
      <c r="F188">
        <v>0.81160704396943184</v>
      </c>
      <c r="G188" s="1" t="str">
        <f t="shared" si="26"/>
        <v/>
      </c>
      <c r="H188" s="1" t="str">
        <f t="shared" si="27"/>
        <v/>
      </c>
      <c r="I188" s="1" t="str">
        <f t="shared" si="28"/>
        <v/>
      </c>
      <c r="J188" s="1" t="str">
        <f t="shared" si="29"/>
        <v/>
      </c>
      <c r="K188" s="1">
        <f t="shared" si="30"/>
        <v>0.84036144578313254</v>
      </c>
      <c r="L188" s="1" t="str">
        <f t="shared" si="31"/>
        <v/>
      </c>
    </row>
    <row r="189" spans="1:12">
      <c r="A189" t="s">
        <v>65</v>
      </c>
      <c r="B189">
        <v>3</v>
      </c>
      <c r="C189" t="str">
        <f t="shared" si="25"/>
        <v>test.client_3_</v>
      </c>
      <c r="D189">
        <v>23</v>
      </c>
      <c r="E189">
        <v>0.99698795180722888</v>
      </c>
      <c r="F189">
        <v>0.92590541588215747</v>
      </c>
      <c r="G189" s="1" t="str">
        <f t="shared" si="26"/>
        <v/>
      </c>
      <c r="H189" s="1" t="str">
        <f t="shared" si="27"/>
        <v/>
      </c>
      <c r="I189" s="1" t="str">
        <f t="shared" si="28"/>
        <v/>
      </c>
      <c r="J189" s="1" t="str">
        <f t="shared" si="29"/>
        <v/>
      </c>
      <c r="K189" s="1">
        <f t="shared" si="30"/>
        <v>0.99698795180722888</v>
      </c>
      <c r="L189" s="1" t="str">
        <f t="shared" si="31"/>
        <v/>
      </c>
    </row>
    <row r="190" spans="1:12">
      <c r="A190" t="s">
        <v>65</v>
      </c>
      <c r="B190">
        <v>3</v>
      </c>
      <c r="C190" t="str">
        <f t="shared" si="25"/>
        <v>test.client_3_</v>
      </c>
      <c r="D190">
        <v>24</v>
      </c>
      <c r="E190">
        <v>1</v>
      </c>
      <c r="F190">
        <v>1.0577583342562853</v>
      </c>
      <c r="G190" s="1" t="str">
        <f t="shared" si="26"/>
        <v/>
      </c>
      <c r="H190" s="1" t="str">
        <f t="shared" si="27"/>
        <v/>
      </c>
      <c r="I190" s="1" t="str">
        <f t="shared" si="28"/>
        <v/>
      </c>
      <c r="J190" s="1" t="str">
        <f t="shared" si="29"/>
        <v/>
      </c>
      <c r="K190" s="1">
        <f t="shared" si="30"/>
        <v>1</v>
      </c>
      <c r="L190" s="1" t="str">
        <f t="shared" si="31"/>
        <v/>
      </c>
    </row>
    <row r="191" spans="1:12">
      <c r="A191" t="s">
        <v>65</v>
      </c>
      <c r="B191">
        <v>4</v>
      </c>
      <c r="C191" t="str">
        <f t="shared" si="25"/>
        <v>test.client_4_</v>
      </c>
      <c r="D191">
        <v>25</v>
      </c>
      <c r="E191">
        <v>0.76744186046511631</v>
      </c>
      <c r="F191">
        <v>0.82773874577153261</v>
      </c>
      <c r="G191" s="1" t="str">
        <f t="shared" si="26"/>
        <v/>
      </c>
      <c r="H191" s="1" t="str">
        <f t="shared" si="27"/>
        <v/>
      </c>
      <c r="I191" s="1" t="str">
        <f t="shared" si="28"/>
        <v/>
      </c>
      <c r="J191" s="1" t="str">
        <f t="shared" si="29"/>
        <v/>
      </c>
      <c r="K191" s="1">
        <f t="shared" si="30"/>
        <v>0.76744186046511631</v>
      </c>
      <c r="L191" s="1" t="str">
        <f t="shared" si="31"/>
        <v/>
      </c>
    </row>
    <row r="192" spans="1:12">
      <c r="A192" t="s">
        <v>65</v>
      </c>
      <c r="B192">
        <v>4</v>
      </c>
      <c r="C192" t="str">
        <f t="shared" si="25"/>
        <v>test.client_4_</v>
      </c>
      <c r="D192">
        <v>26</v>
      </c>
      <c r="E192">
        <v>0.79844961240310075</v>
      </c>
      <c r="F192">
        <v>0.82825917252146763</v>
      </c>
      <c r="G192" s="1" t="str">
        <f t="shared" si="26"/>
        <v/>
      </c>
      <c r="H192" s="1" t="str">
        <f t="shared" si="27"/>
        <v/>
      </c>
      <c r="I192" s="1" t="str">
        <f t="shared" si="28"/>
        <v/>
      </c>
      <c r="J192" s="1" t="str">
        <f t="shared" si="29"/>
        <v/>
      </c>
      <c r="K192" s="1">
        <f t="shared" si="30"/>
        <v>0.79844961240310075</v>
      </c>
      <c r="L192" s="1" t="str">
        <f t="shared" si="31"/>
        <v/>
      </c>
    </row>
    <row r="193" spans="1:12">
      <c r="A193" t="s">
        <v>65</v>
      </c>
      <c r="B193">
        <v>4</v>
      </c>
      <c r="C193" t="str">
        <f t="shared" si="25"/>
        <v>test.client_4_</v>
      </c>
      <c r="D193">
        <v>27</v>
      </c>
      <c r="E193">
        <v>0.86046511627906974</v>
      </c>
      <c r="F193">
        <v>0.84048920114493886</v>
      </c>
      <c r="G193" s="1" t="str">
        <f t="shared" si="26"/>
        <v/>
      </c>
      <c r="H193" s="1" t="str">
        <f t="shared" si="27"/>
        <v/>
      </c>
      <c r="I193" s="1" t="str">
        <f t="shared" si="28"/>
        <v/>
      </c>
      <c r="J193" s="1" t="str">
        <f t="shared" si="29"/>
        <v/>
      </c>
      <c r="K193" s="1">
        <f t="shared" si="30"/>
        <v>0.86046511627906974</v>
      </c>
      <c r="L193" s="1" t="str">
        <f t="shared" si="31"/>
        <v/>
      </c>
    </row>
    <row r="194" spans="1:12">
      <c r="A194" t="s">
        <v>65</v>
      </c>
      <c r="B194">
        <v>4</v>
      </c>
      <c r="C194" t="str">
        <f t="shared" si="25"/>
        <v>test.client_4_</v>
      </c>
      <c r="D194">
        <v>28</v>
      </c>
      <c r="E194">
        <v>0.86046511627906974</v>
      </c>
      <c r="F194">
        <v>0.84387197501951605</v>
      </c>
      <c r="G194" s="1" t="str">
        <f t="shared" si="26"/>
        <v/>
      </c>
      <c r="H194" s="1" t="str">
        <f t="shared" si="27"/>
        <v/>
      </c>
      <c r="I194" s="1" t="str">
        <f t="shared" si="28"/>
        <v/>
      </c>
      <c r="J194" s="1" t="str">
        <f t="shared" si="29"/>
        <v/>
      </c>
      <c r="K194" s="1">
        <f t="shared" si="30"/>
        <v>0.86046511627906974</v>
      </c>
      <c r="L194" s="1" t="str">
        <f t="shared" si="31"/>
        <v/>
      </c>
    </row>
    <row r="195" spans="1:12">
      <c r="A195" t="s">
        <v>65</v>
      </c>
      <c r="B195">
        <v>4</v>
      </c>
      <c r="C195" t="str">
        <f t="shared" ref="C195:C258" si="32">CONCATENATE(A195, "_",B195,"_")</f>
        <v>test.client_4_</v>
      </c>
      <c r="D195">
        <v>29</v>
      </c>
      <c r="E195">
        <v>0.92248062015503873</v>
      </c>
      <c r="F195">
        <v>0.85532136351808485</v>
      </c>
      <c r="G195" s="1" t="str">
        <f t="shared" ref="G195:G258" si="33">IF($F195 &lt;= 0.2,$E195,"")</f>
        <v/>
      </c>
      <c r="H195" s="1" t="str">
        <f t="shared" ref="H195:H258" si="34">IF(AND($F195 &gt; 0.2,$F195 &lt;= 0.4),$E195,"")</f>
        <v/>
      </c>
      <c r="I195" s="1" t="str">
        <f t="shared" ref="I195:I258" si="35">IF(AND($F195 &gt; 0.4,$F195 &lt;= 0.6),$E195,"")</f>
        <v/>
      </c>
      <c r="J195" s="1" t="str">
        <f t="shared" ref="J195:J258" si="36">IF(AND($F195 &gt; 0.6,$F195 &lt;= 0.8),$E195,"")</f>
        <v/>
      </c>
      <c r="K195" s="1">
        <f t="shared" ref="K195:K258" si="37">IF(AND($F195 &gt; 0.8, $F195 &lt;=1.1),$E195,"")</f>
        <v>0.92248062015503873</v>
      </c>
      <c r="L195" s="1" t="str">
        <f t="shared" ref="L195:L258" si="38">IF(AND($F195 &gt; 1.1),$E195,"")</f>
        <v/>
      </c>
    </row>
    <row r="196" spans="1:12">
      <c r="A196" t="s">
        <v>65</v>
      </c>
      <c r="B196">
        <v>4</v>
      </c>
      <c r="C196" t="str">
        <f t="shared" si="32"/>
        <v>test.client_4_</v>
      </c>
      <c r="D196">
        <v>30</v>
      </c>
      <c r="E196">
        <v>0.92248062015503873</v>
      </c>
      <c r="F196">
        <v>0.86312776476710906</v>
      </c>
      <c r="G196" s="1" t="str">
        <f t="shared" si="33"/>
        <v/>
      </c>
      <c r="H196" s="1" t="str">
        <f t="shared" si="34"/>
        <v/>
      </c>
      <c r="I196" s="1" t="str">
        <f t="shared" si="35"/>
        <v/>
      </c>
      <c r="J196" s="1" t="str">
        <f t="shared" si="36"/>
        <v/>
      </c>
      <c r="K196" s="1">
        <f t="shared" si="37"/>
        <v>0.92248062015503873</v>
      </c>
      <c r="L196" s="1" t="str">
        <f t="shared" si="38"/>
        <v/>
      </c>
    </row>
    <row r="197" spans="1:12">
      <c r="A197" t="s">
        <v>65</v>
      </c>
      <c r="B197">
        <v>4</v>
      </c>
      <c r="C197" t="str">
        <f t="shared" si="32"/>
        <v>test.client_4_</v>
      </c>
      <c r="D197">
        <v>31</v>
      </c>
      <c r="E197">
        <v>0.92248062015503873</v>
      </c>
      <c r="F197">
        <v>0.86442883164194639</v>
      </c>
      <c r="G197" s="1" t="str">
        <f t="shared" si="33"/>
        <v/>
      </c>
      <c r="H197" s="1" t="str">
        <f t="shared" si="34"/>
        <v/>
      </c>
      <c r="I197" s="1" t="str">
        <f t="shared" si="35"/>
        <v/>
      </c>
      <c r="J197" s="1" t="str">
        <f t="shared" si="36"/>
        <v/>
      </c>
      <c r="K197" s="1">
        <f t="shared" si="37"/>
        <v>0.92248062015503873</v>
      </c>
      <c r="L197" s="1" t="str">
        <f t="shared" si="38"/>
        <v/>
      </c>
    </row>
    <row r="198" spans="1:12">
      <c r="A198" t="s">
        <v>65</v>
      </c>
      <c r="B198">
        <v>4</v>
      </c>
      <c r="C198" t="str">
        <f t="shared" si="32"/>
        <v>test.client_4_</v>
      </c>
      <c r="D198">
        <v>32</v>
      </c>
      <c r="E198">
        <v>0.92248062015503873</v>
      </c>
      <c r="F198">
        <v>0.86625032526671875</v>
      </c>
      <c r="G198" s="1" t="str">
        <f t="shared" si="33"/>
        <v/>
      </c>
      <c r="H198" s="1" t="str">
        <f t="shared" si="34"/>
        <v/>
      </c>
      <c r="I198" s="1" t="str">
        <f t="shared" si="35"/>
        <v/>
      </c>
      <c r="J198" s="1" t="str">
        <f t="shared" si="36"/>
        <v/>
      </c>
      <c r="K198" s="1">
        <f t="shared" si="37"/>
        <v>0.92248062015503873</v>
      </c>
      <c r="L198" s="1" t="str">
        <f t="shared" si="38"/>
        <v/>
      </c>
    </row>
    <row r="199" spans="1:12">
      <c r="A199" t="s">
        <v>65</v>
      </c>
      <c r="B199">
        <v>4</v>
      </c>
      <c r="C199" t="str">
        <f t="shared" si="32"/>
        <v>test.client_4_</v>
      </c>
      <c r="D199">
        <v>1</v>
      </c>
      <c r="E199">
        <v>1</v>
      </c>
      <c r="F199">
        <v>0.90137913088732757</v>
      </c>
      <c r="G199" s="1" t="str">
        <f t="shared" si="33"/>
        <v/>
      </c>
      <c r="H199" s="1" t="str">
        <f t="shared" si="34"/>
        <v/>
      </c>
      <c r="I199" s="1" t="str">
        <f t="shared" si="35"/>
        <v/>
      </c>
      <c r="J199" s="1" t="str">
        <f t="shared" si="36"/>
        <v/>
      </c>
      <c r="K199" s="1">
        <f t="shared" si="37"/>
        <v>1</v>
      </c>
      <c r="L199" s="1" t="str">
        <f t="shared" si="38"/>
        <v/>
      </c>
    </row>
    <row r="200" spans="1:12">
      <c r="A200" t="s">
        <v>65</v>
      </c>
      <c r="B200">
        <v>4</v>
      </c>
      <c r="C200" t="str">
        <f t="shared" si="32"/>
        <v>test.client_4_</v>
      </c>
      <c r="D200">
        <v>2</v>
      </c>
      <c r="E200">
        <v>1</v>
      </c>
      <c r="F200">
        <v>0.90892531876138438</v>
      </c>
      <c r="G200" s="1" t="str">
        <f t="shared" si="33"/>
        <v/>
      </c>
      <c r="H200" s="1" t="str">
        <f t="shared" si="34"/>
        <v/>
      </c>
      <c r="I200" s="1" t="str">
        <f t="shared" si="35"/>
        <v/>
      </c>
      <c r="J200" s="1" t="str">
        <f t="shared" si="36"/>
        <v/>
      </c>
      <c r="K200" s="1">
        <f t="shared" si="37"/>
        <v>1</v>
      </c>
      <c r="L200" s="1" t="str">
        <f t="shared" si="38"/>
        <v/>
      </c>
    </row>
    <row r="201" spans="1:12">
      <c r="A201" t="s">
        <v>65</v>
      </c>
      <c r="B201">
        <v>4</v>
      </c>
      <c r="C201" t="str">
        <f t="shared" si="32"/>
        <v>test.client_4_</v>
      </c>
      <c r="D201">
        <v>3</v>
      </c>
      <c r="E201">
        <v>1</v>
      </c>
      <c r="F201">
        <v>0.91438979963570133</v>
      </c>
      <c r="G201" s="1" t="str">
        <f t="shared" si="33"/>
        <v/>
      </c>
      <c r="H201" s="1" t="str">
        <f t="shared" si="34"/>
        <v/>
      </c>
      <c r="I201" s="1" t="str">
        <f t="shared" si="35"/>
        <v/>
      </c>
      <c r="J201" s="1" t="str">
        <f t="shared" si="36"/>
        <v/>
      </c>
      <c r="K201" s="1">
        <f t="shared" si="37"/>
        <v>1</v>
      </c>
      <c r="L201" s="1" t="str">
        <f t="shared" si="38"/>
        <v/>
      </c>
    </row>
    <row r="202" spans="1:12">
      <c r="A202" t="s">
        <v>65</v>
      </c>
      <c r="B202">
        <v>4</v>
      </c>
      <c r="C202" t="str">
        <f t="shared" si="32"/>
        <v>test.client_4_</v>
      </c>
      <c r="D202">
        <v>4</v>
      </c>
      <c r="E202">
        <v>1</v>
      </c>
      <c r="F202">
        <v>0.92297684100962785</v>
      </c>
      <c r="G202" s="1" t="str">
        <f t="shared" si="33"/>
        <v/>
      </c>
      <c r="H202" s="1" t="str">
        <f t="shared" si="34"/>
        <v/>
      </c>
      <c r="I202" s="1" t="str">
        <f t="shared" si="35"/>
        <v/>
      </c>
      <c r="J202" s="1" t="str">
        <f t="shared" si="36"/>
        <v/>
      </c>
      <c r="K202" s="1">
        <f t="shared" si="37"/>
        <v>1</v>
      </c>
      <c r="L202" s="1" t="str">
        <f t="shared" si="38"/>
        <v/>
      </c>
    </row>
    <row r="203" spans="1:12">
      <c r="A203" t="s">
        <v>65</v>
      </c>
      <c r="B203">
        <v>4</v>
      </c>
      <c r="C203" t="str">
        <f t="shared" si="32"/>
        <v>test.client_4_</v>
      </c>
      <c r="D203">
        <v>5</v>
      </c>
      <c r="E203">
        <v>1</v>
      </c>
      <c r="F203">
        <v>0.92609940150923753</v>
      </c>
      <c r="G203" s="1" t="str">
        <f t="shared" si="33"/>
        <v/>
      </c>
      <c r="H203" s="1" t="str">
        <f t="shared" si="34"/>
        <v/>
      </c>
      <c r="I203" s="1" t="str">
        <f t="shared" si="35"/>
        <v/>
      </c>
      <c r="J203" s="1" t="str">
        <f t="shared" si="36"/>
        <v/>
      </c>
      <c r="K203" s="1">
        <f t="shared" si="37"/>
        <v>1</v>
      </c>
      <c r="L203" s="1" t="str">
        <f t="shared" si="38"/>
        <v/>
      </c>
    </row>
    <row r="204" spans="1:12">
      <c r="A204" t="s">
        <v>65</v>
      </c>
      <c r="B204">
        <v>4</v>
      </c>
      <c r="C204" t="str">
        <f t="shared" si="32"/>
        <v>test.client_4_</v>
      </c>
      <c r="D204">
        <v>6</v>
      </c>
      <c r="E204">
        <v>1</v>
      </c>
      <c r="F204">
        <v>0.94275305750715588</v>
      </c>
      <c r="G204" s="1" t="str">
        <f t="shared" si="33"/>
        <v/>
      </c>
      <c r="H204" s="1" t="str">
        <f t="shared" si="34"/>
        <v/>
      </c>
      <c r="I204" s="1" t="str">
        <f t="shared" si="35"/>
        <v/>
      </c>
      <c r="J204" s="1" t="str">
        <f t="shared" si="36"/>
        <v/>
      </c>
      <c r="K204" s="1">
        <f t="shared" si="37"/>
        <v>1</v>
      </c>
      <c r="L204" s="1" t="str">
        <f t="shared" si="38"/>
        <v/>
      </c>
    </row>
    <row r="205" spans="1:12">
      <c r="A205" t="s">
        <v>65</v>
      </c>
      <c r="B205">
        <v>4</v>
      </c>
      <c r="C205" t="str">
        <f t="shared" si="32"/>
        <v>test.client_4_</v>
      </c>
      <c r="D205">
        <v>7</v>
      </c>
      <c r="E205">
        <v>1</v>
      </c>
      <c r="F205">
        <v>0.9474368982565704</v>
      </c>
      <c r="G205" s="1" t="str">
        <f t="shared" si="33"/>
        <v/>
      </c>
      <c r="H205" s="1" t="str">
        <f t="shared" si="34"/>
        <v/>
      </c>
      <c r="I205" s="1" t="str">
        <f t="shared" si="35"/>
        <v/>
      </c>
      <c r="J205" s="1" t="str">
        <f t="shared" si="36"/>
        <v/>
      </c>
      <c r="K205" s="1">
        <f t="shared" si="37"/>
        <v>1</v>
      </c>
      <c r="L205" s="1" t="str">
        <f t="shared" si="38"/>
        <v/>
      </c>
    </row>
    <row r="206" spans="1:12">
      <c r="A206" t="s">
        <v>65</v>
      </c>
      <c r="B206">
        <v>4</v>
      </c>
      <c r="C206" t="str">
        <f t="shared" si="32"/>
        <v>test.client_4_</v>
      </c>
      <c r="D206">
        <v>8</v>
      </c>
      <c r="E206">
        <v>1</v>
      </c>
      <c r="F206">
        <v>0.95134009888108251</v>
      </c>
      <c r="G206" s="1" t="str">
        <f t="shared" si="33"/>
        <v/>
      </c>
      <c r="H206" s="1" t="str">
        <f t="shared" si="34"/>
        <v/>
      </c>
      <c r="I206" s="1" t="str">
        <f t="shared" si="35"/>
        <v/>
      </c>
      <c r="J206" s="1" t="str">
        <f t="shared" si="36"/>
        <v/>
      </c>
      <c r="K206" s="1">
        <f t="shared" si="37"/>
        <v>1</v>
      </c>
      <c r="L206" s="1" t="str">
        <f t="shared" si="38"/>
        <v/>
      </c>
    </row>
    <row r="207" spans="1:12">
      <c r="A207" t="s">
        <v>65</v>
      </c>
      <c r="B207">
        <v>6</v>
      </c>
      <c r="C207" t="str">
        <f t="shared" si="32"/>
        <v>test.client_6_</v>
      </c>
      <c r="D207">
        <v>9</v>
      </c>
      <c r="E207">
        <v>0.64462809917355368</v>
      </c>
      <c r="F207">
        <v>0.62873345935727787</v>
      </c>
      <c r="G207" s="1" t="str">
        <f t="shared" si="33"/>
        <v/>
      </c>
      <c r="H207" s="1" t="str">
        <f t="shared" si="34"/>
        <v/>
      </c>
      <c r="I207" s="1" t="str">
        <f t="shared" si="35"/>
        <v/>
      </c>
      <c r="J207" s="1">
        <f t="shared" si="36"/>
        <v>0.64462809917355368</v>
      </c>
      <c r="K207" s="1" t="str">
        <f t="shared" si="37"/>
        <v/>
      </c>
      <c r="L207" s="1" t="str">
        <f t="shared" si="38"/>
        <v/>
      </c>
    </row>
    <row r="208" spans="1:12">
      <c r="A208" t="s">
        <v>65</v>
      </c>
      <c r="B208">
        <v>6</v>
      </c>
      <c r="C208" t="str">
        <f t="shared" si="32"/>
        <v>test.client_6_</v>
      </c>
      <c r="D208">
        <v>10</v>
      </c>
      <c r="E208">
        <v>1</v>
      </c>
      <c r="F208">
        <v>0.62930056710775051</v>
      </c>
      <c r="G208" s="1" t="str">
        <f t="shared" si="33"/>
        <v/>
      </c>
      <c r="H208" s="1" t="str">
        <f t="shared" si="34"/>
        <v/>
      </c>
      <c r="I208" s="1" t="str">
        <f t="shared" si="35"/>
        <v/>
      </c>
      <c r="J208" s="1">
        <f t="shared" si="36"/>
        <v>1</v>
      </c>
      <c r="K208" s="1" t="str">
        <f t="shared" si="37"/>
        <v/>
      </c>
      <c r="L208" s="1" t="str">
        <f t="shared" si="38"/>
        <v/>
      </c>
    </row>
    <row r="209" spans="1:12">
      <c r="A209" t="s">
        <v>65</v>
      </c>
      <c r="B209">
        <v>7</v>
      </c>
      <c r="C209" t="str">
        <f t="shared" si="32"/>
        <v>test.client_7_</v>
      </c>
      <c r="D209">
        <v>11</v>
      </c>
      <c r="E209">
        <v>2.3255813953488372E-2</v>
      </c>
      <c r="F209">
        <v>7.933398628795299E-2</v>
      </c>
      <c r="G209" s="1">
        <f t="shared" si="33"/>
        <v>2.3255813953488372E-2</v>
      </c>
      <c r="H209" s="1" t="str">
        <f t="shared" si="34"/>
        <v/>
      </c>
      <c r="I209" s="1" t="str">
        <f t="shared" si="35"/>
        <v/>
      </c>
      <c r="J209" s="1" t="str">
        <f t="shared" si="36"/>
        <v/>
      </c>
      <c r="K209" s="1" t="str">
        <f t="shared" si="37"/>
        <v/>
      </c>
      <c r="L209" s="1" t="str">
        <f t="shared" si="38"/>
        <v/>
      </c>
    </row>
    <row r="210" spans="1:12">
      <c r="A210" t="s">
        <v>65</v>
      </c>
      <c r="B210">
        <v>7</v>
      </c>
      <c r="C210" t="str">
        <f t="shared" si="32"/>
        <v>test.client_7_</v>
      </c>
      <c r="D210">
        <v>12</v>
      </c>
      <c r="E210">
        <v>6.9767441860465115E-2</v>
      </c>
      <c r="F210">
        <v>0.13516160626836435</v>
      </c>
      <c r="G210" s="1">
        <f t="shared" si="33"/>
        <v>6.9767441860465115E-2</v>
      </c>
      <c r="H210" s="1" t="str">
        <f t="shared" si="34"/>
        <v/>
      </c>
      <c r="I210" s="1" t="str">
        <f t="shared" si="35"/>
        <v/>
      </c>
      <c r="J210" s="1" t="str">
        <f t="shared" si="36"/>
        <v/>
      </c>
      <c r="K210" s="1" t="str">
        <f t="shared" si="37"/>
        <v/>
      </c>
      <c r="L210" s="1" t="str">
        <f t="shared" si="38"/>
        <v/>
      </c>
    </row>
    <row r="211" spans="1:12">
      <c r="A211" t="s">
        <v>65</v>
      </c>
      <c r="B211">
        <v>7</v>
      </c>
      <c r="C211" t="str">
        <f t="shared" si="32"/>
        <v>test.client_7_</v>
      </c>
      <c r="D211">
        <v>13</v>
      </c>
      <c r="E211">
        <v>0.11627906976744186</v>
      </c>
      <c r="F211">
        <v>0.17727717923604311</v>
      </c>
      <c r="G211" s="1">
        <f t="shared" si="33"/>
        <v>0.11627906976744186</v>
      </c>
      <c r="H211" s="1" t="str">
        <f t="shared" si="34"/>
        <v/>
      </c>
      <c r="I211" s="1" t="str">
        <f t="shared" si="35"/>
        <v/>
      </c>
      <c r="J211" s="1" t="str">
        <f t="shared" si="36"/>
        <v/>
      </c>
      <c r="K211" s="1" t="str">
        <f t="shared" si="37"/>
        <v/>
      </c>
      <c r="L211" s="1" t="str">
        <f t="shared" si="38"/>
        <v/>
      </c>
    </row>
    <row r="212" spans="1:12">
      <c r="A212" t="s">
        <v>65</v>
      </c>
      <c r="B212">
        <v>7</v>
      </c>
      <c r="C212" t="str">
        <f t="shared" si="32"/>
        <v>test.client_7_</v>
      </c>
      <c r="D212">
        <v>1</v>
      </c>
      <c r="E212">
        <v>0.16279069767441862</v>
      </c>
      <c r="F212">
        <v>0.21351616062683643</v>
      </c>
      <c r="G212" s="1" t="str">
        <f t="shared" si="33"/>
        <v/>
      </c>
      <c r="H212" s="1">
        <f t="shared" si="34"/>
        <v>0.16279069767441862</v>
      </c>
      <c r="I212" s="1" t="str">
        <f t="shared" si="35"/>
        <v/>
      </c>
      <c r="J212" s="1" t="str">
        <f t="shared" si="36"/>
        <v/>
      </c>
      <c r="K212" s="1" t="str">
        <f t="shared" si="37"/>
        <v/>
      </c>
      <c r="L212" s="1" t="str">
        <f t="shared" si="38"/>
        <v/>
      </c>
    </row>
    <row r="213" spans="1:12">
      <c r="A213" t="s">
        <v>65</v>
      </c>
      <c r="B213">
        <v>7</v>
      </c>
      <c r="C213" t="str">
        <f t="shared" si="32"/>
        <v>test.client_7_</v>
      </c>
      <c r="D213">
        <v>2</v>
      </c>
      <c r="E213">
        <v>0.95348837209302328</v>
      </c>
      <c r="F213">
        <v>1.0058765915768855</v>
      </c>
      <c r="G213" s="1" t="str">
        <f t="shared" si="33"/>
        <v/>
      </c>
      <c r="H213" s="1" t="str">
        <f t="shared" si="34"/>
        <v/>
      </c>
      <c r="I213" s="1" t="str">
        <f t="shared" si="35"/>
        <v/>
      </c>
      <c r="J213" s="1" t="str">
        <f t="shared" si="36"/>
        <v/>
      </c>
      <c r="K213" s="1">
        <f t="shared" si="37"/>
        <v>0.95348837209302328</v>
      </c>
      <c r="L213" s="1" t="str">
        <f t="shared" si="38"/>
        <v/>
      </c>
    </row>
    <row r="214" spans="1:12">
      <c r="A214" t="s">
        <v>65</v>
      </c>
      <c r="B214">
        <v>7</v>
      </c>
      <c r="C214" t="str">
        <f t="shared" si="32"/>
        <v>test.client_7_</v>
      </c>
      <c r="D214">
        <v>3</v>
      </c>
      <c r="E214">
        <v>1</v>
      </c>
      <c r="F214">
        <v>1.0068560235063664</v>
      </c>
      <c r="G214" s="1" t="str">
        <f t="shared" si="33"/>
        <v/>
      </c>
      <c r="H214" s="1" t="str">
        <f t="shared" si="34"/>
        <v/>
      </c>
      <c r="I214" s="1" t="str">
        <f t="shared" si="35"/>
        <v/>
      </c>
      <c r="J214" s="1" t="str">
        <f t="shared" si="36"/>
        <v/>
      </c>
      <c r="K214" s="1">
        <f t="shared" si="37"/>
        <v>1</v>
      </c>
      <c r="L214" s="1" t="str">
        <f t="shared" si="38"/>
        <v/>
      </c>
    </row>
    <row r="215" spans="1:12">
      <c r="A215" t="s">
        <v>71</v>
      </c>
      <c r="B215">
        <v>3</v>
      </c>
      <c r="C215" t="str">
        <f t="shared" si="32"/>
        <v>test.GeoEngine_3_</v>
      </c>
      <c r="D215">
        <v>4</v>
      </c>
      <c r="E215">
        <v>9.6774193548387094E-2</v>
      </c>
      <c r="F215">
        <v>7.1723538361225816E-2</v>
      </c>
      <c r="G215" s="1">
        <f t="shared" si="33"/>
        <v>9.6774193548387094E-2</v>
      </c>
      <c r="H215" s="1" t="str">
        <f t="shared" si="34"/>
        <v/>
      </c>
      <c r="I215" s="1" t="str">
        <f t="shared" si="35"/>
        <v/>
      </c>
      <c r="J215" s="1" t="str">
        <f t="shared" si="36"/>
        <v/>
      </c>
      <c r="K215" s="1" t="str">
        <f t="shared" si="37"/>
        <v/>
      </c>
      <c r="L215" s="1" t="str">
        <f t="shared" si="38"/>
        <v/>
      </c>
    </row>
    <row r="216" spans="1:12">
      <c r="A216" t="s">
        <v>71</v>
      </c>
      <c r="B216">
        <v>3</v>
      </c>
      <c r="C216" t="str">
        <f t="shared" si="32"/>
        <v>test.GeoEngine_3_</v>
      </c>
      <c r="D216">
        <v>5</v>
      </c>
      <c r="E216">
        <v>0.74193548387096775</v>
      </c>
      <c r="F216">
        <v>0.60725929145837865</v>
      </c>
      <c r="G216" s="1" t="str">
        <f t="shared" si="33"/>
        <v/>
      </c>
      <c r="H216" s="1" t="str">
        <f t="shared" si="34"/>
        <v/>
      </c>
      <c r="I216" s="1" t="str">
        <f t="shared" si="35"/>
        <v/>
      </c>
      <c r="J216" s="1">
        <f t="shared" si="36"/>
        <v>0.74193548387096775</v>
      </c>
      <c r="K216" s="1" t="str">
        <f t="shared" si="37"/>
        <v/>
      </c>
      <c r="L216" s="1" t="str">
        <f t="shared" si="38"/>
        <v/>
      </c>
    </row>
    <row r="217" spans="1:12">
      <c r="A217" t="s">
        <v>71</v>
      </c>
      <c r="B217">
        <v>3</v>
      </c>
      <c r="C217" t="str">
        <f t="shared" si="32"/>
        <v>test.GeoEngine_3_</v>
      </c>
      <c r="D217">
        <v>6</v>
      </c>
      <c r="E217">
        <v>1</v>
      </c>
      <c r="F217">
        <v>0.6394262116931102</v>
      </c>
      <c r="G217" s="1" t="str">
        <f t="shared" si="33"/>
        <v/>
      </c>
      <c r="H217" s="1" t="str">
        <f t="shared" si="34"/>
        <v/>
      </c>
      <c r="I217" s="1" t="str">
        <f t="shared" si="35"/>
        <v/>
      </c>
      <c r="J217" s="1">
        <f t="shared" si="36"/>
        <v>1</v>
      </c>
      <c r="K217" s="1" t="str">
        <f t="shared" si="37"/>
        <v/>
      </c>
      <c r="L217" s="1" t="str">
        <f t="shared" si="38"/>
        <v/>
      </c>
    </row>
    <row r="218" spans="1:12">
      <c r="A218" t="s">
        <v>71</v>
      </c>
      <c r="B218">
        <v>7</v>
      </c>
      <c r="C218" t="str">
        <f t="shared" si="32"/>
        <v>test.GeoEngine_7_</v>
      </c>
      <c r="D218">
        <v>7</v>
      </c>
      <c r="E218">
        <v>3.5714285714285712E-2</v>
      </c>
      <c r="F218">
        <v>1.2212306247064349E-2</v>
      </c>
      <c r="G218" s="1">
        <f t="shared" si="33"/>
        <v>3.5714285714285712E-2</v>
      </c>
      <c r="H218" s="1" t="str">
        <f t="shared" si="34"/>
        <v/>
      </c>
      <c r="I218" s="1" t="str">
        <f t="shared" si="35"/>
        <v/>
      </c>
      <c r="J218" s="1" t="str">
        <f t="shared" si="36"/>
        <v/>
      </c>
      <c r="K218" s="1" t="str">
        <f t="shared" si="37"/>
        <v/>
      </c>
      <c r="L218" s="1" t="str">
        <f t="shared" si="38"/>
        <v/>
      </c>
    </row>
    <row r="219" spans="1:12">
      <c r="A219" t="s">
        <v>71</v>
      </c>
      <c r="B219">
        <v>7</v>
      </c>
      <c r="C219" t="str">
        <f t="shared" si="32"/>
        <v>test.GeoEngine_7_</v>
      </c>
      <c r="D219">
        <v>8</v>
      </c>
      <c r="E219">
        <v>5.3571428571428568E-2</v>
      </c>
      <c r="F219">
        <v>1.2447158290277125E-2</v>
      </c>
      <c r="G219" s="1">
        <f t="shared" si="33"/>
        <v>5.3571428571428568E-2</v>
      </c>
      <c r="H219" s="1" t="str">
        <f t="shared" si="34"/>
        <v/>
      </c>
      <c r="I219" s="1" t="str">
        <f t="shared" si="35"/>
        <v/>
      </c>
      <c r="J219" s="1" t="str">
        <f t="shared" si="36"/>
        <v/>
      </c>
      <c r="K219" s="1" t="str">
        <f t="shared" si="37"/>
        <v/>
      </c>
      <c r="L219" s="1" t="str">
        <f t="shared" si="38"/>
        <v/>
      </c>
    </row>
    <row r="220" spans="1:12">
      <c r="A220" t="s">
        <v>71</v>
      </c>
      <c r="B220">
        <v>7</v>
      </c>
      <c r="C220" t="str">
        <f t="shared" si="32"/>
        <v>test.GeoEngine_7_</v>
      </c>
      <c r="D220">
        <v>9</v>
      </c>
      <c r="E220">
        <v>7.1428571428571425E-2</v>
      </c>
      <c r="F220">
        <v>2.6538280883043684E-2</v>
      </c>
      <c r="G220" s="1">
        <f t="shared" si="33"/>
        <v>7.1428571428571425E-2</v>
      </c>
      <c r="H220" s="1" t="str">
        <f t="shared" si="34"/>
        <v/>
      </c>
      <c r="I220" s="1" t="str">
        <f t="shared" si="35"/>
        <v/>
      </c>
      <c r="J220" s="1" t="str">
        <f t="shared" si="36"/>
        <v/>
      </c>
      <c r="K220" s="1" t="str">
        <f t="shared" si="37"/>
        <v/>
      </c>
      <c r="L220" s="1" t="str">
        <f t="shared" si="38"/>
        <v/>
      </c>
    </row>
    <row r="221" spans="1:12">
      <c r="A221" t="s">
        <v>71</v>
      </c>
      <c r="B221">
        <v>7</v>
      </c>
      <c r="C221" t="str">
        <f t="shared" si="32"/>
        <v>test.GeoEngine_7_</v>
      </c>
      <c r="D221">
        <v>10</v>
      </c>
      <c r="E221">
        <v>7.1428571428571425E-2</v>
      </c>
      <c r="F221">
        <v>2.7007984969469233E-2</v>
      </c>
      <c r="G221" s="1">
        <f t="shared" si="33"/>
        <v>7.1428571428571425E-2</v>
      </c>
      <c r="H221" s="1" t="str">
        <f t="shared" si="34"/>
        <v/>
      </c>
      <c r="I221" s="1" t="str">
        <f t="shared" si="35"/>
        <v/>
      </c>
      <c r="J221" s="1" t="str">
        <f t="shared" si="36"/>
        <v/>
      </c>
      <c r="K221" s="1" t="str">
        <f t="shared" si="37"/>
        <v/>
      </c>
      <c r="L221" s="1" t="str">
        <f t="shared" si="38"/>
        <v/>
      </c>
    </row>
    <row r="222" spans="1:12">
      <c r="A222" t="s">
        <v>71</v>
      </c>
      <c r="B222">
        <v>7</v>
      </c>
      <c r="C222" t="str">
        <f t="shared" si="32"/>
        <v>test.GeoEngine_7_</v>
      </c>
      <c r="D222">
        <v>11</v>
      </c>
      <c r="E222">
        <v>0.2857142857142857</v>
      </c>
      <c r="F222">
        <v>7.1629873179896664E-2</v>
      </c>
      <c r="G222" s="1">
        <f t="shared" si="33"/>
        <v>0.2857142857142857</v>
      </c>
      <c r="H222" s="1" t="str">
        <f t="shared" si="34"/>
        <v/>
      </c>
      <c r="I222" s="1" t="str">
        <f t="shared" si="35"/>
        <v/>
      </c>
      <c r="J222" s="1" t="str">
        <f t="shared" si="36"/>
        <v/>
      </c>
      <c r="K222" s="1" t="str">
        <f t="shared" si="37"/>
        <v/>
      </c>
      <c r="L222" s="1" t="str">
        <f t="shared" si="38"/>
        <v/>
      </c>
    </row>
    <row r="223" spans="1:12">
      <c r="A223" t="s">
        <v>71</v>
      </c>
      <c r="B223">
        <v>7</v>
      </c>
      <c r="C223" t="str">
        <f t="shared" si="32"/>
        <v>test.GeoEngine_7_</v>
      </c>
      <c r="D223">
        <v>12</v>
      </c>
      <c r="E223">
        <v>0.2857142857142857</v>
      </c>
      <c r="F223">
        <v>7.1864725223109438E-2</v>
      </c>
      <c r="G223" s="1">
        <f t="shared" si="33"/>
        <v>0.2857142857142857</v>
      </c>
      <c r="H223" s="1" t="str">
        <f t="shared" si="34"/>
        <v/>
      </c>
      <c r="I223" s="1" t="str">
        <f t="shared" si="35"/>
        <v/>
      </c>
      <c r="J223" s="1" t="str">
        <f t="shared" si="36"/>
        <v/>
      </c>
      <c r="K223" s="1" t="str">
        <f t="shared" si="37"/>
        <v/>
      </c>
      <c r="L223" s="1" t="str">
        <f t="shared" si="38"/>
        <v/>
      </c>
    </row>
    <row r="224" spans="1:12">
      <c r="A224" t="s">
        <v>71</v>
      </c>
      <c r="B224">
        <v>7</v>
      </c>
      <c r="C224" t="str">
        <f t="shared" si="32"/>
        <v>test.GeoEngine_7_</v>
      </c>
      <c r="D224">
        <v>13</v>
      </c>
      <c r="E224">
        <v>0.5178571428571429</v>
      </c>
      <c r="F224">
        <v>0.10216063879755753</v>
      </c>
      <c r="G224" s="1">
        <f t="shared" si="33"/>
        <v>0.5178571428571429</v>
      </c>
      <c r="H224" s="1" t="str">
        <f t="shared" si="34"/>
        <v/>
      </c>
      <c r="I224" s="1" t="str">
        <f t="shared" si="35"/>
        <v/>
      </c>
      <c r="J224" s="1" t="str">
        <f t="shared" si="36"/>
        <v/>
      </c>
      <c r="K224" s="1" t="str">
        <f t="shared" si="37"/>
        <v/>
      </c>
      <c r="L224" s="1" t="str">
        <f t="shared" si="38"/>
        <v/>
      </c>
    </row>
    <row r="225" spans="1:12">
      <c r="A225" t="s">
        <v>71</v>
      </c>
      <c r="B225">
        <v>7</v>
      </c>
      <c r="C225" t="str">
        <f t="shared" si="32"/>
        <v>test.GeoEngine_7_</v>
      </c>
      <c r="D225">
        <v>14</v>
      </c>
      <c r="E225">
        <v>0.5178571428571429</v>
      </c>
      <c r="F225">
        <v>0.10779708783466416</v>
      </c>
      <c r="G225" s="1">
        <f t="shared" si="33"/>
        <v>0.5178571428571429</v>
      </c>
      <c r="H225" s="1" t="str">
        <f t="shared" si="34"/>
        <v/>
      </c>
      <c r="I225" s="1" t="str">
        <f t="shared" si="35"/>
        <v/>
      </c>
      <c r="J225" s="1" t="str">
        <f t="shared" si="36"/>
        <v/>
      </c>
      <c r="K225" s="1" t="str">
        <f t="shared" si="37"/>
        <v/>
      </c>
      <c r="L225" s="1" t="str">
        <f t="shared" si="38"/>
        <v/>
      </c>
    </row>
    <row r="226" spans="1:12">
      <c r="A226" t="s">
        <v>71</v>
      </c>
      <c r="B226">
        <v>7</v>
      </c>
      <c r="C226" t="str">
        <f t="shared" si="32"/>
        <v>test.GeoEngine_7_</v>
      </c>
      <c r="D226">
        <v>15</v>
      </c>
      <c r="E226">
        <v>1</v>
      </c>
      <c r="F226">
        <v>0.9760450915922968</v>
      </c>
      <c r="G226" s="1" t="str">
        <f t="shared" si="33"/>
        <v/>
      </c>
      <c r="H226" s="1" t="str">
        <f t="shared" si="34"/>
        <v/>
      </c>
      <c r="I226" s="1" t="str">
        <f t="shared" si="35"/>
        <v/>
      </c>
      <c r="J226" s="1" t="str">
        <f t="shared" si="36"/>
        <v/>
      </c>
      <c r="K226" s="1">
        <f t="shared" si="37"/>
        <v>1</v>
      </c>
      <c r="L226" s="1" t="str">
        <f t="shared" si="38"/>
        <v/>
      </c>
    </row>
    <row r="227" spans="1:12">
      <c r="A227" t="s">
        <v>71</v>
      </c>
      <c r="B227">
        <v>7</v>
      </c>
      <c r="C227" t="str">
        <f t="shared" si="32"/>
        <v>test.GeoEngine_7_</v>
      </c>
      <c r="D227">
        <v>16</v>
      </c>
      <c r="E227">
        <v>1</v>
      </c>
      <c r="F227">
        <v>0.98144668858619066</v>
      </c>
      <c r="G227" s="1" t="str">
        <f t="shared" si="33"/>
        <v/>
      </c>
      <c r="H227" s="1" t="str">
        <f t="shared" si="34"/>
        <v/>
      </c>
      <c r="I227" s="1" t="str">
        <f t="shared" si="35"/>
        <v/>
      </c>
      <c r="J227" s="1" t="str">
        <f t="shared" si="36"/>
        <v/>
      </c>
      <c r="K227" s="1">
        <f t="shared" si="37"/>
        <v>1</v>
      </c>
      <c r="L227" s="1" t="str">
        <f t="shared" si="38"/>
        <v/>
      </c>
    </row>
    <row r="228" spans="1:12">
      <c r="A228" t="s">
        <v>71</v>
      </c>
      <c r="B228">
        <v>8</v>
      </c>
      <c r="C228" t="str">
        <f t="shared" si="32"/>
        <v>test.GeoEngine_8_</v>
      </c>
      <c r="D228">
        <v>17</v>
      </c>
      <c r="E228">
        <v>4.6511627906976744E-2</v>
      </c>
      <c r="F228">
        <v>5.3583617747440276E-2</v>
      </c>
      <c r="G228" s="1">
        <f t="shared" si="33"/>
        <v>4.6511627906976744E-2</v>
      </c>
      <c r="H228" s="1" t="str">
        <f t="shared" si="34"/>
        <v/>
      </c>
      <c r="I228" s="1" t="str">
        <f t="shared" si="35"/>
        <v/>
      </c>
      <c r="J228" s="1" t="str">
        <f t="shared" si="36"/>
        <v/>
      </c>
      <c r="K228" s="1" t="str">
        <f t="shared" si="37"/>
        <v/>
      </c>
      <c r="L228" s="1" t="str">
        <f t="shared" si="38"/>
        <v/>
      </c>
    </row>
    <row r="229" spans="1:12">
      <c r="A229" t="s">
        <v>71</v>
      </c>
      <c r="B229">
        <v>8</v>
      </c>
      <c r="C229" t="str">
        <f t="shared" si="32"/>
        <v>test.GeoEngine_8_</v>
      </c>
      <c r="D229">
        <v>1</v>
      </c>
      <c r="E229">
        <v>0.1744186046511628</v>
      </c>
      <c r="F229">
        <v>0.13447098976109215</v>
      </c>
      <c r="G229" s="1">
        <f t="shared" si="33"/>
        <v>0.1744186046511628</v>
      </c>
      <c r="H229" s="1" t="str">
        <f t="shared" si="34"/>
        <v/>
      </c>
      <c r="I229" s="1" t="str">
        <f t="shared" si="35"/>
        <v/>
      </c>
      <c r="J229" s="1" t="str">
        <f t="shared" si="36"/>
        <v/>
      </c>
      <c r="K229" s="1" t="str">
        <f t="shared" si="37"/>
        <v/>
      </c>
      <c r="L229" s="1" t="str">
        <f t="shared" si="38"/>
        <v/>
      </c>
    </row>
    <row r="230" spans="1:12">
      <c r="A230" t="s">
        <v>71</v>
      </c>
      <c r="B230">
        <v>8</v>
      </c>
      <c r="C230" t="str">
        <f t="shared" si="32"/>
        <v>test.GeoEngine_8_</v>
      </c>
      <c r="D230">
        <v>2</v>
      </c>
      <c r="E230">
        <v>0.22093023255813954</v>
      </c>
      <c r="F230">
        <v>0.15051194539249146</v>
      </c>
      <c r="G230" s="1">
        <f t="shared" si="33"/>
        <v>0.22093023255813954</v>
      </c>
      <c r="H230" s="1" t="str">
        <f t="shared" si="34"/>
        <v/>
      </c>
      <c r="I230" s="1" t="str">
        <f t="shared" si="35"/>
        <v/>
      </c>
      <c r="J230" s="1" t="str">
        <f t="shared" si="36"/>
        <v/>
      </c>
      <c r="K230" s="1" t="str">
        <f t="shared" si="37"/>
        <v/>
      </c>
      <c r="L230" s="1" t="str">
        <f t="shared" si="38"/>
        <v/>
      </c>
    </row>
    <row r="231" spans="1:12">
      <c r="A231" t="s">
        <v>71</v>
      </c>
      <c r="B231">
        <v>8</v>
      </c>
      <c r="C231" t="str">
        <f t="shared" si="32"/>
        <v>test.GeoEngine_8_</v>
      </c>
      <c r="D231">
        <v>3</v>
      </c>
      <c r="E231">
        <v>0.33720930232558138</v>
      </c>
      <c r="F231">
        <v>0.1825938566552901</v>
      </c>
      <c r="G231" s="1">
        <f t="shared" si="33"/>
        <v>0.33720930232558138</v>
      </c>
      <c r="H231" s="1" t="str">
        <f t="shared" si="34"/>
        <v/>
      </c>
      <c r="I231" s="1" t="str">
        <f t="shared" si="35"/>
        <v/>
      </c>
      <c r="J231" s="1" t="str">
        <f t="shared" si="36"/>
        <v/>
      </c>
      <c r="K231" s="1" t="str">
        <f t="shared" si="37"/>
        <v/>
      </c>
      <c r="L231" s="1" t="str">
        <f t="shared" si="38"/>
        <v/>
      </c>
    </row>
    <row r="232" spans="1:12">
      <c r="A232" t="s">
        <v>71</v>
      </c>
      <c r="B232">
        <v>8</v>
      </c>
      <c r="C232" t="str">
        <f t="shared" si="32"/>
        <v>test.GeoEngine_8_</v>
      </c>
      <c r="D232">
        <v>4</v>
      </c>
      <c r="E232">
        <v>0.36046511627906974</v>
      </c>
      <c r="F232">
        <v>0.18737201365187714</v>
      </c>
      <c r="G232" s="1">
        <f t="shared" si="33"/>
        <v>0.36046511627906974</v>
      </c>
      <c r="H232" s="1" t="str">
        <f t="shared" si="34"/>
        <v/>
      </c>
      <c r="I232" s="1" t="str">
        <f t="shared" si="35"/>
        <v/>
      </c>
      <c r="J232" s="1" t="str">
        <f t="shared" si="36"/>
        <v/>
      </c>
      <c r="K232" s="1" t="str">
        <f t="shared" si="37"/>
        <v/>
      </c>
      <c r="L232" s="1" t="str">
        <f t="shared" si="38"/>
        <v/>
      </c>
    </row>
    <row r="233" spans="1:12">
      <c r="A233" t="s">
        <v>71</v>
      </c>
      <c r="B233">
        <v>8</v>
      </c>
      <c r="C233" t="str">
        <f t="shared" si="32"/>
        <v>test.GeoEngine_8_</v>
      </c>
      <c r="D233">
        <v>5</v>
      </c>
      <c r="E233">
        <v>0.77906976744186052</v>
      </c>
      <c r="F233">
        <v>0.76177474402730372</v>
      </c>
      <c r="G233" s="1" t="str">
        <f t="shared" si="33"/>
        <v/>
      </c>
      <c r="H233" s="1" t="str">
        <f t="shared" si="34"/>
        <v/>
      </c>
      <c r="I233" s="1" t="str">
        <f t="shared" si="35"/>
        <v/>
      </c>
      <c r="J233" s="1">
        <f t="shared" si="36"/>
        <v>0.77906976744186052</v>
      </c>
      <c r="K233" s="1" t="str">
        <f t="shared" si="37"/>
        <v/>
      </c>
      <c r="L233" s="1" t="str">
        <f t="shared" si="38"/>
        <v/>
      </c>
    </row>
    <row r="234" spans="1:12">
      <c r="A234" t="s">
        <v>71</v>
      </c>
      <c r="B234">
        <v>8</v>
      </c>
      <c r="C234" t="str">
        <f t="shared" si="32"/>
        <v>test.GeoEngine_8_</v>
      </c>
      <c r="D234">
        <v>6</v>
      </c>
      <c r="E234">
        <v>0.80232558139534882</v>
      </c>
      <c r="F234">
        <v>0.80511945392491469</v>
      </c>
      <c r="G234" s="1" t="str">
        <f t="shared" si="33"/>
        <v/>
      </c>
      <c r="H234" s="1" t="str">
        <f t="shared" si="34"/>
        <v/>
      </c>
      <c r="I234" s="1" t="str">
        <f t="shared" si="35"/>
        <v/>
      </c>
      <c r="J234" s="1" t="str">
        <f t="shared" si="36"/>
        <v/>
      </c>
      <c r="K234" s="1">
        <f t="shared" si="37"/>
        <v>0.80232558139534882</v>
      </c>
      <c r="L234" s="1" t="str">
        <f t="shared" si="38"/>
        <v/>
      </c>
    </row>
    <row r="235" spans="1:12">
      <c r="A235" t="s">
        <v>71</v>
      </c>
      <c r="B235">
        <v>8</v>
      </c>
      <c r="C235" t="str">
        <f t="shared" si="32"/>
        <v>test.GeoEngine_8_</v>
      </c>
      <c r="D235">
        <v>7</v>
      </c>
      <c r="E235">
        <v>0.86046511627906974</v>
      </c>
      <c r="F235">
        <v>0.82320819112627985</v>
      </c>
      <c r="G235" s="1" t="str">
        <f t="shared" si="33"/>
        <v/>
      </c>
      <c r="H235" s="1" t="str">
        <f t="shared" si="34"/>
        <v/>
      </c>
      <c r="I235" s="1" t="str">
        <f t="shared" si="35"/>
        <v/>
      </c>
      <c r="J235" s="1" t="str">
        <f t="shared" si="36"/>
        <v/>
      </c>
      <c r="K235" s="1">
        <f t="shared" si="37"/>
        <v>0.86046511627906974</v>
      </c>
      <c r="L235" s="1" t="str">
        <f t="shared" si="38"/>
        <v/>
      </c>
    </row>
    <row r="236" spans="1:12">
      <c r="A236" t="s">
        <v>71</v>
      </c>
      <c r="B236">
        <v>8</v>
      </c>
      <c r="C236" t="str">
        <f t="shared" si="32"/>
        <v>test.GeoEngine_8_</v>
      </c>
      <c r="D236">
        <v>1</v>
      </c>
      <c r="E236">
        <v>0.90697674418604646</v>
      </c>
      <c r="F236">
        <v>0.87713310580204773</v>
      </c>
      <c r="G236" s="1" t="str">
        <f t="shared" si="33"/>
        <v/>
      </c>
      <c r="H236" s="1" t="str">
        <f t="shared" si="34"/>
        <v/>
      </c>
      <c r="I236" s="1" t="str">
        <f t="shared" si="35"/>
        <v/>
      </c>
      <c r="J236" s="1" t="str">
        <f t="shared" si="36"/>
        <v/>
      </c>
      <c r="K236" s="1">
        <f t="shared" si="37"/>
        <v>0.90697674418604646</v>
      </c>
      <c r="L236" s="1" t="str">
        <f t="shared" si="38"/>
        <v/>
      </c>
    </row>
    <row r="237" spans="1:12">
      <c r="A237" t="s">
        <v>71</v>
      </c>
      <c r="B237">
        <v>8</v>
      </c>
      <c r="C237" t="str">
        <f t="shared" si="32"/>
        <v>test.GeoEngine_8_</v>
      </c>
      <c r="D237">
        <v>2</v>
      </c>
      <c r="E237">
        <v>0.94186046511627908</v>
      </c>
      <c r="F237">
        <v>0.88839590443686012</v>
      </c>
      <c r="G237" s="1" t="str">
        <f t="shared" si="33"/>
        <v/>
      </c>
      <c r="H237" s="1" t="str">
        <f t="shared" si="34"/>
        <v/>
      </c>
      <c r="I237" s="1" t="str">
        <f t="shared" si="35"/>
        <v/>
      </c>
      <c r="J237" s="1" t="str">
        <f t="shared" si="36"/>
        <v/>
      </c>
      <c r="K237" s="1">
        <f t="shared" si="37"/>
        <v>0.94186046511627908</v>
      </c>
      <c r="L237" s="1" t="str">
        <f t="shared" si="38"/>
        <v/>
      </c>
    </row>
    <row r="238" spans="1:12">
      <c r="A238" t="s">
        <v>71</v>
      </c>
      <c r="B238">
        <v>8</v>
      </c>
      <c r="C238" t="str">
        <f t="shared" si="32"/>
        <v>test.GeoEngine_8_</v>
      </c>
      <c r="D238">
        <v>3</v>
      </c>
      <c r="E238">
        <v>0.98837209302325579</v>
      </c>
      <c r="F238">
        <v>0.91058020477815704</v>
      </c>
      <c r="G238" s="1" t="str">
        <f t="shared" si="33"/>
        <v/>
      </c>
      <c r="H238" s="1" t="str">
        <f t="shared" si="34"/>
        <v/>
      </c>
      <c r="I238" s="1" t="str">
        <f t="shared" si="35"/>
        <v/>
      </c>
      <c r="J238" s="1" t="str">
        <f t="shared" si="36"/>
        <v/>
      </c>
      <c r="K238" s="1">
        <f t="shared" si="37"/>
        <v>0.98837209302325579</v>
      </c>
      <c r="L238" s="1" t="str">
        <f t="shared" si="38"/>
        <v/>
      </c>
    </row>
    <row r="239" spans="1:12">
      <c r="A239" t="s">
        <v>71</v>
      </c>
      <c r="B239">
        <v>8</v>
      </c>
      <c r="C239" t="str">
        <f t="shared" si="32"/>
        <v>test.GeoEngine_8_</v>
      </c>
      <c r="D239">
        <v>4</v>
      </c>
      <c r="E239">
        <v>1</v>
      </c>
      <c r="F239">
        <v>1.4825938566552901</v>
      </c>
      <c r="G239" s="1" t="str">
        <f t="shared" si="33"/>
        <v/>
      </c>
      <c r="H239" s="1" t="str">
        <f t="shared" si="34"/>
        <v/>
      </c>
      <c r="I239" s="1" t="str">
        <f t="shared" si="35"/>
        <v/>
      </c>
      <c r="J239" s="1" t="str">
        <f t="shared" si="36"/>
        <v/>
      </c>
      <c r="K239" s="1" t="str">
        <f t="shared" si="37"/>
        <v/>
      </c>
      <c r="L239" s="1">
        <f t="shared" si="38"/>
        <v>1</v>
      </c>
    </row>
    <row r="240" spans="1:12">
      <c r="A240" t="s">
        <v>71</v>
      </c>
      <c r="B240">
        <v>9</v>
      </c>
      <c r="C240" t="str">
        <f t="shared" si="32"/>
        <v>test.GeoEngine_9_</v>
      </c>
      <c r="D240">
        <v>5</v>
      </c>
      <c r="E240">
        <v>8.6956521739130432E-2</v>
      </c>
      <c r="F240">
        <v>9.326974032856386E-2</v>
      </c>
      <c r="G240" s="1">
        <f t="shared" si="33"/>
        <v>8.6956521739130432E-2</v>
      </c>
      <c r="H240" s="1" t="str">
        <f t="shared" si="34"/>
        <v/>
      </c>
      <c r="I240" s="1" t="str">
        <f t="shared" si="35"/>
        <v/>
      </c>
      <c r="J240" s="1" t="str">
        <f t="shared" si="36"/>
        <v/>
      </c>
      <c r="K240" s="1" t="str">
        <f t="shared" si="37"/>
        <v/>
      </c>
      <c r="L240" s="1" t="str">
        <f t="shared" si="38"/>
        <v/>
      </c>
    </row>
    <row r="241" spans="1:12">
      <c r="A241" t="s">
        <v>71</v>
      </c>
      <c r="B241">
        <v>9</v>
      </c>
      <c r="C241" t="str">
        <f t="shared" si="32"/>
        <v>test.GeoEngine_9_</v>
      </c>
      <c r="D241">
        <v>6</v>
      </c>
      <c r="E241">
        <v>0.19565217391304349</v>
      </c>
      <c r="F241">
        <v>0.12665606783253841</v>
      </c>
      <c r="G241" s="1">
        <f t="shared" si="33"/>
        <v>0.19565217391304349</v>
      </c>
      <c r="H241" s="1" t="str">
        <f t="shared" si="34"/>
        <v/>
      </c>
      <c r="I241" s="1" t="str">
        <f t="shared" si="35"/>
        <v/>
      </c>
      <c r="J241" s="1" t="str">
        <f t="shared" si="36"/>
        <v/>
      </c>
      <c r="K241" s="1" t="str">
        <f t="shared" si="37"/>
        <v/>
      </c>
      <c r="L241" s="1" t="str">
        <f t="shared" si="38"/>
        <v/>
      </c>
    </row>
    <row r="242" spans="1:12">
      <c r="A242" t="s">
        <v>71</v>
      </c>
      <c r="B242">
        <v>9</v>
      </c>
      <c r="C242" t="str">
        <f t="shared" si="32"/>
        <v>test.GeoEngine_9_</v>
      </c>
      <c r="D242">
        <v>7</v>
      </c>
      <c r="E242">
        <v>0.45652173913043476</v>
      </c>
      <c r="F242">
        <v>0.30736618971913088</v>
      </c>
      <c r="G242" s="1" t="str">
        <f t="shared" si="33"/>
        <v/>
      </c>
      <c r="H242" s="1">
        <f t="shared" si="34"/>
        <v>0.45652173913043476</v>
      </c>
      <c r="I242" s="1" t="str">
        <f t="shared" si="35"/>
        <v/>
      </c>
      <c r="J242" s="1" t="str">
        <f t="shared" si="36"/>
        <v/>
      </c>
      <c r="K242" s="1" t="str">
        <f t="shared" si="37"/>
        <v/>
      </c>
      <c r="L242" s="1" t="str">
        <f t="shared" si="38"/>
        <v/>
      </c>
    </row>
    <row r="243" spans="1:12">
      <c r="A243" t="s">
        <v>71</v>
      </c>
      <c r="B243">
        <v>9</v>
      </c>
      <c r="C243" t="str">
        <f t="shared" si="32"/>
        <v>test.GeoEngine_9_</v>
      </c>
      <c r="D243">
        <v>8</v>
      </c>
      <c r="E243">
        <v>1</v>
      </c>
      <c r="F243">
        <v>1.0031796502384738</v>
      </c>
      <c r="G243" s="1" t="str">
        <f t="shared" si="33"/>
        <v/>
      </c>
      <c r="H243" s="1" t="str">
        <f t="shared" si="34"/>
        <v/>
      </c>
      <c r="I243" s="1" t="str">
        <f t="shared" si="35"/>
        <v/>
      </c>
      <c r="J243" s="1" t="str">
        <f t="shared" si="36"/>
        <v/>
      </c>
      <c r="K243" s="1">
        <f t="shared" si="37"/>
        <v>1</v>
      </c>
      <c r="L243" s="1" t="str">
        <f t="shared" si="38"/>
        <v/>
      </c>
    </row>
    <row r="244" spans="1:12">
      <c r="A244" t="s">
        <v>71</v>
      </c>
      <c r="B244">
        <v>10</v>
      </c>
      <c r="C244" t="str">
        <f t="shared" si="32"/>
        <v>test.GeoEngine_10_</v>
      </c>
      <c r="D244">
        <v>9</v>
      </c>
      <c r="E244">
        <v>3.3333333333333333E-2</v>
      </c>
      <c r="F244">
        <v>8.7310826542491268E-2</v>
      </c>
      <c r="G244" s="1">
        <f t="shared" si="33"/>
        <v>3.3333333333333333E-2</v>
      </c>
      <c r="H244" s="1" t="str">
        <f t="shared" si="34"/>
        <v/>
      </c>
      <c r="I244" s="1" t="str">
        <f t="shared" si="35"/>
        <v/>
      </c>
      <c r="J244" s="1" t="str">
        <f t="shared" si="36"/>
        <v/>
      </c>
      <c r="K244" s="1" t="str">
        <f t="shared" si="37"/>
        <v/>
      </c>
      <c r="L244" s="1" t="str">
        <f t="shared" si="38"/>
        <v/>
      </c>
    </row>
    <row r="245" spans="1:12">
      <c r="A245" t="s">
        <v>71</v>
      </c>
      <c r="B245">
        <v>10</v>
      </c>
      <c r="C245" t="str">
        <f t="shared" si="32"/>
        <v>test.GeoEngine_10_</v>
      </c>
      <c r="D245">
        <v>10</v>
      </c>
      <c r="E245">
        <v>0.2</v>
      </c>
      <c r="F245">
        <v>0.36088474970896389</v>
      </c>
      <c r="G245" s="1" t="str">
        <f t="shared" si="33"/>
        <v/>
      </c>
      <c r="H245" s="1">
        <f t="shared" si="34"/>
        <v>0.2</v>
      </c>
      <c r="I245" s="1" t="str">
        <f t="shared" si="35"/>
        <v/>
      </c>
      <c r="J245" s="1" t="str">
        <f t="shared" si="36"/>
        <v/>
      </c>
      <c r="K245" s="1" t="str">
        <f t="shared" si="37"/>
        <v/>
      </c>
      <c r="L245" s="1" t="str">
        <f t="shared" si="38"/>
        <v/>
      </c>
    </row>
    <row r="246" spans="1:12">
      <c r="A246" t="s">
        <v>71</v>
      </c>
      <c r="B246">
        <v>10</v>
      </c>
      <c r="C246" t="str">
        <f t="shared" si="32"/>
        <v>test.GeoEngine_10_</v>
      </c>
      <c r="D246">
        <v>11</v>
      </c>
      <c r="E246">
        <v>0.4</v>
      </c>
      <c r="F246">
        <v>0.54598370197904544</v>
      </c>
      <c r="G246" s="1" t="str">
        <f t="shared" si="33"/>
        <v/>
      </c>
      <c r="H246" s="1" t="str">
        <f t="shared" si="34"/>
        <v/>
      </c>
      <c r="I246" s="1">
        <f t="shared" si="35"/>
        <v>0.4</v>
      </c>
      <c r="J246" s="1" t="str">
        <f t="shared" si="36"/>
        <v/>
      </c>
      <c r="K246" s="1" t="str">
        <f t="shared" si="37"/>
        <v/>
      </c>
      <c r="L246" s="1" t="str">
        <f t="shared" si="38"/>
        <v/>
      </c>
    </row>
    <row r="247" spans="1:12">
      <c r="A247" t="s">
        <v>71</v>
      </c>
      <c r="B247">
        <v>10</v>
      </c>
      <c r="C247" t="str">
        <f t="shared" si="32"/>
        <v>test.GeoEngine_10_</v>
      </c>
      <c r="D247">
        <v>12</v>
      </c>
      <c r="E247">
        <v>0.43333333333333335</v>
      </c>
      <c r="F247">
        <v>0.62398137369033757</v>
      </c>
      <c r="G247" s="1" t="str">
        <f t="shared" si="33"/>
        <v/>
      </c>
      <c r="H247" s="1" t="str">
        <f t="shared" si="34"/>
        <v/>
      </c>
      <c r="I247" s="1" t="str">
        <f t="shared" si="35"/>
        <v/>
      </c>
      <c r="J247" s="1">
        <f t="shared" si="36"/>
        <v>0.43333333333333335</v>
      </c>
      <c r="K247" s="1" t="str">
        <f t="shared" si="37"/>
        <v/>
      </c>
      <c r="L247" s="1" t="str">
        <f t="shared" si="38"/>
        <v/>
      </c>
    </row>
    <row r="248" spans="1:12">
      <c r="A248" t="s">
        <v>71</v>
      </c>
      <c r="B248">
        <v>10</v>
      </c>
      <c r="C248" t="str">
        <f t="shared" si="32"/>
        <v>test.GeoEngine_10_</v>
      </c>
      <c r="D248">
        <v>13</v>
      </c>
      <c r="E248">
        <v>0.6333333333333333</v>
      </c>
      <c r="F248">
        <v>0.67403958090803262</v>
      </c>
      <c r="G248" s="1" t="str">
        <f t="shared" si="33"/>
        <v/>
      </c>
      <c r="H248" s="1" t="str">
        <f t="shared" si="34"/>
        <v/>
      </c>
      <c r="I248" s="1" t="str">
        <f t="shared" si="35"/>
        <v/>
      </c>
      <c r="J248" s="1">
        <f t="shared" si="36"/>
        <v>0.6333333333333333</v>
      </c>
      <c r="K248" s="1" t="str">
        <f t="shared" si="37"/>
        <v/>
      </c>
      <c r="L248" s="1" t="str">
        <f t="shared" si="38"/>
        <v/>
      </c>
    </row>
    <row r="249" spans="1:12">
      <c r="A249" t="s">
        <v>71</v>
      </c>
      <c r="B249">
        <v>10</v>
      </c>
      <c r="C249" t="str">
        <f t="shared" si="32"/>
        <v>test.GeoEngine_10_</v>
      </c>
      <c r="D249">
        <v>14</v>
      </c>
      <c r="E249">
        <v>0.6333333333333333</v>
      </c>
      <c r="F249">
        <v>0.73108265424912688</v>
      </c>
      <c r="G249" s="1" t="str">
        <f t="shared" si="33"/>
        <v/>
      </c>
      <c r="H249" s="1" t="str">
        <f t="shared" si="34"/>
        <v/>
      </c>
      <c r="I249" s="1" t="str">
        <f t="shared" si="35"/>
        <v/>
      </c>
      <c r="J249" s="1">
        <f t="shared" si="36"/>
        <v>0.6333333333333333</v>
      </c>
      <c r="K249" s="1" t="str">
        <f t="shared" si="37"/>
        <v/>
      </c>
      <c r="L249" s="1" t="str">
        <f t="shared" si="38"/>
        <v/>
      </c>
    </row>
    <row r="250" spans="1:12">
      <c r="A250" t="s">
        <v>71</v>
      </c>
      <c r="B250">
        <v>10</v>
      </c>
      <c r="C250" t="str">
        <f t="shared" si="32"/>
        <v>test.GeoEngine_10_</v>
      </c>
      <c r="D250">
        <v>15</v>
      </c>
      <c r="E250">
        <v>0.66666666666666663</v>
      </c>
      <c r="F250">
        <v>0.74505238649592553</v>
      </c>
      <c r="G250" s="1" t="str">
        <f t="shared" si="33"/>
        <v/>
      </c>
      <c r="H250" s="1" t="str">
        <f t="shared" si="34"/>
        <v/>
      </c>
      <c r="I250" s="1" t="str">
        <f t="shared" si="35"/>
        <v/>
      </c>
      <c r="J250" s="1">
        <f t="shared" si="36"/>
        <v>0.66666666666666663</v>
      </c>
      <c r="K250" s="1" t="str">
        <f t="shared" si="37"/>
        <v/>
      </c>
      <c r="L250" s="1" t="str">
        <f t="shared" si="38"/>
        <v/>
      </c>
    </row>
    <row r="251" spans="1:12">
      <c r="A251" t="s">
        <v>71</v>
      </c>
      <c r="B251">
        <v>10</v>
      </c>
      <c r="C251" t="str">
        <f t="shared" si="32"/>
        <v>test.GeoEngine_10_</v>
      </c>
      <c r="D251">
        <v>16</v>
      </c>
      <c r="E251">
        <v>0.8</v>
      </c>
      <c r="F251">
        <v>0.7660069848661234</v>
      </c>
      <c r="G251" s="1" t="str">
        <f t="shared" si="33"/>
        <v/>
      </c>
      <c r="H251" s="1" t="str">
        <f t="shared" si="34"/>
        <v/>
      </c>
      <c r="I251" s="1" t="str">
        <f t="shared" si="35"/>
        <v/>
      </c>
      <c r="J251" s="1">
        <f t="shared" si="36"/>
        <v>0.8</v>
      </c>
      <c r="K251" s="1" t="str">
        <f t="shared" si="37"/>
        <v/>
      </c>
      <c r="L251" s="1" t="str">
        <f t="shared" si="38"/>
        <v/>
      </c>
    </row>
    <row r="252" spans="1:12">
      <c r="A252" t="s">
        <v>71</v>
      </c>
      <c r="B252">
        <v>10</v>
      </c>
      <c r="C252" t="str">
        <f t="shared" si="32"/>
        <v>test.GeoEngine_10_</v>
      </c>
      <c r="D252">
        <v>1</v>
      </c>
      <c r="E252">
        <v>0.8</v>
      </c>
      <c r="F252">
        <v>0.81024447031431901</v>
      </c>
      <c r="G252" s="1" t="str">
        <f t="shared" si="33"/>
        <v/>
      </c>
      <c r="H252" s="1" t="str">
        <f t="shared" si="34"/>
        <v/>
      </c>
      <c r="I252" s="1" t="str">
        <f t="shared" si="35"/>
        <v/>
      </c>
      <c r="J252" s="1" t="str">
        <f t="shared" si="36"/>
        <v/>
      </c>
      <c r="K252" s="1">
        <f t="shared" si="37"/>
        <v>0.8</v>
      </c>
      <c r="L252" s="1" t="str">
        <f t="shared" si="38"/>
        <v/>
      </c>
    </row>
    <row r="253" spans="1:12">
      <c r="A253" t="s">
        <v>71</v>
      </c>
      <c r="B253">
        <v>10</v>
      </c>
      <c r="C253" t="str">
        <f t="shared" si="32"/>
        <v>test.GeoEngine_10_</v>
      </c>
      <c r="D253">
        <v>2</v>
      </c>
      <c r="E253">
        <v>0.8</v>
      </c>
      <c r="F253">
        <v>0.81490104772991856</v>
      </c>
      <c r="G253" s="1" t="str">
        <f t="shared" si="33"/>
        <v/>
      </c>
      <c r="H253" s="1" t="str">
        <f t="shared" si="34"/>
        <v/>
      </c>
      <c r="I253" s="1" t="str">
        <f t="shared" si="35"/>
        <v/>
      </c>
      <c r="J253" s="1" t="str">
        <f t="shared" si="36"/>
        <v/>
      </c>
      <c r="K253" s="1">
        <f t="shared" si="37"/>
        <v>0.8</v>
      </c>
      <c r="L253" s="1" t="str">
        <f t="shared" si="38"/>
        <v/>
      </c>
    </row>
    <row r="254" spans="1:12">
      <c r="A254" t="s">
        <v>71</v>
      </c>
      <c r="B254">
        <v>10</v>
      </c>
      <c r="C254" t="str">
        <f t="shared" si="32"/>
        <v>test.GeoEngine_10_</v>
      </c>
      <c r="D254">
        <v>3</v>
      </c>
      <c r="E254">
        <v>0.83333333333333337</v>
      </c>
      <c r="F254">
        <v>0.81839348079161811</v>
      </c>
      <c r="G254" s="1" t="str">
        <f t="shared" si="33"/>
        <v/>
      </c>
      <c r="H254" s="1" t="str">
        <f t="shared" si="34"/>
        <v/>
      </c>
      <c r="I254" s="1" t="str">
        <f t="shared" si="35"/>
        <v/>
      </c>
      <c r="J254" s="1" t="str">
        <f t="shared" si="36"/>
        <v/>
      </c>
      <c r="K254" s="1">
        <f t="shared" si="37"/>
        <v>0.83333333333333337</v>
      </c>
      <c r="L254" s="1" t="str">
        <f t="shared" si="38"/>
        <v/>
      </c>
    </row>
    <row r="255" spans="1:12">
      <c r="A255" t="s">
        <v>71</v>
      </c>
      <c r="B255">
        <v>10</v>
      </c>
      <c r="C255" t="str">
        <f t="shared" si="32"/>
        <v>test.GeoEngine_10_</v>
      </c>
      <c r="D255">
        <v>1</v>
      </c>
      <c r="E255">
        <v>0.96666666666666667</v>
      </c>
      <c r="F255">
        <v>0.8288707799767171</v>
      </c>
      <c r="G255" s="1" t="str">
        <f t="shared" si="33"/>
        <v/>
      </c>
      <c r="H255" s="1" t="str">
        <f t="shared" si="34"/>
        <v/>
      </c>
      <c r="I255" s="1" t="str">
        <f t="shared" si="35"/>
        <v/>
      </c>
      <c r="J255" s="1" t="str">
        <f t="shared" si="36"/>
        <v/>
      </c>
      <c r="K255" s="1">
        <f t="shared" si="37"/>
        <v>0.96666666666666667</v>
      </c>
      <c r="L255" s="1" t="str">
        <f t="shared" si="38"/>
        <v/>
      </c>
    </row>
    <row r="256" spans="1:12">
      <c r="A256" t="s">
        <v>71</v>
      </c>
      <c r="B256">
        <v>10</v>
      </c>
      <c r="C256" t="str">
        <f t="shared" si="32"/>
        <v>test.GeoEngine_10_</v>
      </c>
      <c r="D256">
        <v>2</v>
      </c>
      <c r="E256">
        <v>1</v>
      </c>
      <c r="F256">
        <v>0.86263096623981372</v>
      </c>
      <c r="G256" s="1" t="str">
        <f t="shared" si="33"/>
        <v/>
      </c>
      <c r="H256" s="1" t="str">
        <f t="shared" si="34"/>
        <v/>
      </c>
      <c r="I256" s="1" t="str">
        <f t="shared" si="35"/>
        <v/>
      </c>
      <c r="J256" s="1" t="str">
        <f t="shared" si="36"/>
        <v/>
      </c>
      <c r="K256" s="1">
        <f t="shared" si="37"/>
        <v>1</v>
      </c>
      <c r="L256" s="1" t="str">
        <f t="shared" si="38"/>
        <v/>
      </c>
    </row>
    <row r="257" spans="1:12">
      <c r="A257" t="s">
        <v>71</v>
      </c>
      <c r="B257">
        <v>10</v>
      </c>
      <c r="C257" t="str">
        <f t="shared" si="32"/>
        <v>test.GeoEngine_10_</v>
      </c>
      <c r="D257">
        <v>3</v>
      </c>
      <c r="E257">
        <v>1</v>
      </c>
      <c r="F257">
        <v>0.8649592549476135</v>
      </c>
      <c r="G257" s="1" t="str">
        <f t="shared" si="33"/>
        <v/>
      </c>
      <c r="H257" s="1" t="str">
        <f t="shared" si="34"/>
        <v/>
      </c>
      <c r="I257" s="1" t="str">
        <f t="shared" si="35"/>
        <v/>
      </c>
      <c r="J257" s="1" t="str">
        <f t="shared" si="36"/>
        <v/>
      </c>
      <c r="K257" s="1">
        <f t="shared" si="37"/>
        <v>1</v>
      </c>
      <c r="L257" s="1" t="str">
        <f t="shared" si="38"/>
        <v/>
      </c>
    </row>
    <row r="258" spans="1:12">
      <c r="A258" t="s">
        <v>71</v>
      </c>
      <c r="B258">
        <v>10</v>
      </c>
      <c r="C258" t="str">
        <f t="shared" si="32"/>
        <v>test.GeoEngine_10_</v>
      </c>
      <c r="D258">
        <v>4</v>
      </c>
      <c r="E258">
        <v>1</v>
      </c>
      <c r="F258">
        <v>0.86728754365541327</v>
      </c>
      <c r="G258" s="1" t="str">
        <f t="shared" si="33"/>
        <v/>
      </c>
      <c r="H258" s="1" t="str">
        <f t="shared" si="34"/>
        <v/>
      </c>
      <c r="I258" s="1" t="str">
        <f t="shared" si="35"/>
        <v/>
      </c>
      <c r="J258" s="1" t="str">
        <f t="shared" si="36"/>
        <v/>
      </c>
      <c r="K258" s="1">
        <f t="shared" si="37"/>
        <v>1</v>
      </c>
      <c r="L258" s="1" t="str">
        <f t="shared" si="38"/>
        <v/>
      </c>
    </row>
    <row r="259" spans="1:12">
      <c r="A259" t="s">
        <v>71</v>
      </c>
      <c r="B259">
        <v>10</v>
      </c>
      <c r="C259" t="str">
        <f t="shared" ref="C259:C322" si="39">CONCATENATE(A259, "_",B259,"_")</f>
        <v>test.GeoEngine_10_</v>
      </c>
      <c r="D259">
        <v>5</v>
      </c>
      <c r="E259">
        <v>1</v>
      </c>
      <c r="F259">
        <v>0.87077997671711294</v>
      </c>
      <c r="G259" s="1" t="str">
        <f t="shared" ref="G259:G322" si="40">IF($F259 &lt;= 0.2,$E259,"")</f>
        <v/>
      </c>
      <c r="H259" s="1" t="str">
        <f t="shared" ref="H259:H322" si="41">IF(AND($F259 &gt; 0.2,$F259 &lt;= 0.4),$E259,"")</f>
        <v/>
      </c>
      <c r="I259" s="1" t="str">
        <f t="shared" ref="I259:I322" si="42">IF(AND($F259 &gt; 0.4,$F259 &lt;= 0.6),$E259,"")</f>
        <v/>
      </c>
      <c r="J259" s="1" t="str">
        <f t="shared" ref="J259:J322" si="43">IF(AND($F259 &gt; 0.6,$F259 &lt;= 0.8),$E259,"")</f>
        <v/>
      </c>
      <c r="K259" s="1">
        <f t="shared" ref="K259:K322" si="44">IF(AND($F259 &gt; 0.8, $F259 &lt;=1.1),$E259,"")</f>
        <v>1</v>
      </c>
      <c r="L259" s="1" t="str">
        <f t="shared" ref="L259:L322" si="45">IF(AND($F259 &gt; 1.1),$E259,"")</f>
        <v/>
      </c>
    </row>
    <row r="260" spans="1:12">
      <c r="A260" t="s">
        <v>71</v>
      </c>
      <c r="B260">
        <v>10</v>
      </c>
      <c r="C260" t="str">
        <f t="shared" si="39"/>
        <v>test.GeoEngine_10_</v>
      </c>
      <c r="D260">
        <v>6</v>
      </c>
      <c r="E260">
        <v>1</v>
      </c>
      <c r="F260">
        <v>0.88591385331781136</v>
      </c>
      <c r="G260" s="1" t="str">
        <f t="shared" si="40"/>
        <v/>
      </c>
      <c r="H260" s="1" t="str">
        <f t="shared" si="41"/>
        <v/>
      </c>
      <c r="I260" s="1" t="str">
        <f t="shared" si="42"/>
        <v/>
      </c>
      <c r="J260" s="1" t="str">
        <f t="shared" si="43"/>
        <v/>
      </c>
      <c r="K260" s="1">
        <f t="shared" si="44"/>
        <v>1</v>
      </c>
      <c r="L260" s="1" t="str">
        <f t="shared" si="45"/>
        <v/>
      </c>
    </row>
    <row r="261" spans="1:12">
      <c r="A261" t="s">
        <v>71</v>
      </c>
      <c r="B261">
        <v>10</v>
      </c>
      <c r="C261" t="str">
        <f t="shared" si="39"/>
        <v>test.GeoEngine_10_</v>
      </c>
      <c r="D261">
        <v>7</v>
      </c>
      <c r="E261">
        <v>1</v>
      </c>
      <c r="F261">
        <v>0.88707799767171125</v>
      </c>
      <c r="G261" s="1" t="str">
        <f t="shared" si="40"/>
        <v/>
      </c>
      <c r="H261" s="1" t="str">
        <f t="shared" si="41"/>
        <v/>
      </c>
      <c r="I261" s="1" t="str">
        <f t="shared" si="42"/>
        <v/>
      </c>
      <c r="J261" s="1" t="str">
        <f t="shared" si="43"/>
        <v/>
      </c>
      <c r="K261" s="1">
        <f t="shared" si="44"/>
        <v>1</v>
      </c>
      <c r="L261" s="1" t="str">
        <f t="shared" si="45"/>
        <v/>
      </c>
    </row>
    <row r="262" spans="1:12">
      <c r="A262" t="s">
        <v>71</v>
      </c>
      <c r="B262">
        <v>10</v>
      </c>
      <c r="C262" t="str">
        <f t="shared" si="39"/>
        <v>test.GeoEngine_10_</v>
      </c>
      <c r="D262">
        <v>8</v>
      </c>
      <c r="E262">
        <v>1</v>
      </c>
      <c r="F262">
        <v>0.89406286379511057</v>
      </c>
      <c r="G262" s="1" t="str">
        <f t="shared" si="40"/>
        <v/>
      </c>
      <c r="H262" s="1" t="str">
        <f t="shared" si="41"/>
        <v/>
      </c>
      <c r="I262" s="1" t="str">
        <f t="shared" si="42"/>
        <v/>
      </c>
      <c r="J262" s="1" t="str">
        <f t="shared" si="43"/>
        <v/>
      </c>
      <c r="K262" s="1">
        <f t="shared" si="44"/>
        <v>1</v>
      </c>
      <c r="L262" s="1" t="str">
        <f t="shared" si="45"/>
        <v/>
      </c>
    </row>
    <row r="263" spans="1:12">
      <c r="A263" t="s">
        <v>71</v>
      </c>
      <c r="B263">
        <v>10</v>
      </c>
      <c r="C263" t="str">
        <f t="shared" si="39"/>
        <v>test.GeoEngine_10_</v>
      </c>
      <c r="D263">
        <v>9</v>
      </c>
      <c r="E263">
        <v>1</v>
      </c>
      <c r="F263">
        <v>0.91734575087310821</v>
      </c>
      <c r="G263" s="1" t="str">
        <f t="shared" si="40"/>
        <v/>
      </c>
      <c r="H263" s="1" t="str">
        <f t="shared" si="41"/>
        <v/>
      </c>
      <c r="I263" s="1" t="str">
        <f t="shared" si="42"/>
        <v/>
      </c>
      <c r="J263" s="1" t="str">
        <f t="shared" si="43"/>
        <v/>
      </c>
      <c r="K263" s="1">
        <f t="shared" si="44"/>
        <v>1</v>
      </c>
      <c r="L263" s="1" t="str">
        <f t="shared" si="45"/>
        <v/>
      </c>
    </row>
    <row r="264" spans="1:12">
      <c r="A264" t="s">
        <v>71</v>
      </c>
      <c r="B264">
        <v>10</v>
      </c>
      <c r="C264" t="str">
        <f t="shared" si="39"/>
        <v>test.GeoEngine_10_</v>
      </c>
      <c r="D264">
        <v>1</v>
      </c>
      <c r="E264">
        <v>1</v>
      </c>
      <c r="F264">
        <v>0.94062863795110596</v>
      </c>
      <c r="G264" s="1" t="str">
        <f t="shared" si="40"/>
        <v/>
      </c>
      <c r="H264" s="1" t="str">
        <f t="shared" si="41"/>
        <v/>
      </c>
      <c r="I264" s="1" t="str">
        <f t="shared" si="42"/>
        <v/>
      </c>
      <c r="J264" s="1" t="str">
        <f t="shared" si="43"/>
        <v/>
      </c>
      <c r="K264" s="1">
        <f t="shared" si="44"/>
        <v>1</v>
      </c>
      <c r="L264" s="1" t="str">
        <f t="shared" si="45"/>
        <v/>
      </c>
    </row>
    <row r="265" spans="1:12">
      <c r="A265" t="s">
        <v>71</v>
      </c>
      <c r="B265">
        <v>10</v>
      </c>
      <c r="C265" t="str">
        <f t="shared" si="39"/>
        <v>test.GeoEngine_10_</v>
      </c>
      <c r="D265">
        <v>2</v>
      </c>
      <c r="E265">
        <v>1</v>
      </c>
      <c r="F265">
        <v>0.95110593713620484</v>
      </c>
      <c r="G265" s="1" t="str">
        <f t="shared" si="40"/>
        <v/>
      </c>
      <c r="H265" s="1" t="str">
        <f t="shared" si="41"/>
        <v/>
      </c>
      <c r="I265" s="1" t="str">
        <f t="shared" si="42"/>
        <v/>
      </c>
      <c r="J265" s="1" t="str">
        <f t="shared" si="43"/>
        <v/>
      </c>
      <c r="K265" s="1">
        <f t="shared" si="44"/>
        <v>1</v>
      </c>
      <c r="L265" s="1" t="str">
        <f t="shared" si="45"/>
        <v/>
      </c>
    </row>
    <row r="266" spans="1:12">
      <c r="A266" t="s">
        <v>71</v>
      </c>
      <c r="B266">
        <v>10</v>
      </c>
      <c r="C266" t="str">
        <f t="shared" si="39"/>
        <v>test.GeoEngine_10_</v>
      </c>
      <c r="D266">
        <v>1</v>
      </c>
      <c r="E266">
        <v>1</v>
      </c>
      <c r="F266">
        <v>0.9545983701979045</v>
      </c>
      <c r="G266" s="1" t="str">
        <f t="shared" si="40"/>
        <v/>
      </c>
      <c r="H266" s="1" t="str">
        <f t="shared" si="41"/>
        <v/>
      </c>
      <c r="I266" s="1" t="str">
        <f t="shared" si="42"/>
        <v/>
      </c>
      <c r="J266" s="1" t="str">
        <f t="shared" si="43"/>
        <v/>
      </c>
      <c r="K266" s="1">
        <f t="shared" si="44"/>
        <v>1</v>
      </c>
      <c r="L266" s="1" t="str">
        <f t="shared" si="45"/>
        <v/>
      </c>
    </row>
    <row r="267" spans="1:12">
      <c r="A267" t="s">
        <v>71</v>
      </c>
      <c r="B267">
        <v>10</v>
      </c>
      <c r="C267" t="str">
        <f t="shared" si="39"/>
        <v>test.GeoEngine_10_</v>
      </c>
      <c r="D267">
        <v>2</v>
      </c>
      <c r="E267">
        <v>1</v>
      </c>
      <c r="F267">
        <v>0.95576251455180439</v>
      </c>
      <c r="G267" s="1" t="str">
        <f t="shared" si="40"/>
        <v/>
      </c>
      <c r="H267" s="1" t="str">
        <f t="shared" si="41"/>
        <v/>
      </c>
      <c r="I267" s="1" t="str">
        <f t="shared" si="42"/>
        <v/>
      </c>
      <c r="J267" s="1" t="str">
        <f t="shared" si="43"/>
        <v/>
      </c>
      <c r="K267" s="1">
        <f t="shared" si="44"/>
        <v>1</v>
      </c>
      <c r="L267" s="1" t="str">
        <f t="shared" si="45"/>
        <v/>
      </c>
    </row>
    <row r="268" spans="1:12">
      <c r="A268" t="s">
        <v>71</v>
      </c>
      <c r="B268">
        <v>10</v>
      </c>
      <c r="C268" t="str">
        <f t="shared" si="39"/>
        <v>test.GeoEngine_10_</v>
      </c>
      <c r="D268">
        <v>3</v>
      </c>
      <c r="E268">
        <v>1</v>
      </c>
      <c r="F268">
        <v>0.95692665890570427</v>
      </c>
      <c r="G268" s="1" t="str">
        <f t="shared" si="40"/>
        <v/>
      </c>
      <c r="H268" s="1" t="str">
        <f t="shared" si="41"/>
        <v/>
      </c>
      <c r="I268" s="1" t="str">
        <f t="shared" si="42"/>
        <v/>
      </c>
      <c r="J268" s="1" t="str">
        <f t="shared" si="43"/>
        <v/>
      </c>
      <c r="K268" s="1">
        <f t="shared" si="44"/>
        <v>1</v>
      </c>
      <c r="L268" s="1" t="str">
        <f t="shared" si="45"/>
        <v/>
      </c>
    </row>
    <row r="269" spans="1:12">
      <c r="A269" t="s">
        <v>71</v>
      </c>
      <c r="B269">
        <v>10</v>
      </c>
      <c r="C269" t="str">
        <f t="shared" si="39"/>
        <v>test.GeoEngine_10_</v>
      </c>
      <c r="D269">
        <v>4</v>
      </c>
      <c r="E269">
        <v>1</v>
      </c>
      <c r="F269">
        <v>0.95809080325960416</v>
      </c>
      <c r="G269" s="1" t="str">
        <f t="shared" si="40"/>
        <v/>
      </c>
      <c r="H269" s="1" t="str">
        <f t="shared" si="41"/>
        <v/>
      </c>
      <c r="I269" s="1" t="str">
        <f t="shared" si="42"/>
        <v/>
      </c>
      <c r="J269" s="1" t="str">
        <f t="shared" si="43"/>
        <v/>
      </c>
      <c r="K269" s="1">
        <f t="shared" si="44"/>
        <v>1</v>
      </c>
      <c r="L269" s="1" t="str">
        <f t="shared" si="45"/>
        <v/>
      </c>
    </row>
    <row r="270" spans="1:12">
      <c r="A270" t="s">
        <v>71</v>
      </c>
      <c r="B270">
        <v>10</v>
      </c>
      <c r="C270" t="str">
        <f t="shared" si="39"/>
        <v>test.GeoEngine_10_</v>
      </c>
      <c r="D270">
        <v>5</v>
      </c>
      <c r="E270">
        <v>1</v>
      </c>
      <c r="F270">
        <v>0.96041909196740394</v>
      </c>
      <c r="G270" s="1" t="str">
        <f t="shared" si="40"/>
        <v/>
      </c>
      <c r="H270" s="1" t="str">
        <f t="shared" si="41"/>
        <v/>
      </c>
      <c r="I270" s="1" t="str">
        <f t="shared" si="42"/>
        <v/>
      </c>
      <c r="J270" s="1" t="str">
        <f t="shared" si="43"/>
        <v/>
      </c>
      <c r="K270" s="1">
        <f t="shared" si="44"/>
        <v>1</v>
      </c>
      <c r="L270" s="1" t="str">
        <f t="shared" si="45"/>
        <v/>
      </c>
    </row>
    <row r="271" spans="1:12">
      <c r="A271" t="s">
        <v>71</v>
      </c>
      <c r="B271">
        <v>10</v>
      </c>
      <c r="C271" t="str">
        <f t="shared" si="39"/>
        <v>test.GeoEngine_10_</v>
      </c>
      <c r="D271">
        <v>6</v>
      </c>
      <c r="E271">
        <v>1</v>
      </c>
      <c r="F271">
        <v>0.97555296856810247</v>
      </c>
      <c r="G271" s="1" t="str">
        <f t="shared" si="40"/>
        <v/>
      </c>
      <c r="H271" s="1" t="str">
        <f t="shared" si="41"/>
        <v/>
      </c>
      <c r="I271" s="1" t="str">
        <f t="shared" si="42"/>
        <v/>
      </c>
      <c r="J271" s="1" t="str">
        <f t="shared" si="43"/>
        <v/>
      </c>
      <c r="K271" s="1">
        <f t="shared" si="44"/>
        <v>1</v>
      </c>
      <c r="L271" s="1" t="str">
        <f t="shared" si="45"/>
        <v/>
      </c>
    </row>
    <row r="272" spans="1:12">
      <c r="A272" t="s">
        <v>71</v>
      </c>
      <c r="B272">
        <v>10</v>
      </c>
      <c r="C272" t="str">
        <f t="shared" si="39"/>
        <v>test.GeoEngine_10_</v>
      </c>
      <c r="D272">
        <v>7</v>
      </c>
      <c r="E272">
        <v>1</v>
      </c>
      <c r="F272">
        <v>0.98835855646100113</v>
      </c>
      <c r="G272" s="1" t="str">
        <f t="shared" si="40"/>
        <v/>
      </c>
      <c r="H272" s="1" t="str">
        <f t="shared" si="41"/>
        <v/>
      </c>
      <c r="I272" s="1" t="str">
        <f t="shared" si="42"/>
        <v/>
      </c>
      <c r="J272" s="1" t="str">
        <f t="shared" si="43"/>
        <v/>
      </c>
      <c r="K272" s="1">
        <f t="shared" si="44"/>
        <v>1</v>
      </c>
      <c r="L272" s="1" t="str">
        <f t="shared" si="45"/>
        <v/>
      </c>
    </row>
    <row r="273" spans="1:12">
      <c r="A273" t="s">
        <v>71</v>
      </c>
      <c r="B273">
        <v>10</v>
      </c>
      <c r="C273" t="str">
        <f t="shared" si="39"/>
        <v>test.GeoEngine_10_</v>
      </c>
      <c r="D273">
        <v>1</v>
      </c>
      <c r="E273">
        <v>1</v>
      </c>
      <c r="F273">
        <v>1.0058207217694994</v>
      </c>
      <c r="G273" s="1" t="str">
        <f t="shared" si="40"/>
        <v/>
      </c>
      <c r="H273" s="1" t="str">
        <f t="shared" si="41"/>
        <v/>
      </c>
      <c r="I273" s="1" t="str">
        <f t="shared" si="42"/>
        <v/>
      </c>
      <c r="J273" s="1" t="str">
        <f t="shared" si="43"/>
        <v/>
      </c>
      <c r="K273" s="1">
        <f t="shared" si="44"/>
        <v>1</v>
      </c>
      <c r="L273" s="1" t="str">
        <f t="shared" si="45"/>
        <v/>
      </c>
    </row>
    <row r="274" spans="1:12">
      <c r="A274" t="s">
        <v>71</v>
      </c>
      <c r="B274">
        <v>10</v>
      </c>
      <c r="C274" t="str">
        <f t="shared" si="39"/>
        <v>test.GeoEngine_10_</v>
      </c>
      <c r="D274">
        <v>2</v>
      </c>
      <c r="E274">
        <v>1</v>
      </c>
      <c r="F274">
        <v>1.0139697322467986</v>
      </c>
      <c r="G274" s="1" t="str">
        <f t="shared" si="40"/>
        <v/>
      </c>
      <c r="H274" s="1" t="str">
        <f t="shared" si="41"/>
        <v/>
      </c>
      <c r="I274" s="1" t="str">
        <f t="shared" si="42"/>
        <v/>
      </c>
      <c r="J274" s="1" t="str">
        <f t="shared" si="43"/>
        <v/>
      </c>
      <c r="K274" s="1">
        <f t="shared" si="44"/>
        <v>1</v>
      </c>
      <c r="L274" s="1" t="str">
        <f t="shared" si="45"/>
        <v/>
      </c>
    </row>
    <row r="275" spans="1:12">
      <c r="A275" t="s">
        <v>71</v>
      </c>
      <c r="B275">
        <v>10</v>
      </c>
      <c r="C275" t="str">
        <f t="shared" si="39"/>
        <v>test.GeoEngine_10_</v>
      </c>
      <c r="D275">
        <v>3</v>
      </c>
      <c r="E275">
        <v>1</v>
      </c>
      <c r="F275">
        <v>1.0465657741559953</v>
      </c>
      <c r="G275" s="1" t="str">
        <f t="shared" si="40"/>
        <v/>
      </c>
      <c r="H275" s="1" t="str">
        <f t="shared" si="41"/>
        <v/>
      </c>
      <c r="I275" s="1" t="str">
        <f t="shared" si="42"/>
        <v/>
      </c>
      <c r="J275" s="1" t="str">
        <f t="shared" si="43"/>
        <v/>
      </c>
      <c r="K275" s="1">
        <f t="shared" si="44"/>
        <v>1</v>
      </c>
      <c r="L275" s="1" t="str">
        <f t="shared" si="45"/>
        <v/>
      </c>
    </row>
    <row r="276" spans="1:12">
      <c r="A276" t="s">
        <v>112</v>
      </c>
      <c r="B276">
        <v>3</v>
      </c>
      <c r="C276" t="str">
        <f t="shared" si="39"/>
        <v>test.FastBlurFilter_3_</v>
      </c>
      <c r="D276">
        <v>1</v>
      </c>
      <c r="E276">
        <v>0.93525179856115104</v>
      </c>
      <c r="F276">
        <v>0.96707300914270566</v>
      </c>
      <c r="G276" s="1" t="str">
        <f t="shared" si="40"/>
        <v/>
      </c>
      <c r="H276" s="1" t="str">
        <f t="shared" si="41"/>
        <v/>
      </c>
      <c r="I276" s="1" t="str">
        <f t="shared" si="42"/>
        <v/>
      </c>
      <c r="J276" s="1" t="str">
        <f t="shared" si="43"/>
        <v/>
      </c>
      <c r="K276" s="1">
        <f t="shared" si="44"/>
        <v>0.93525179856115104</v>
      </c>
      <c r="L276" s="1" t="str">
        <f t="shared" si="45"/>
        <v/>
      </c>
    </row>
    <row r="277" spans="1:12">
      <c r="A277" t="s">
        <v>112</v>
      </c>
      <c r="B277">
        <v>3</v>
      </c>
      <c r="C277" t="str">
        <f t="shared" si="39"/>
        <v>test.FastBlurFilter_3_</v>
      </c>
      <c r="D277">
        <v>2</v>
      </c>
      <c r="E277">
        <v>1</v>
      </c>
      <c r="F277">
        <v>0.98254273221147481</v>
      </c>
      <c r="G277" s="1" t="str">
        <f t="shared" si="40"/>
        <v/>
      </c>
      <c r="H277" s="1" t="str">
        <f t="shared" si="41"/>
        <v/>
      </c>
      <c r="I277" s="1" t="str">
        <f t="shared" si="42"/>
        <v/>
      </c>
      <c r="J277" s="1" t="str">
        <f t="shared" si="43"/>
        <v/>
      </c>
      <c r="K277" s="1">
        <f t="shared" si="44"/>
        <v>1</v>
      </c>
      <c r="L277" s="1" t="str">
        <f t="shared" si="45"/>
        <v/>
      </c>
    </row>
    <row r="278" spans="1:12">
      <c r="A278" t="s">
        <v>303</v>
      </c>
      <c r="B278">
        <v>2</v>
      </c>
      <c r="C278" t="str">
        <f t="shared" si="39"/>
        <v>test.InfTree_2_</v>
      </c>
      <c r="D278">
        <v>3</v>
      </c>
      <c r="E278">
        <v>5.4166666666666669E-2</v>
      </c>
      <c r="F278">
        <v>3.4873285183127482E-2</v>
      </c>
      <c r="G278" s="1">
        <f t="shared" si="40"/>
        <v>5.4166666666666669E-2</v>
      </c>
      <c r="H278" s="1" t="str">
        <f t="shared" si="41"/>
        <v/>
      </c>
      <c r="I278" s="1" t="str">
        <f t="shared" si="42"/>
        <v/>
      </c>
      <c r="J278" s="1" t="str">
        <f t="shared" si="43"/>
        <v/>
      </c>
      <c r="K278" s="1" t="str">
        <f t="shared" si="44"/>
        <v/>
      </c>
      <c r="L278" s="1" t="str">
        <f t="shared" si="45"/>
        <v/>
      </c>
    </row>
    <row r="279" spans="1:12">
      <c r="A279" t="s">
        <v>303</v>
      </c>
      <c r="B279">
        <v>2</v>
      </c>
      <c r="C279" t="str">
        <f t="shared" si="39"/>
        <v>test.InfTree_2_</v>
      </c>
      <c r="D279">
        <v>4</v>
      </c>
      <c r="E279">
        <v>0.24166666666666667</v>
      </c>
      <c r="F279">
        <v>6.7609726911406473E-2</v>
      </c>
      <c r="G279" s="1">
        <f t="shared" si="40"/>
        <v>0.24166666666666667</v>
      </c>
      <c r="H279" s="1" t="str">
        <f t="shared" si="41"/>
        <v/>
      </c>
      <c r="I279" s="1" t="str">
        <f t="shared" si="42"/>
        <v/>
      </c>
      <c r="J279" s="1" t="str">
        <f t="shared" si="43"/>
        <v/>
      </c>
      <c r="K279" s="1" t="str">
        <f t="shared" si="44"/>
        <v/>
      </c>
      <c r="L279" s="1" t="str">
        <f t="shared" si="45"/>
        <v/>
      </c>
    </row>
    <row r="280" spans="1:12">
      <c r="A280" t="s">
        <v>303</v>
      </c>
      <c r="B280">
        <v>2</v>
      </c>
      <c r="C280" t="str">
        <f t="shared" si="39"/>
        <v>test.InfTree_2_</v>
      </c>
      <c r="D280">
        <v>5</v>
      </c>
      <c r="E280">
        <v>1</v>
      </c>
      <c r="F280">
        <v>1.0462412923629214</v>
      </c>
      <c r="G280" s="1" t="str">
        <f t="shared" si="40"/>
        <v/>
      </c>
      <c r="H280" s="1" t="str">
        <f t="shared" si="41"/>
        <v/>
      </c>
      <c r="I280" s="1" t="str">
        <f t="shared" si="42"/>
        <v/>
      </c>
      <c r="J280" s="1" t="str">
        <f t="shared" si="43"/>
        <v/>
      </c>
      <c r="K280" s="1">
        <f t="shared" si="44"/>
        <v>1</v>
      </c>
      <c r="L280" s="1" t="str">
        <f t="shared" si="45"/>
        <v/>
      </c>
    </row>
    <row r="281" spans="1:12">
      <c r="A281" t="s">
        <v>113</v>
      </c>
      <c r="B281">
        <v>2</v>
      </c>
      <c r="C281" t="str">
        <f t="shared" si="39"/>
        <v>test.ImageData_2_</v>
      </c>
      <c r="D281">
        <v>6</v>
      </c>
      <c r="E281">
        <v>0.25</v>
      </c>
      <c r="F281">
        <v>0.29215976331360949</v>
      </c>
      <c r="G281" s="1" t="str">
        <f t="shared" si="40"/>
        <v/>
      </c>
      <c r="H281" s="1">
        <f t="shared" si="41"/>
        <v>0.25</v>
      </c>
      <c r="I281" s="1" t="str">
        <f t="shared" si="42"/>
        <v/>
      </c>
      <c r="J281" s="1" t="str">
        <f t="shared" si="43"/>
        <v/>
      </c>
      <c r="K281" s="1" t="str">
        <f t="shared" si="44"/>
        <v/>
      </c>
      <c r="L281" s="1" t="str">
        <f t="shared" si="45"/>
        <v/>
      </c>
    </row>
    <row r="282" spans="1:12">
      <c r="A282" t="s">
        <v>113</v>
      </c>
      <c r="B282">
        <v>2</v>
      </c>
      <c r="C282" t="str">
        <f t="shared" si="39"/>
        <v>test.ImageData_2_</v>
      </c>
      <c r="D282">
        <v>1</v>
      </c>
      <c r="E282">
        <v>0.3125</v>
      </c>
      <c r="F282">
        <v>0.29955621301775148</v>
      </c>
      <c r="G282" s="1" t="str">
        <f t="shared" si="40"/>
        <v/>
      </c>
      <c r="H282" s="1">
        <f t="shared" si="41"/>
        <v>0.3125</v>
      </c>
      <c r="I282" s="1" t="str">
        <f t="shared" si="42"/>
        <v/>
      </c>
      <c r="J282" s="1" t="str">
        <f t="shared" si="43"/>
        <v/>
      </c>
      <c r="K282" s="1" t="str">
        <f t="shared" si="44"/>
        <v/>
      </c>
      <c r="L282" s="1" t="str">
        <f t="shared" si="45"/>
        <v/>
      </c>
    </row>
    <row r="283" spans="1:12">
      <c r="A283" t="s">
        <v>113</v>
      </c>
      <c r="B283">
        <v>2</v>
      </c>
      <c r="C283" t="str">
        <f t="shared" si="39"/>
        <v>test.ImageData_2_</v>
      </c>
      <c r="D283">
        <v>2</v>
      </c>
      <c r="E283">
        <v>0.42857142857142855</v>
      </c>
      <c r="F283">
        <v>0.31213017751479288</v>
      </c>
      <c r="G283" s="1" t="str">
        <f t="shared" si="40"/>
        <v/>
      </c>
      <c r="H283" s="1">
        <f t="shared" si="41"/>
        <v>0.42857142857142855</v>
      </c>
      <c r="I283" s="1" t="str">
        <f t="shared" si="42"/>
        <v/>
      </c>
      <c r="J283" s="1" t="str">
        <f t="shared" si="43"/>
        <v/>
      </c>
      <c r="K283" s="1" t="str">
        <f t="shared" si="44"/>
        <v/>
      </c>
      <c r="L283" s="1" t="str">
        <f t="shared" si="45"/>
        <v/>
      </c>
    </row>
    <row r="284" spans="1:12">
      <c r="A284" t="s">
        <v>113</v>
      </c>
      <c r="B284">
        <v>2</v>
      </c>
      <c r="C284" t="str">
        <f t="shared" si="39"/>
        <v>test.ImageData_2_</v>
      </c>
      <c r="D284">
        <v>3</v>
      </c>
      <c r="E284">
        <v>0.5267857142857143</v>
      </c>
      <c r="F284">
        <v>0.33099112426035504</v>
      </c>
      <c r="G284" s="1" t="str">
        <f t="shared" si="40"/>
        <v/>
      </c>
      <c r="H284" s="1">
        <f t="shared" si="41"/>
        <v>0.5267857142857143</v>
      </c>
      <c r="I284" s="1" t="str">
        <f t="shared" si="42"/>
        <v/>
      </c>
      <c r="J284" s="1" t="str">
        <f t="shared" si="43"/>
        <v/>
      </c>
      <c r="K284" s="1" t="str">
        <f t="shared" si="44"/>
        <v/>
      </c>
      <c r="L284" s="1" t="str">
        <f t="shared" si="45"/>
        <v/>
      </c>
    </row>
    <row r="285" spans="1:12">
      <c r="A285" t="s">
        <v>113</v>
      </c>
      <c r="B285">
        <v>2</v>
      </c>
      <c r="C285" t="str">
        <f t="shared" si="39"/>
        <v>test.ImageData_2_</v>
      </c>
      <c r="D285">
        <v>4</v>
      </c>
      <c r="E285">
        <v>0.5714285714285714</v>
      </c>
      <c r="F285">
        <v>0.35244082840236685</v>
      </c>
      <c r="G285" s="1" t="str">
        <f t="shared" si="40"/>
        <v/>
      </c>
      <c r="H285" s="1">
        <f t="shared" si="41"/>
        <v>0.5714285714285714</v>
      </c>
      <c r="I285" s="1" t="str">
        <f t="shared" si="42"/>
        <v/>
      </c>
      <c r="J285" s="1" t="str">
        <f t="shared" si="43"/>
        <v/>
      </c>
      <c r="K285" s="1" t="str">
        <f t="shared" si="44"/>
        <v/>
      </c>
      <c r="L285" s="1" t="str">
        <f t="shared" si="45"/>
        <v/>
      </c>
    </row>
    <row r="286" spans="1:12">
      <c r="A286" t="s">
        <v>113</v>
      </c>
      <c r="B286">
        <v>2</v>
      </c>
      <c r="C286" t="str">
        <f t="shared" si="39"/>
        <v>test.ImageData_2_</v>
      </c>
      <c r="D286">
        <v>5</v>
      </c>
      <c r="E286">
        <v>0.6696428571428571</v>
      </c>
      <c r="F286">
        <v>0.3687130177514793</v>
      </c>
      <c r="G286" s="1" t="str">
        <f t="shared" si="40"/>
        <v/>
      </c>
      <c r="H286" s="1">
        <f t="shared" si="41"/>
        <v>0.6696428571428571</v>
      </c>
      <c r="I286" s="1" t="str">
        <f t="shared" si="42"/>
        <v/>
      </c>
      <c r="J286" s="1" t="str">
        <f t="shared" si="43"/>
        <v/>
      </c>
      <c r="K286" s="1" t="str">
        <f t="shared" si="44"/>
        <v/>
      </c>
      <c r="L286" s="1" t="str">
        <f t="shared" si="45"/>
        <v/>
      </c>
    </row>
    <row r="287" spans="1:12">
      <c r="A287" t="s">
        <v>113</v>
      </c>
      <c r="B287">
        <v>2</v>
      </c>
      <c r="C287" t="str">
        <f t="shared" si="39"/>
        <v>test.ImageData_2_</v>
      </c>
      <c r="D287">
        <v>6</v>
      </c>
      <c r="E287">
        <v>0.8125</v>
      </c>
      <c r="F287">
        <v>0.43713017751479288</v>
      </c>
      <c r="G287" s="1" t="str">
        <f t="shared" si="40"/>
        <v/>
      </c>
      <c r="H287" s="1" t="str">
        <f t="shared" si="41"/>
        <v/>
      </c>
      <c r="I287" s="1">
        <f t="shared" si="42"/>
        <v>0.8125</v>
      </c>
      <c r="J287" s="1" t="str">
        <f t="shared" si="43"/>
        <v/>
      </c>
      <c r="K287" s="1" t="str">
        <f t="shared" si="44"/>
        <v/>
      </c>
      <c r="L287" s="1" t="str">
        <f t="shared" si="45"/>
        <v/>
      </c>
    </row>
    <row r="288" spans="1:12">
      <c r="A288" t="s">
        <v>113</v>
      </c>
      <c r="B288">
        <v>2</v>
      </c>
      <c r="C288" t="str">
        <f t="shared" si="39"/>
        <v>test.ImageData_2_</v>
      </c>
      <c r="D288">
        <v>7</v>
      </c>
      <c r="E288">
        <v>1</v>
      </c>
      <c r="F288">
        <v>0.46930473372781067</v>
      </c>
      <c r="G288" s="1" t="str">
        <f t="shared" si="40"/>
        <v/>
      </c>
      <c r="H288" s="1" t="str">
        <f t="shared" si="41"/>
        <v/>
      </c>
      <c r="I288" s="1">
        <f t="shared" si="42"/>
        <v>1</v>
      </c>
      <c r="J288" s="1" t="str">
        <f t="shared" si="43"/>
        <v/>
      </c>
      <c r="K288" s="1" t="str">
        <f t="shared" si="44"/>
        <v/>
      </c>
      <c r="L288" s="1" t="str">
        <f t="shared" si="45"/>
        <v/>
      </c>
    </row>
    <row r="289" spans="1:12">
      <c r="A289" t="s">
        <v>113</v>
      </c>
      <c r="B289">
        <v>3</v>
      </c>
      <c r="C289" t="str">
        <f t="shared" si="39"/>
        <v>test.ImageData_3_</v>
      </c>
      <c r="D289">
        <v>8</v>
      </c>
      <c r="E289">
        <v>0.10857142857142857</v>
      </c>
      <c r="F289">
        <v>7.3088032148687684E-2</v>
      </c>
      <c r="G289" s="1">
        <f t="shared" si="40"/>
        <v>0.10857142857142857</v>
      </c>
      <c r="H289" s="1" t="str">
        <f t="shared" si="41"/>
        <v/>
      </c>
      <c r="I289" s="1" t="str">
        <f t="shared" si="42"/>
        <v/>
      </c>
      <c r="J289" s="1" t="str">
        <f t="shared" si="43"/>
        <v/>
      </c>
      <c r="K289" s="1" t="str">
        <f t="shared" si="44"/>
        <v/>
      </c>
      <c r="L289" s="1" t="str">
        <f t="shared" si="45"/>
        <v/>
      </c>
    </row>
    <row r="290" spans="1:12">
      <c r="A290" t="s">
        <v>113</v>
      </c>
      <c r="B290">
        <v>3</v>
      </c>
      <c r="C290" t="str">
        <f t="shared" si="39"/>
        <v>test.ImageData_3_</v>
      </c>
      <c r="D290">
        <v>9</v>
      </c>
      <c r="E290">
        <v>0.16</v>
      </c>
      <c r="F290">
        <v>0.13123194775838251</v>
      </c>
      <c r="G290" s="1">
        <f t="shared" si="40"/>
        <v>0.16</v>
      </c>
      <c r="H290" s="1" t="str">
        <f t="shared" si="41"/>
        <v/>
      </c>
      <c r="I290" s="1" t="str">
        <f t="shared" si="42"/>
        <v/>
      </c>
      <c r="J290" s="1" t="str">
        <f t="shared" si="43"/>
        <v/>
      </c>
      <c r="K290" s="1" t="str">
        <f t="shared" si="44"/>
        <v/>
      </c>
      <c r="L290" s="1" t="str">
        <f t="shared" si="45"/>
        <v/>
      </c>
    </row>
    <row r="291" spans="1:12">
      <c r="A291" t="s">
        <v>113</v>
      </c>
      <c r="B291">
        <v>3</v>
      </c>
      <c r="C291" t="str">
        <f t="shared" si="39"/>
        <v>test.ImageData_3_</v>
      </c>
      <c r="D291">
        <v>10</v>
      </c>
      <c r="E291">
        <v>0.36</v>
      </c>
      <c r="F291">
        <v>0.22177571267110385</v>
      </c>
      <c r="G291" s="1" t="str">
        <f t="shared" si="40"/>
        <v/>
      </c>
      <c r="H291" s="1">
        <f t="shared" si="41"/>
        <v>0.36</v>
      </c>
      <c r="I291" s="1" t="str">
        <f t="shared" si="42"/>
        <v/>
      </c>
      <c r="J291" s="1" t="str">
        <f t="shared" si="43"/>
        <v/>
      </c>
      <c r="K291" s="1" t="str">
        <f t="shared" si="44"/>
        <v/>
      </c>
      <c r="L291" s="1" t="str">
        <f t="shared" si="45"/>
        <v/>
      </c>
    </row>
    <row r="292" spans="1:12">
      <c r="A292" t="s">
        <v>113</v>
      </c>
      <c r="B292">
        <v>3</v>
      </c>
      <c r="C292" t="str">
        <f t="shared" si="39"/>
        <v>test.ImageData_3_</v>
      </c>
      <c r="D292">
        <v>11</v>
      </c>
      <c r="E292">
        <v>0.56000000000000005</v>
      </c>
      <c r="F292">
        <v>0.23031520783624262</v>
      </c>
      <c r="G292" s="1" t="str">
        <f t="shared" si="40"/>
        <v/>
      </c>
      <c r="H292" s="1">
        <f t="shared" si="41"/>
        <v>0.56000000000000005</v>
      </c>
      <c r="I292" s="1" t="str">
        <f t="shared" si="42"/>
        <v/>
      </c>
      <c r="J292" s="1" t="str">
        <f t="shared" si="43"/>
        <v/>
      </c>
      <c r="K292" s="1" t="str">
        <f t="shared" si="44"/>
        <v/>
      </c>
      <c r="L292" s="1" t="str">
        <f t="shared" si="45"/>
        <v/>
      </c>
    </row>
    <row r="293" spans="1:12">
      <c r="A293" t="s">
        <v>113</v>
      </c>
      <c r="B293">
        <v>3</v>
      </c>
      <c r="C293" t="str">
        <f t="shared" si="39"/>
        <v>test.ImageData_3_</v>
      </c>
      <c r="D293">
        <v>1</v>
      </c>
      <c r="E293">
        <v>0.88571428571428568</v>
      </c>
      <c r="F293">
        <v>0.32789149817907826</v>
      </c>
      <c r="G293" s="1" t="str">
        <f t="shared" si="40"/>
        <v/>
      </c>
      <c r="H293" s="1">
        <f t="shared" si="41"/>
        <v>0.88571428571428568</v>
      </c>
      <c r="I293" s="1" t="str">
        <f t="shared" si="42"/>
        <v/>
      </c>
      <c r="J293" s="1" t="str">
        <f t="shared" si="43"/>
        <v/>
      </c>
      <c r="K293" s="1" t="str">
        <f t="shared" si="44"/>
        <v/>
      </c>
      <c r="L293" s="1" t="str">
        <f t="shared" si="45"/>
        <v/>
      </c>
    </row>
    <row r="294" spans="1:12">
      <c r="A294" t="s">
        <v>113</v>
      </c>
      <c r="B294">
        <v>3</v>
      </c>
      <c r="C294" t="str">
        <f t="shared" si="39"/>
        <v>test.ImageData_3_</v>
      </c>
      <c r="D294">
        <v>2</v>
      </c>
      <c r="E294">
        <v>1</v>
      </c>
      <c r="F294">
        <v>0.5520532462639709</v>
      </c>
      <c r="G294" s="1" t="str">
        <f t="shared" si="40"/>
        <v/>
      </c>
      <c r="H294" s="1" t="str">
        <f t="shared" si="41"/>
        <v/>
      </c>
      <c r="I294" s="1">
        <f t="shared" si="42"/>
        <v>1</v>
      </c>
      <c r="J294" s="1" t="str">
        <f t="shared" si="43"/>
        <v/>
      </c>
      <c r="K294" s="1" t="str">
        <f t="shared" si="44"/>
        <v/>
      </c>
      <c r="L294" s="1" t="str">
        <f t="shared" si="45"/>
        <v/>
      </c>
    </row>
    <row r="295" spans="1:12">
      <c r="A295" t="s">
        <v>113</v>
      </c>
      <c r="B295">
        <v>4</v>
      </c>
      <c r="C295" t="str">
        <f t="shared" si="39"/>
        <v>test.ImageData_4_</v>
      </c>
      <c r="D295">
        <v>3</v>
      </c>
      <c r="E295">
        <v>6.985294117647059E-2</v>
      </c>
      <c r="F295">
        <v>2.8159970647587598E-2</v>
      </c>
      <c r="G295" s="1">
        <f t="shared" si="40"/>
        <v>6.985294117647059E-2</v>
      </c>
      <c r="H295" s="1" t="str">
        <f t="shared" si="41"/>
        <v/>
      </c>
      <c r="I295" s="1" t="str">
        <f t="shared" si="42"/>
        <v/>
      </c>
      <c r="J295" s="1" t="str">
        <f t="shared" si="43"/>
        <v/>
      </c>
      <c r="K295" s="1" t="str">
        <f t="shared" si="44"/>
        <v/>
      </c>
      <c r="L295" s="1" t="str">
        <f t="shared" si="45"/>
        <v/>
      </c>
    </row>
    <row r="296" spans="1:12">
      <c r="A296" t="s">
        <v>113</v>
      </c>
      <c r="B296">
        <v>4</v>
      </c>
      <c r="C296" t="str">
        <f t="shared" si="39"/>
        <v>test.ImageData_4_</v>
      </c>
      <c r="D296">
        <v>4</v>
      </c>
      <c r="E296">
        <v>0.11397058823529412</v>
      </c>
      <c r="F296">
        <v>5.1229132269308385E-2</v>
      </c>
      <c r="G296" s="1">
        <f t="shared" si="40"/>
        <v>0.11397058823529412</v>
      </c>
      <c r="H296" s="1" t="str">
        <f t="shared" si="41"/>
        <v/>
      </c>
      <c r="I296" s="1" t="str">
        <f t="shared" si="42"/>
        <v/>
      </c>
      <c r="J296" s="1" t="str">
        <f t="shared" si="43"/>
        <v/>
      </c>
      <c r="K296" s="1" t="str">
        <f t="shared" si="44"/>
        <v/>
      </c>
      <c r="L296" s="1" t="str">
        <f t="shared" si="45"/>
        <v/>
      </c>
    </row>
    <row r="297" spans="1:12">
      <c r="A297" t="s">
        <v>113</v>
      </c>
      <c r="B297">
        <v>4</v>
      </c>
      <c r="C297" t="str">
        <f t="shared" si="39"/>
        <v>test.ImageData_4_</v>
      </c>
      <c r="D297">
        <v>5</v>
      </c>
      <c r="E297">
        <v>0.24264705882352941</v>
      </c>
      <c r="F297">
        <v>8.3837827921482297E-2</v>
      </c>
      <c r="G297" s="1">
        <f t="shared" si="40"/>
        <v>0.24264705882352941</v>
      </c>
      <c r="H297" s="1" t="str">
        <f t="shared" si="41"/>
        <v/>
      </c>
      <c r="I297" s="1" t="str">
        <f t="shared" si="42"/>
        <v/>
      </c>
      <c r="J297" s="1" t="str">
        <f t="shared" si="43"/>
        <v/>
      </c>
      <c r="K297" s="1" t="str">
        <f t="shared" si="44"/>
        <v/>
      </c>
      <c r="L297" s="1" t="str">
        <f t="shared" si="45"/>
        <v/>
      </c>
    </row>
    <row r="298" spans="1:12">
      <c r="A298" t="s">
        <v>113</v>
      </c>
      <c r="B298">
        <v>4</v>
      </c>
      <c r="C298" t="str">
        <f t="shared" si="39"/>
        <v>test.ImageData_4_</v>
      </c>
      <c r="D298">
        <v>1</v>
      </c>
      <c r="E298">
        <v>0.37132352941176472</v>
      </c>
      <c r="F298">
        <v>8.521372225279765E-2</v>
      </c>
      <c r="G298" s="1">
        <f t="shared" si="40"/>
        <v>0.37132352941176472</v>
      </c>
      <c r="H298" s="1" t="str">
        <f t="shared" si="41"/>
        <v/>
      </c>
      <c r="I298" s="1" t="str">
        <f t="shared" si="42"/>
        <v/>
      </c>
      <c r="J298" s="1" t="str">
        <f t="shared" si="43"/>
        <v/>
      </c>
      <c r="K298" s="1" t="str">
        <f t="shared" si="44"/>
        <v/>
      </c>
      <c r="L298" s="1" t="str">
        <f t="shared" si="45"/>
        <v/>
      </c>
    </row>
    <row r="299" spans="1:12">
      <c r="A299" t="s">
        <v>113</v>
      </c>
      <c r="B299">
        <v>4</v>
      </c>
      <c r="C299" t="str">
        <f t="shared" si="39"/>
        <v>test.ImageData_4_</v>
      </c>
      <c r="D299">
        <v>2</v>
      </c>
      <c r="E299">
        <v>0.56617647058823528</v>
      </c>
      <c r="F299">
        <v>0.12396807925151349</v>
      </c>
      <c r="G299" s="1">
        <f t="shared" si="40"/>
        <v>0.56617647058823528</v>
      </c>
      <c r="H299" s="1" t="str">
        <f t="shared" si="41"/>
        <v/>
      </c>
      <c r="I299" s="1" t="str">
        <f t="shared" si="42"/>
        <v/>
      </c>
      <c r="J299" s="1" t="str">
        <f t="shared" si="43"/>
        <v/>
      </c>
      <c r="K299" s="1" t="str">
        <f t="shared" si="44"/>
        <v/>
      </c>
      <c r="L299" s="1" t="str">
        <f t="shared" si="45"/>
        <v/>
      </c>
    </row>
    <row r="300" spans="1:12">
      <c r="A300" t="s">
        <v>113</v>
      </c>
      <c r="B300">
        <v>4</v>
      </c>
      <c r="C300" t="str">
        <f t="shared" si="39"/>
        <v>test.ImageData_4_</v>
      </c>
      <c r="D300">
        <v>3</v>
      </c>
      <c r="E300">
        <v>0.64338235294117652</v>
      </c>
      <c r="F300">
        <v>0.20817281232801321</v>
      </c>
      <c r="G300" s="1" t="str">
        <f t="shared" si="40"/>
        <v/>
      </c>
      <c r="H300" s="1">
        <f t="shared" si="41"/>
        <v>0.64338235294117652</v>
      </c>
      <c r="I300" s="1" t="str">
        <f t="shared" si="42"/>
        <v/>
      </c>
      <c r="J300" s="1" t="str">
        <f t="shared" si="43"/>
        <v/>
      </c>
      <c r="K300" s="1" t="str">
        <f t="shared" si="44"/>
        <v/>
      </c>
      <c r="L300" s="1" t="str">
        <f t="shared" si="45"/>
        <v/>
      </c>
    </row>
    <row r="301" spans="1:12">
      <c r="A301" t="s">
        <v>113</v>
      </c>
      <c r="B301">
        <v>4</v>
      </c>
      <c r="C301" t="str">
        <f t="shared" si="39"/>
        <v>test.ImageData_4_</v>
      </c>
      <c r="D301">
        <v>4</v>
      </c>
      <c r="E301">
        <v>0.74264705882352944</v>
      </c>
      <c r="F301">
        <v>0.23642450926435515</v>
      </c>
      <c r="G301" s="1" t="str">
        <f t="shared" si="40"/>
        <v/>
      </c>
      <c r="H301" s="1">
        <f t="shared" si="41"/>
        <v>0.74264705882352944</v>
      </c>
      <c r="I301" s="1" t="str">
        <f t="shared" si="42"/>
        <v/>
      </c>
      <c r="J301" s="1" t="str">
        <f t="shared" si="43"/>
        <v/>
      </c>
      <c r="K301" s="1" t="str">
        <f t="shared" si="44"/>
        <v/>
      </c>
      <c r="L301" s="1" t="str">
        <f t="shared" si="45"/>
        <v/>
      </c>
    </row>
    <row r="302" spans="1:12">
      <c r="A302" t="s">
        <v>113</v>
      </c>
      <c r="B302">
        <v>4</v>
      </c>
      <c r="C302" t="str">
        <f t="shared" si="39"/>
        <v>test.ImageData_4_</v>
      </c>
      <c r="D302">
        <v>5</v>
      </c>
      <c r="E302">
        <v>0.86029411764705888</v>
      </c>
      <c r="F302">
        <v>0.25596220876903319</v>
      </c>
      <c r="G302" s="1" t="str">
        <f t="shared" si="40"/>
        <v/>
      </c>
      <c r="H302" s="1">
        <f t="shared" si="41"/>
        <v>0.86029411764705888</v>
      </c>
      <c r="I302" s="1" t="str">
        <f t="shared" si="42"/>
        <v/>
      </c>
      <c r="J302" s="1" t="str">
        <f t="shared" si="43"/>
        <v/>
      </c>
      <c r="K302" s="1" t="str">
        <f t="shared" si="44"/>
        <v/>
      </c>
      <c r="L302" s="1" t="str">
        <f t="shared" si="45"/>
        <v/>
      </c>
    </row>
    <row r="303" spans="1:12">
      <c r="A303" t="s">
        <v>113</v>
      </c>
      <c r="B303">
        <v>4</v>
      </c>
      <c r="C303" t="str">
        <f t="shared" si="39"/>
        <v>test.ImageData_4_</v>
      </c>
      <c r="D303">
        <v>6</v>
      </c>
      <c r="E303">
        <v>1</v>
      </c>
      <c r="F303">
        <v>0.28178315905338469</v>
      </c>
      <c r="G303" s="1" t="str">
        <f t="shared" si="40"/>
        <v/>
      </c>
      <c r="H303" s="1">
        <f t="shared" si="41"/>
        <v>1</v>
      </c>
      <c r="I303" s="1" t="str">
        <f t="shared" si="42"/>
        <v/>
      </c>
      <c r="J303" s="1" t="str">
        <f t="shared" si="43"/>
        <v/>
      </c>
      <c r="K303" s="1" t="str">
        <f t="shared" si="44"/>
        <v/>
      </c>
      <c r="L303" s="1" t="str">
        <f t="shared" si="45"/>
        <v/>
      </c>
    </row>
    <row r="304" spans="1:12">
      <c r="A304" t="s">
        <v>113</v>
      </c>
      <c r="B304">
        <v>6</v>
      </c>
      <c r="C304" t="str">
        <f t="shared" si="39"/>
        <v>test.ImageData_6_</v>
      </c>
      <c r="D304">
        <v>7</v>
      </c>
      <c r="E304">
        <v>0.80952380952380953</v>
      </c>
      <c r="F304">
        <v>0.72752420470262791</v>
      </c>
      <c r="G304" s="1" t="str">
        <f t="shared" si="40"/>
        <v/>
      </c>
      <c r="H304" s="1" t="str">
        <f t="shared" si="41"/>
        <v/>
      </c>
      <c r="I304" s="1" t="str">
        <f t="shared" si="42"/>
        <v/>
      </c>
      <c r="J304" s="1">
        <f t="shared" si="43"/>
        <v>0.80952380952380953</v>
      </c>
      <c r="K304" s="1" t="str">
        <f t="shared" si="44"/>
        <v/>
      </c>
      <c r="L304" s="1" t="str">
        <f t="shared" si="45"/>
        <v/>
      </c>
    </row>
    <row r="305" spans="1:12">
      <c r="A305" t="s">
        <v>113</v>
      </c>
      <c r="B305">
        <v>6</v>
      </c>
      <c r="C305" t="str">
        <f t="shared" si="39"/>
        <v>test.ImageData_6_</v>
      </c>
      <c r="D305">
        <v>8</v>
      </c>
      <c r="E305">
        <v>1</v>
      </c>
      <c r="F305">
        <v>3.7634854771784232</v>
      </c>
      <c r="G305" s="1" t="str">
        <f t="shared" si="40"/>
        <v/>
      </c>
      <c r="H305" s="1" t="str">
        <f t="shared" si="41"/>
        <v/>
      </c>
      <c r="I305" s="1" t="str">
        <f t="shared" si="42"/>
        <v/>
      </c>
      <c r="J305" s="1" t="str">
        <f t="shared" si="43"/>
        <v/>
      </c>
      <c r="K305" s="1" t="str">
        <f t="shared" si="44"/>
        <v/>
      </c>
      <c r="L305" s="1">
        <f t="shared" si="45"/>
        <v>1</v>
      </c>
    </row>
    <row r="306" spans="1:12">
      <c r="A306" t="s">
        <v>113</v>
      </c>
      <c r="B306">
        <v>7</v>
      </c>
      <c r="C306" t="str">
        <f t="shared" si="39"/>
        <v>test.ImageData_7_</v>
      </c>
      <c r="D306">
        <v>9</v>
      </c>
      <c r="E306">
        <v>0.2</v>
      </c>
      <c r="F306">
        <v>0.30410522120366679</v>
      </c>
      <c r="G306" s="1" t="str">
        <f t="shared" si="40"/>
        <v/>
      </c>
      <c r="H306" s="1">
        <f t="shared" si="41"/>
        <v>0.2</v>
      </c>
      <c r="I306" s="1" t="str">
        <f t="shared" si="42"/>
        <v/>
      </c>
      <c r="J306" s="1" t="str">
        <f t="shared" si="43"/>
        <v/>
      </c>
      <c r="K306" s="1" t="str">
        <f t="shared" si="44"/>
        <v/>
      </c>
      <c r="L306" s="1" t="str">
        <f t="shared" si="45"/>
        <v/>
      </c>
    </row>
    <row r="307" spans="1:12">
      <c r="A307" t="s">
        <v>113</v>
      </c>
      <c r="B307">
        <v>7</v>
      </c>
      <c r="C307" t="str">
        <f t="shared" si="39"/>
        <v>test.ImageData_7_</v>
      </c>
      <c r="D307">
        <v>10</v>
      </c>
      <c r="E307">
        <v>0.3</v>
      </c>
      <c r="F307">
        <v>0.31327222000797128</v>
      </c>
      <c r="G307" s="1" t="str">
        <f t="shared" si="40"/>
        <v/>
      </c>
      <c r="H307" s="1">
        <f t="shared" si="41"/>
        <v>0.3</v>
      </c>
      <c r="I307" s="1" t="str">
        <f t="shared" si="42"/>
        <v/>
      </c>
      <c r="J307" s="1" t="str">
        <f t="shared" si="43"/>
        <v/>
      </c>
      <c r="K307" s="1" t="str">
        <f t="shared" si="44"/>
        <v/>
      </c>
      <c r="L307" s="1" t="str">
        <f t="shared" si="45"/>
        <v/>
      </c>
    </row>
    <row r="308" spans="1:12">
      <c r="A308" t="s">
        <v>113</v>
      </c>
      <c r="B308">
        <v>7</v>
      </c>
      <c r="C308" t="str">
        <f t="shared" si="39"/>
        <v>test.ImageData_7_</v>
      </c>
      <c r="D308">
        <v>11</v>
      </c>
      <c r="E308">
        <v>0.33333333333333331</v>
      </c>
      <c r="F308">
        <v>0.32204065364687129</v>
      </c>
      <c r="G308" s="1" t="str">
        <f t="shared" si="40"/>
        <v/>
      </c>
      <c r="H308" s="1">
        <f t="shared" si="41"/>
        <v>0.33333333333333331</v>
      </c>
      <c r="I308" s="1" t="str">
        <f t="shared" si="42"/>
        <v/>
      </c>
      <c r="J308" s="1" t="str">
        <f t="shared" si="43"/>
        <v/>
      </c>
      <c r="K308" s="1" t="str">
        <f t="shared" si="44"/>
        <v/>
      </c>
      <c r="L308" s="1" t="str">
        <f t="shared" si="45"/>
        <v/>
      </c>
    </row>
    <row r="309" spans="1:12">
      <c r="A309" t="s">
        <v>113</v>
      </c>
      <c r="B309">
        <v>7</v>
      </c>
      <c r="C309" t="str">
        <f t="shared" si="39"/>
        <v>test.ImageData_7_</v>
      </c>
      <c r="D309">
        <v>12</v>
      </c>
      <c r="E309">
        <v>0.42499999999999999</v>
      </c>
      <c r="F309">
        <v>0.3260263053009167</v>
      </c>
      <c r="G309" s="1" t="str">
        <f t="shared" si="40"/>
        <v/>
      </c>
      <c r="H309" s="1">
        <f t="shared" si="41"/>
        <v>0.42499999999999999</v>
      </c>
      <c r="I309" s="1" t="str">
        <f t="shared" si="42"/>
        <v/>
      </c>
      <c r="J309" s="1" t="str">
        <f t="shared" si="43"/>
        <v/>
      </c>
      <c r="K309" s="1" t="str">
        <f t="shared" si="44"/>
        <v/>
      </c>
      <c r="L309" s="1" t="str">
        <f t="shared" si="45"/>
        <v/>
      </c>
    </row>
    <row r="310" spans="1:12">
      <c r="A310" t="s">
        <v>113</v>
      </c>
      <c r="B310">
        <v>7</v>
      </c>
      <c r="C310" t="str">
        <f t="shared" si="39"/>
        <v>test.ImageData_7_</v>
      </c>
      <c r="D310">
        <v>13</v>
      </c>
      <c r="E310">
        <v>0.55833333333333335</v>
      </c>
      <c r="F310">
        <v>0.33678756476683935</v>
      </c>
      <c r="G310" s="1" t="str">
        <f t="shared" si="40"/>
        <v/>
      </c>
      <c r="H310" s="1">
        <f t="shared" si="41"/>
        <v>0.55833333333333335</v>
      </c>
      <c r="I310" s="1" t="str">
        <f t="shared" si="42"/>
        <v/>
      </c>
      <c r="J310" s="1" t="str">
        <f t="shared" si="43"/>
        <v/>
      </c>
      <c r="K310" s="1" t="str">
        <f t="shared" si="44"/>
        <v/>
      </c>
      <c r="L310" s="1" t="str">
        <f t="shared" si="45"/>
        <v/>
      </c>
    </row>
    <row r="311" spans="1:12">
      <c r="A311" t="s">
        <v>113</v>
      </c>
      <c r="B311">
        <v>7</v>
      </c>
      <c r="C311" t="str">
        <f t="shared" si="39"/>
        <v>test.ImageData_7_</v>
      </c>
      <c r="D311">
        <v>14</v>
      </c>
      <c r="E311">
        <v>0.59166666666666667</v>
      </c>
      <c r="F311">
        <v>0.33758469509764849</v>
      </c>
      <c r="G311" s="1" t="str">
        <f t="shared" si="40"/>
        <v/>
      </c>
      <c r="H311" s="1">
        <f t="shared" si="41"/>
        <v>0.59166666666666667</v>
      </c>
      <c r="I311" s="1" t="str">
        <f t="shared" si="42"/>
        <v/>
      </c>
      <c r="J311" s="1" t="str">
        <f t="shared" si="43"/>
        <v/>
      </c>
      <c r="K311" s="1" t="str">
        <f t="shared" si="44"/>
        <v/>
      </c>
      <c r="L311" s="1" t="str">
        <f t="shared" si="45"/>
        <v/>
      </c>
    </row>
    <row r="312" spans="1:12">
      <c r="A312" t="s">
        <v>113</v>
      </c>
      <c r="B312">
        <v>7</v>
      </c>
      <c r="C312" t="str">
        <f t="shared" si="39"/>
        <v>test.ImageData_7_</v>
      </c>
      <c r="D312">
        <v>15</v>
      </c>
      <c r="E312">
        <v>0.65</v>
      </c>
      <c r="F312">
        <v>0.3591072140294938</v>
      </c>
      <c r="G312" s="1" t="str">
        <f t="shared" si="40"/>
        <v/>
      </c>
      <c r="H312" s="1">
        <f t="shared" si="41"/>
        <v>0.65</v>
      </c>
      <c r="I312" s="1" t="str">
        <f t="shared" si="42"/>
        <v/>
      </c>
      <c r="J312" s="1" t="str">
        <f t="shared" si="43"/>
        <v/>
      </c>
      <c r="K312" s="1" t="str">
        <f t="shared" si="44"/>
        <v/>
      </c>
      <c r="L312" s="1" t="str">
        <f t="shared" si="45"/>
        <v/>
      </c>
    </row>
    <row r="313" spans="1:12">
      <c r="A313" t="s">
        <v>113</v>
      </c>
      <c r="B313">
        <v>7</v>
      </c>
      <c r="C313" t="str">
        <f t="shared" si="39"/>
        <v>test.ImageData_7_</v>
      </c>
      <c r="D313">
        <v>16</v>
      </c>
      <c r="E313">
        <v>0.73333333333333328</v>
      </c>
      <c r="F313">
        <v>0.36667995217218013</v>
      </c>
      <c r="G313" s="1" t="str">
        <f t="shared" si="40"/>
        <v/>
      </c>
      <c r="H313" s="1">
        <f t="shared" si="41"/>
        <v>0.73333333333333328</v>
      </c>
      <c r="I313" s="1" t="str">
        <f t="shared" si="42"/>
        <v/>
      </c>
      <c r="J313" s="1" t="str">
        <f t="shared" si="43"/>
        <v/>
      </c>
      <c r="K313" s="1" t="str">
        <f t="shared" si="44"/>
        <v/>
      </c>
      <c r="L313" s="1" t="str">
        <f t="shared" si="45"/>
        <v/>
      </c>
    </row>
    <row r="314" spans="1:12">
      <c r="A314" t="s">
        <v>113</v>
      </c>
      <c r="B314">
        <v>7</v>
      </c>
      <c r="C314" t="str">
        <f t="shared" si="39"/>
        <v>test.ImageData_7_</v>
      </c>
      <c r="D314">
        <v>17</v>
      </c>
      <c r="E314">
        <v>0.85</v>
      </c>
      <c r="F314">
        <v>0.41968911917098445</v>
      </c>
      <c r="G314" s="1" t="str">
        <f t="shared" si="40"/>
        <v/>
      </c>
      <c r="H314" s="1" t="str">
        <f t="shared" si="41"/>
        <v/>
      </c>
      <c r="I314" s="1">
        <f t="shared" si="42"/>
        <v>0.85</v>
      </c>
      <c r="J314" s="1" t="str">
        <f t="shared" si="43"/>
        <v/>
      </c>
      <c r="K314" s="1" t="str">
        <f t="shared" si="44"/>
        <v/>
      </c>
      <c r="L314" s="1" t="str">
        <f t="shared" si="45"/>
        <v/>
      </c>
    </row>
    <row r="315" spans="1:12">
      <c r="A315" t="s">
        <v>113</v>
      </c>
      <c r="B315">
        <v>7</v>
      </c>
      <c r="C315" t="str">
        <f t="shared" si="39"/>
        <v>test.ImageData_7_</v>
      </c>
      <c r="D315">
        <v>18</v>
      </c>
      <c r="E315">
        <v>1</v>
      </c>
      <c r="F315">
        <v>0.46911119968114789</v>
      </c>
      <c r="G315" s="1" t="str">
        <f t="shared" si="40"/>
        <v/>
      </c>
      <c r="H315" s="1" t="str">
        <f t="shared" si="41"/>
        <v/>
      </c>
      <c r="I315" s="1">
        <f t="shared" si="42"/>
        <v>1</v>
      </c>
      <c r="J315" s="1" t="str">
        <f t="shared" si="43"/>
        <v/>
      </c>
      <c r="K315" s="1" t="str">
        <f t="shared" si="44"/>
        <v/>
      </c>
      <c r="L315" s="1" t="str">
        <f t="shared" si="45"/>
        <v/>
      </c>
    </row>
    <row r="316" spans="1:12">
      <c r="A316" t="s">
        <v>113</v>
      </c>
      <c r="B316">
        <v>8</v>
      </c>
      <c r="C316" t="str">
        <f t="shared" si="39"/>
        <v>test.ImageData_8_</v>
      </c>
      <c r="D316">
        <v>19</v>
      </c>
      <c r="E316">
        <v>0.11728395061728394</v>
      </c>
      <c r="F316">
        <v>7.413447064726543E-2</v>
      </c>
      <c r="G316" s="1">
        <f t="shared" si="40"/>
        <v>0.11728395061728394</v>
      </c>
      <c r="H316" s="1" t="str">
        <f t="shared" si="41"/>
        <v/>
      </c>
      <c r="I316" s="1" t="str">
        <f t="shared" si="42"/>
        <v/>
      </c>
      <c r="J316" s="1" t="str">
        <f t="shared" si="43"/>
        <v/>
      </c>
      <c r="K316" s="1" t="str">
        <f t="shared" si="44"/>
        <v/>
      </c>
      <c r="L316" s="1" t="str">
        <f t="shared" si="45"/>
        <v/>
      </c>
    </row>
    <row r="317" spans="1:12">
      <c r="A317" t="s">
        <v>113</v>
      </c>
      <c r="B317">
        <v>8</v>
      </c>
      <c r="C317" t="str">
        <f t="shared" si="39"/>
        <v>test.ImageData_8_</v>
      </c>
      <c r="D317">
        <v>20</v>
      </c>
      <c r="E317">
        <v>0.1728395061728395</v>
      </c>
      <c r="F317">
        <v>0.11264425489212243</v>
      </c>
      <c r="G317" s="1">
        <f t="shared" si="40"/>
        <v>0.1728395061728395</v>
      </c>
      <c r="H317" s="1" t="str">
        <f t="shared" si="41"/>
        <v/>
      </c>
      <c r="I317" s="1" t="str">
        <f t="shared" si="42"/>
        <v/>
      </c>
      <c r="J317" s="1" t="str">
        <f t="shared" si="43"/>
        <v/>
      </c>
      <c r="K317" s="1" t="str">
        <f t="shared" si="44"/>
        <v/>
      </c>
      <c r="L317" s="1" t="str">
        <f t="shared" si="45"/>
        <v/>
      </c>
    </row>
    <row r="318" spans="1:12">
      <c r="A318" t="s">
        <v>113</v>
      </c>
      <c r="B318">
        <v>8</v>
      </c>
      <c r="C318" t="str">
        <f t="shared" si="39"/>
        <v>test.ImageData_8_</v>
      </c>
      <c r="D318">
        <v>21</v>
      </c>
      <c r="E318">
        <v>0.3888888888888889</v>
      </c>
      <c r="F318">
        <v>0.2124937280481686</v>
      </c>
      <c r="G318" s="1" t="str">
        <f t="shared" si="40"/>
        <v/>
      </c>
      <c r="H318" s="1">
        <f t="shared" si="41"/>
        <v>0.3888888888888889</v>
      </c>
      <c r="I318" s="1" t="str">
        <f t="shared" si="42"/>
        <v/>
      </c>
      <c r="J318" s="1" t="str">
        <f t="shared" si="43"/>
        <v/>
      </c>
      <c r="K318" s="1" t="str">
        <f t="shared" si="44"/>
        <v/>
      </c>
      <c r="L318" s="1" t="str">
        <f t="shared" si="45"/>
        <v/>
      </c>
    </row>
    <row r="319" spans="1:12">
      <c r="A319" t="s">
        <v>113</v>
      </c>
      <c r="B319">
        <v>8</v>
      </c>
      <c r="C319" t="str">
        <f t="shared" si="39"/>
        <v>test.ImageData_8_</v>
      </c>
      <c r="D319">
        <v>22</v>
      </c>
      <c r="E319">
        <v>0.66049382716049387</v>
      </c>
      <c r="F319">
        <v>0.26091319618665326</v>
      </c>
      <c r="G319" s="1" t="str">
        <f t="shared" si="40"/>
        <v/>
      </c>
      <c r="H319" s="1">
        <f t="shared" si="41"/>
        <v>0.66049382716049387</v>
      </c>
      <c r="I319" s="1" t="str">
        <f t="shared" si="42"/>
        <v/>
      </c>
      <c r="J319" s="1" t="str">
        <f t="shared" si="43"/>
        <v/>
      </c>
      <c r="K319" s="1" t="str">
        <f t="shared" si="44"/>
        <v/>
      </c>
      <c r="L319" s="1" t="str">
        <f t="shared" si="45"/>
        <v/>
      </c>
    </row>
    <row r="320" spans="1:12">
      <c r="A320" t="s">
        <v>113</v>
      </c>
      <c r="B320">
        <v>8</v>
      </c>
      <c r="C320" t="str">
        <f t="shared" si="39"/>
        <v>test.ImageData_8_</v>
      </c>
      <c r="D320">
        <v>23</v>
      </c>
      <c r="E320">
        <v>0.86419753086419748</v>
      </c>
      <c r="F320">
        <v>0.32074761665830409</v>
      </c>
      <c r="G320" s="1" t="str">
        <f t="shared" si="40"/>
        <v/>
      </c>
      <c r="H320" s="1">
        <f t="shared" si="41"/>
        <v>0.86419753086419748</v>
      </c>
      <c r="I320" s="1" t="str">
        <f t="shared" si="42"/>
        <v/>
      </c>
      <c r="J320" s="1" t="str">
        <f t="shared" si="43"/>
        <v/>
      </c>
      <c r="K320" s="1" t="str">
        <f t="shared" si="44"/>
        <v/>
      </c>
      <c r="L320" s="1" t="str">
        <f t="shared" si="45"/>
        <v/>
      </c>
    </row>
    <row r="321" spans="1:12">
      <c r="A321" t="s">
        <v>113</v>
      </c>
      <c r="B321">
        <v>8</v>
      </c>
      <c r="C321" t="str">
        <f t="shared" si="39"/>
        <v>test.ImageData_8_</v>
      </c>
      <c r="D321">
        <v>24</v>
      </c>
      <c r="E321">
        <v>1</v>
      </c>
      <c r="F321">
        <v>0.57325639739086809</v>
      </c>
      <c r="G321" s="1" t="str">
        <f t="shared" si="40"/>
        <v/>
      </c>
      <c r="H321" s="1" t="str">
        <f t="shared" si="41"/>
        <v/>
      </c>
      <c r="I321" s="1">
        <f t="shared" si="42"/>
        <v>1</v>
      </c>
      <c r="J321" s="1" t="str">
        <f t="shared" si="43"/>
        <v/>
      </c>
      <c r="K321" s="1" t="str">
        <f t="shared" si="44"/>
        <v/>
      </c>
      <c r="L321" s="1" t="str">
        <f t="shared" si="45"/>
        <v/>
      </c>
    </row>
    <row r="322" spans="1:12">
      <c r="A322" t="s">
        <v>113</v>
      </c>
      <c r="B322">
        <v>9</v>
      </c>
      <c r="C322" t="str">
        <f t="shared" si="39"/>
        <v>test.ImageData_9_</v>
      </c>
      <c r="D322">
        <v>25</v>
      </c>
      <c r="E322">
        <v>7.3643410852713184E-2</v>
      </c>
      <c r="F322">
        <v>2.458276950834461E-2</v>
      </c>
      <c r="G322" s="1">
        <f t="shared" si="40"/>
        <v>7.3643410852713184E-2</v>
      </c>
      <c r="H322" s="1" t="str">
        <f t="shared" si="41"/>
        <v/>
      </c>
      <c r="I322" s="1" t="str">
        <f t="shared" si="42"/>
        <v/>
      </c>
      <c r="J322" s="1" t="str">
        <f t="shared" si="43"/>
        <v/>
      </c>
      <c r="K322" s="1" t="str">
        <f t="shared" si="44"/>
        <v/>
      </c>
      <c r="L322" s="1" t="str">
        <f t="shared" si="45"/>
        <v/>
      </c>
    </row>
    <row r="323" spans="1:12">
      <c r="A323" t="s">
        <v>113</v>
      </c>
      <c r="B323">
        <v>9</v>
      </c>
      <c r="C323" t="str">
        <f t="shared" ref="C323:C386" si="46">CONCATENATE(A323, "_",B323,"_")</f>
        <v>test.ImageData_9_</v>
      </c>
      <c r="D323">
        <v>26</v>
      </c>
      <c r="E323">
        <v>0.12015503875968993</v>
      </c>
      <c r="F323">
        <v>4.2813110810404453E-2</v>
      </c>
      <c r="G323" s="1">
        <f t="shared" ref="G323:G386" si="47">IF($F323 &lt;= 0.2,$E323,"")</f>
        <v>0.12015503875968993</v>
      </c>
      <c r="H323" s="1" t="str">
        <f t="shared" ref="H323:H386" si="48">IF(AND($F323 &gt; 0.2,$F323 &lt;= 0.4),$E323,"")</f>
        <v/>
      </c>
      <c r="I323" s="1" t="str">
        <f t="shared" ref="I323:I386" si="49">IF(AND($F323 &gt; 0.4,$F323 &lt;= 0.6),$E323,"")</f>
        <v/>
      </c>
      <c r="J323" s="1" t="str">
        <f t="shared" ref="J323:J386" si="50">IF(AND($F323 &gt; 0.6,$F323 &lt;= 0.8),$E323,"")</f>
        <v/>
      </c>
      <c r="K323" s="1" t="str">
        <f t="shared" ref="K323:K386" si="51">IF(AND($F323 &gt; 0.8, $F323 &lt;=1.1),$E323,"")</f>
        <v/>
      </c>
      <c r="L323" s="1" t="str">
        <f t="shared" ref="L323:L386" si="52">IF(AND($F323 &gt; 1.1),$E323,"")</f>
        <v/>
      </c>
    </row>
    <row r="324" spans="1:12">
      <c r="A324" t="s">
        <v>113</v>
      </c>
      <c r="B324">
        <v>9</v>
      </c>
      <c r="C324" t="str">
        <f t="shared" si="46"/>
        <v>test.ImageData_9_</v>
      </c>
      <c r="D324">
        <v>27</v>
      </c>
      <c r="E324">
        <v>0.2558139534883721</v>
      </c>
      <c r="F324">
        <v>6.5704405352578557E-2</v>
      </c>
      <c r="G324" s="1">
        <f t="shared" si="47"/>
        <v>0.2558139534883721</v>
      </c>
      <c r="H324" s="1" t="str">
        <f t="shared" si="48"/>
        <v/>
      </c>
      <c r="I324" s="1" t="str">
        <f t="shared" si="49"/>
        <v/>
      </c>
      <c r="J324" s="1" t="str">
        <f t="shared" si="50"/>
        <v/>
      </c>
      <c r="K324" s="1" t="str">
        <f t="shared" si="51"/>
        <v/>
      </c>
      <c r="L324" s="1" t="str">
        <f t="shared" si="52"/>
        <v/>
      </c>
    </row>
    <row r="325" spans="1:12">
      <c r="A325" t="s">
        <v>113</v>
      </c>
      <c r="B325">
        <v>9</v>
      </c>
      <c r="C325" t="str">
        <f t="shared" si="46"/>
        <v>test.ImageData_9_</v>
      </c>
      <c r="D325">
        <v>28</v>
      </c>
      <c r="E325">
        <v>0.4263565891472868</v>
      </c>
      <c r="F325">
        <v>7.532701849345963E-2</v>
      </c>
      <c r="G325" s="1">
        <f t="shared" si="47"/>
        <v>0.4263565891472868</v>
      </c>
      <c r="H325" s="1" t="str">
        <f t="shared" si="48"/>
        <v/>
      </c>
      <c r="I325" s="1" t="str">
        <f t="shared" si="49"/>
        <v/>
      </c>
      <c r="J325" s="1" t="str">
        <f t="shared" si="50"/>
        <v/>
      </c>
      <c r="K325" s="1" t="str">
        <f t="shared" si="51"/>
        <v/>
      </c>
      <c r="L325" s="1" t="str">
        <f t="shared" si="52"/>
        <v/>
      </c>
    </row>
    <row r="326" spans="1:12">
      <c r="A326" t="s">
        <v>113</v>
      </c>
      <c r="B326">
        <v>9</v>
      </c>
      <c r="C326" t="str">
        <f t="shared" si="46"/>
        <v>test.ImageData_9_</v>
      </c>
      <c r="D326">
        <v>29</v>
      </c>
      <c r="E326">
        <v>0.55426356589147285</v>
      </c>
      <c r="F326">
        <v>9.585024808299504E-2</v>
      </c>
      <c r="G326" s="1">
        <f t="shared" si="47"/>
        <v>0.55426356589147285</v>
      </c>
      <c r="H326" s="1" t="str">
        <f t="shared" si="48"/>
        <v/>
      </c>
      <c r="I326" s="1" t="str">
        <f t="shared" si="49"/>
        <v/>
      </c>
      <c r="J326" s="1" t="str">
        <f t="shared" si="50"/>
        <v/>
      </c>
      <c r="K326" s="1" t="str">
        <f t="shared" si="51"/>
        <v/>
      </c>
      <c r="L326" s="1" t="str">
        <f t="shared" si="52"/>
        <v/>
      </c>
    </row>
    <row r="327" spans="1:12">
      <c r="A327" t="s">
        <v>113</v>
      </c>
      <c r="B327">
        <v>9</v>
      </c>
      <c r="C327" t="str">
        <f t="shared" si="46"/>
        <v>test.ImageData_9_</v>
      </c>
      <c r="D327">
        <v>30</v>
      </c>
      <c r="E327">
        <v>0.63953488372093026</v>
      </c>
      <c r="F327">
        <v>0.17504886483235604</v>
      </c>
      <c r="G327" s="1">
        <f t="shared" si="47"/>
        <v>0.63953488372093026</v>
      </c>
      <c r="H327" s="1" t="str">
        <f t="shared" si="48"/>
        <v/>
      </c>
      <c r="I327" s="1" t="str">
        <f t="shared" si="49"/>
        <v/>
      </c>
      <c r="J327" s="1" t="str">
        <f t="shared" si="50"/>
        <v/>
      </c>
      <c r="K327" s="1" t="str">
        <f t="shared" si="51"/>
        <v/>
      </c>
      <c r="L327" s="1" t="str">
        <f t="shared" si="52"/>
        <v/>
      </c>
    </row>
    <row r="328" spans="1:12">
      <c r="A328" t="s">
        <v>113</v>
      </c>
      <c r="B328">
        <v>9</v>
      </c>
      <c r="C328" t="str">
        <f t="shared" si="46"/>
        <v>test.ImageData_9_</v>
      </c>
      <c r="D328">
        <v>31</v>
      </c>
      <c r="E328">
        <v>0.7441860465116279</v>
      </c>
      <c r="F328">
        <v>0.19264020448052924</v>
      </c>
      <c r="G328" s="1">
        <f t="shared" si="47"/>
        <v>0.7441860465116279</v>
      </c>
      <c r="H328" s="1" t="str">
        <f t="shared" si="48"/>
        <v/>
      </c>
      <c r="I328" s="1" t="str">
        <f t="shared" si="49"/>
        <v/>
      </c>
      <c r="J328" s="1" t="str">
        <f t="shared" si="50"/>
        <v/>
      </c>
      <c r="K328" s="1" t="str">
        <f t="shared" si="51"/>
        <v/>
      </c>
      <c r="L328" s="1" t="str">
        <f t="shared" si="52"/>
        <v/>
      </c>
    </row>
    <row r="329" spans="1:12">
      <c r="A329" t="s">
        <v>113</v>
      </c>
      <c r="B329">
        <v>9</v>
      </c>
      <c r="C329" t="str">
        <f t="shared" si="46"/>
        <v>test.ImageData_9_</v>
      </c>
      <c r="D329">
        <v>32</v>
      </c>
      <c r="E329">
        <v>0.86434108527131781</v>
      </c>
      <c r="F329">
        <v>0.21109607577807848</v>
      </c>
      <c r="G329" s="1" t="str">
        <f t="shared" si="47"/>
        <v/>
      </c>
      <c r="H329" s="1">
        <f t="shared" si="48"/>
        <v>0.86434108527131781</v>
      </c>
      <c r="I329" s="1" t="str">
        <f t="shared" si="49"/>
        <v/>
      </c>
      <c r="J329" s="1" t="str">
        <f t="shared" si="50"/>
        <v/>
      </c>
      <c r="K329" s="1" t="str">
        <f t="shared" si="51"/>
        <v/>
      </c>
      <c r="L329" s="1" t="str">
        <f t="shared" si="52"/>
        <v/>
      </c>
    </row>
    <row r="330" spans="1:12">
      <c r="A330" t="s">
        <v>113</v>
      </c>
      <c r="B330">
        <v>9</v>
      </c>
      <c r="C330" t="str">
        <f t="shared" si="46"/>
        <v>test.ImageData_9_</v>
      </c>
      <c r="D330">
        <v>1</v>
      </c>
      <c r="E330">
        <v>1</v>
      </c>
      <c r="F330">
        <v>0.23161930536761388</v>
      </c>
      <c r="G330" s="1" t="str">
        <f t="shared" si="47"/>
        <v/>
      </c>
      <c r="H330" s="1">
        <f t="shared" si="48"/>
        <v>1</v>
      </c>
      <c r="I330" s="1" t="str">
        <f t="shared" si="49"/>
        <v/>
      </c>
      <c r="J330" s="1" t="str">
        <f t="shared" si="50"/>
        <v/>
      </c>
      <c r="K330" s="1" t="str">
        <f t="shared" si="51"/>
        <v/>
      </c>
      <c r="L330" s="1" t="str">
        <f t="shared" si="52"/>
        <v/>
      </c>
    </row>
    <row r="331" spans="1:12">
      <c r="A331" t="s">
        <v>113</v>
      </c>
      <c r="B331">
        <v>11</v>
      </c>
      <c r="C331" t="str">
        <f t="shared" si="46"/>
        <v>test.ImageData_11_</v>
      </c>
      <c r="D331">
        <v>2</v>
      </c>
      <c r="E331">
        <v>0.33962264150943394</v>
      </c>
      <c r="F331">
        <v>5.227930535455861E-2</v>
      </c>
      <c r="G331" s="1">
        <f t="shared" si="47"/>
        <v>0.33962264150943394</v>
      </c>
      <c r="H331" s="1" t="str">
        <f t="shared" si="48"/>
        <v/>
      </c>
      <c r="I331" s="1" t="str">
        <f t="shared" si="49"/>
        <v/>
      </c>
      <c r="J331" s="1" t="str">
        <f t="shared" si="50"/>
        <v/>
      </c>
      <c r="K331" s="1" t="str">
        <f t="shared" si="51"/>
        <v/>
      </c>
      <c r="L331" s="1" t="str">
        <f t="shared" si="52"/>
        <v/>
      </c>
    </row>
    <row r="332" spans="1:12">
      <c r="A332" t="s">
        <v>113</v>
      </c>
      <c r="B332">
        <v>11</v>
      </c>
      <c r="C332" t="str">
        <f t="shared" si="46"/>
        <v>test.ImageData_11_</v>
      </c>
      <c r="D332">
        <v>1</v>
      </c>
      <c r="E332">
        <v>1</v>
      </c>
      <c r="F332">
        <v>1.0303907380607815</v>
      </c>
      <c r="G332" s="1" t="str">
        <f t="shared" si="47"/>
        <v/>
      </c>
      <c r="H332" s="1" t="str">
        <f t="shared" si="48"/>
        <v/>
      </c>
      <c r="I332" s="1" t="str">
        <f t="shared" si="49"/>
        <v/>
      </c>
      <c r="J332" s="1" t="str">
        <f t="shared" si="50"/>
        <v/>
      </c>
      <c r="K332" s="1">
        <f t="shared" si="51"/>
        <v>1</v>
      </c>
      <c r="L332" s="1" t="str">
        <f t="shared" si="52"/>
        <v/>
      </c>
    </row>
    <row r="333" spans="1:12">
      <c r="A333" t="s">
        <v>113</v>
      </c>
      <c r="B333">
        <v>13</v>
      </c>
      <c r="C333" t="str">
        <f t="shared" si="46"/>
        <v>test.ImageData_13_</v>
      </c>
      <c r="D333">
        <v>2</v>
      </c>
      <c r="E333">
        <v>1.3568521031207597E-3</v>
      </c>
      <c r="F333">
        <v>7.1380679766878133E-2</v>
      </c>
      <c r="G333" s="1">
        <f t="shared" si="47"/>
        <v>1.3568521031207597E-3</v>
      </c>
      <c r="H333" s="1" t="str">
        <f t="shared" si="48"/>
        <v/>
      </c>
      <c r="I333" s="1" t="str">
        <f t="shared" si="49"/>
        <v/>
      </c>
      <c r="J333" s="1" t="str">
        <f t="shared" si="50"/>
        <v/>
      </c>
      <c r="K333" s="1" t="str">
        <f t="shared" si="51"/>
        <v/>
      </c>
      <c r="L333" s="1" t="str">
        <f t="shared" si="52"/>
        <v/>
      </c>
    </row>
    <row r="334" spans="1:12">
      <c r="A334" t="s">
        <v>113</v>
      </c>
      <c r="B334">
        <v>13</v>
      </c>
      <c r="C334" t="str">
        <f t="shared" si="46"/>
        <v>test.ImageData_13_</v>
      </c>
      <c r="D334">
        <v>3</v>
      </c>
      <c r="E334">
        <v>5.4274084124830389E-3</v>
      </c>
      <c r="F334">
        <v>7.7157150961885607E-2</v>
      </c>
      <c r="G334" s="1">
        <f t="shared" si="47"/>
        <v>5.4274084124830389E-3</v>
      </c>
      <c r="H334" s="1" t="str">
        <f t="shared" si="48"/>
        <v/>
      </c>
      <c r="I334" s="1" t="str">
        <f t="shared" si="49"/>
        <v/>
      </c>
      <c r="J334" s="1" t="str">
        <f t="shared" si="50"/>
        <v/>
      </c>
      <c r="K334" s="1" t="str">
        <f t="shared" si="51"/>
        <v/>
      </c>
      <c r="L334" s="1" t="str">
        <f t="shared" si="52"/>
        <v/>
      </c>
    </row>
    <row r="335" spans="1:12">
      <c r="A335" t="s">
        <v>113</v>
      </c>
      <c r="B335">
        <v>13</v>
      </c>
      <c r="C335" t="str">
        <f t="shared" si="46"/>
        <v>test.ImageData_13_</v>
      </c>
      <c r="D335">
        <v>4</v>
      </c>
      <c r="E335">
        <v>6.7842605156037995E-3</v>
      </c>
      <c r="F335">
        <v>8.1592655629480634E-2</v>
      </c>
      <c r="G335" s="1">
        <f t="shared" si="47"/>
        <v>6.7842605156037995E-3</v>
      </c>
      <c r="H335" s="1" t="str">
        <f t="shared" si="48"/>
        <v/>
      </c>
      <c r="I335" s="1" t="str">
        <f t="shared" si="49"/>
        <v/>
      </c>
      <c r="J335" s="1" t="str">
        <f t="shared" si="50"/>
        <v/>
      </c>
      <c r="K335" s="1" t="str">
        <f t="shared" si="51"/>
        <v/>
      </c>
      <c r="L335" s="1" t="str">
        <f t="shared" si="52"/>
        <v/>
      </c>
    </row>
    <row r="336" spans="1:12">
      <c r="A336" t="s">
        <v>113</v>
      </c>
      <c r="B336">
        <v>13</v>
      </c>
      <c r="C336" t="str">
        <f t="shared" si="46"/>
        <v>test.ImageData_13_</v>
      </c>
      <c r="D336">
        <v>5</v>
      </c>
      <c r="E336">
        <v>1</v>
      </c>
      <c r="F336">
        <v>1.0541544174531952</v>
      </c>
      <c r="G336" s="1" t="str">
        <f t="shared" si="47"/>
        <v/>
      </c>
      <c r="H336" s="1" t="str">
        <f t="shared" si="48"/>
        <v/>
      </c>
      <c r="I336" s="1" t="str">
        <f t="shared" si="49"/>
        <v/>
      </c>
      <c r="J336" s="1" t="str">
        <f t="shared" si="50"/>
        <v/>
      </c>
      <c r="K336" s="1">
        <f t="shared" si="51"/>
        <v>1</v>
      </c>
      <c r="L336" s="1" t="str">
        <f t="shared" si="52"/>
        <v/>
      </c>
    </row>
    <row r="337" spans="1:12">
      <c r="A337" t="s">
        <v>113</v>
      </c>
      <c r="B337">
        <v>14</v>
      </c>
      <c r="C337" t="str">
        <f t="shared" si="46"/>
        <v>test.ImageData_14_</v>
      </c>
      <c r="D337">
        <v>6</v>
      </c>
      <c r="E337">
        <v>1.0438413361169101E-3</v>
      </c>
      <c r="F337">
        <v>4.306163021868787E-2</v>
      </c>
      <c r="G337" s="1">
        <f t="shared" si="47"/>
        <v>1.0438413361169101E-3</v>
      </c>
      <c r="H337" s="1" t="str">
        <f t="shared" si="48"/>
        <v/>
      </c>
      <c r="I337" s="1" t="str">
        <f t="shared" si="49"/>
        <v/>
      </c>
      <c r="J337" s="1" t="str">
        <f t="shared" si="50"/>
        <v/>
      </c>
      <c r="K337" s="1" t="str">
        <f t="shared" si="51"/>
        <v/>
      </c>
      <c r="L337" s="1" t="str">
        <f t="shared" si="52"/>
        <v/>
      </c>
    </row>
    <row r="338" spans="1:12">
      <c r="A338" t="s">
        <v>113</v>
      </c>
      <c r="B338">
        <v>14</v>
      </c>
      <c r="C338" t="str">
        <f t="shared" si="46"/>
        <v>test.ImageData_14_</v>
      </c>
      <c r="D338">
        <v>7</v>
      </c>
      <c r="E338">
        <v>4.1753653444676405E-3</v>
      </c>
      <c r="F338">
        <v>4.68389662027833E-2</v>
      </c>
      <c r="G338" s="1">
        <f t="shared" si="47"/>
        <v>4.1753653444676405E-3</v>
      </c>
      <c r="H338" s="1" t="str">
        <f t="shared" si="48"/>
        <v/>
      </c>
      <c r="I338" s="1" t="str">
        <f t="shared" si="49"/>
        <v/>
      </c>
      <c r="J338" s="1" t="str">
        <f t="shared" si="50"/>
        <v/>
      </c>
      <c r="K338" s="1" t="str">
        <f t="shared" si="51"/>
        <v/>
      </c>
      <c r="L338" s="1" t="str">
        <f t="shared" si="52"/>
        <v/>
      </c>
    </row>
    <row r="339" spans="1:12">
      <c r="A339" t="s">
        <v>113</v>
      </c>
      <c r="B339">
        <v>14</v>
      </c>
      <c r="C339" t="str">
        <f t="shared" si="46"/>
        <v>test.ImageData_14_</v>
      </c>
      <c r="D339">
        <v>8</v>
      </c>
      <c r="E339">
        <v>5.2192066805845511E-3</v>
      </c>
      <c r="F339">
        <v>4.7296222664015904E-2</v>
      </c>
      <c r="G339" s="1">
        <f t="shared" si="47"/>
        <v>5.2192066805845511E-3</v>
      </c>
      <c r="H339" s="1" t="str">
        <f t="shared" si="48"/>
        <v/>
      </c>
      <c r="I339" s="1" t="str">
        <f t="shared" si="49"/>
        <v/>
      </c>
      <c r="J339" s="1" t="str">
        <f t="shared" si="50"/>
        <v/>
      </c>
      <c r="K339" s="1" t="str">
        <f t="shared" si="51"/>
        <v/>
      </c>
      <c r="L339" s="1" t="str">
        <f t="shared" si="52"/>
        <v/>
      </c>
    </row>
    <row r="340" spans="1:12">
      <c r="A340" t="s">
        <v>113</v>
      </c>
      <c r="B340">
        <v>14</v>
      </c>
      <c r="C340" t="str">
        <f t="shared" si="46"/>
        <v>test.ImageData_14_</v>
      </c>
      <c r="D340">
        <v>1</v>
      </c>
      <c r="E340">
        <v>0.36847599164926931</v>
      </c>
      <c r="F340">
        <v>0.49218687872763417</v>
      </c>
      <c r="G340" s="1" t="str">
        <f t="shared" si="47"/>
        <v/>
      </c>
      <c r="H340" s="1" t="str">
        <f t="shared" si="48"/>
        <v/>
      </c>
      <c r="I340" s="1">
        <f t="shared" si="49"/>
        <v>0.36847599164926931</v>
      </c>
      <c r="J340" s="1" t="str">
        <f t="shared" si="50"/>
        <v/>
      </c>
      <c r="K340" s="1" t="str">
        <f t="shared" si="51"/>
        <v/>
      </c>
      <c r="L340" s="1" t="str">
        <f t="shared" si="52"/>
        <v/>
      </c>
    </row>
    <row r="341" spans="1:12">
      <c r="A341" t="s">
        <v>113</v>
      </c>
      <c r="B341">
        <v>14</v>
      </c>
      <c r="C341" t="str">
        <f t="shared" si="46"/>
        <v>test.ImageData_14_</v>
      </c>
      <c r="D341">
        <v>2</v>
      </c>
      <c r="E341">
        <v>0.58768267223382042</v>
      </c>
      <c r="F341">
        <v>0.56950298210735584</v>
      </c>
      <c r="G341" s="1" t="str">
        <f t="shared" si="47"/>
        <v/>
      </c>
      <c r="H341" s="1" t="str">
        <f t="shared" si="48"/>
        <v/>
      </c>
      <c r="I341" s="1">
        <f t="shared" si="49"/>
        <v>0.58768267223382042</v>
      </c>
      <c r="J341" s="1" t="str">
        <f t="shared" si="50"/>
        <v/>
      </c>
      <c r="K341" s="1" t="str">
        <f t="shared" si="51"/>
        <v/>
      </c>
      <c r="L341" s="1" t="str">
        <f t="shared" si="52"/>
        <v/>
      </c>
    </row>
    <row r="342" spans="1:12">
      <c r="A342" t="s">
        <v>113</v>
      </c>
      <c r="B342">
        <v>14</v>
      </c>
      <c r="C342" t="str">
        <f t="shared" si="46"/>
        <v>test.ImageData_14_</v>
      </c>
      <c r="D342">
        <v>3</v>
      </c>
      <c r="E342">
        <v>0.58872651356993733</v>
      </c>
      <c r="F342">
        <v>0.6076143141153082</v>
      </c>
      <c r="G342" s="1" t="str">
        <f t="shared" si="47"/>
        <v/>
      </c>
      <c r="H342" s="1" t="str">
        <f t="shared" si="48"/>
        <v/>
      </c>
      <c r="I342" s="1" t="str">
        <f t="shared" si="49"/>
        <v/>
      </c>
      <c r="J342" s="1">
        <f t="shared" si="50"/>
        <v>0.58872651356993733</v>
      </c>
      <c r="K342" s="1" t="str">
        <f t="shared" si="51"/>
        <v/>
      </c>
      <c r="L342" s="1" t="str">
        <f t="shared" si="52"/>
        <v/>
      </c>
    </row>
    <row r="343" spans="1:12">
      <c r="A343" t="s">
        <v>113</v>
      </c>
      <c r="B343">
        <v>14</v>
      </c>
      <c r="C343" t="str">
        <f t="shared" si="46"/>
        <v>test.ImageData_14_</v>
      </c>
      <c r="D343">
        <v>4</v>
      </c>
      <c r="E343">
        <v>0.58872651356993733</v>
      </c>
      <c r="F343">
        <v>0.6223658051689861</v>
      </c>
      <c r="G343" s="1" t="str">
        <f t="shared" si="47"/>
        <v/>
      </c>
      <c r="H343" s="1" t="str">
        <f t="shared" si="48"/>
        <v/>
      </c>
      <c r="I343" s="1" t="str">
        <f t="shared" si="49"/>
        <v/>
      </c>
      <c r="J343" s="1">
        <f t="shared" si="50"/>
        <v>0.58872651356993733</v>
      </c>
      <c r="K343" s="1" t="str">
        <f t="shared" si="51"/>
        <v/>
      </c>
      <c r="L343" s="1" t="str">
        <f t="shared" si="52"/>
        <v/>
      </c>
    </row>
    <row r="344" spans="1:12">
      <c r="A344" t="s">
        <v>113</v>
      </c>
      <c r="B344">
        <v>14</v>
      </c>
      <c r="C344" t="str">
        <f t="shared" si="46"/>
        <v>test.ImageData_14_</v>
      </c>
      <c r="D344">
        <v>5</v>
      </c>
      <c r="E344">
        <v>0.98121085594989566</v>
      </c>
      <c r="F344">
        <v>0.81129224652087473</v>
      </c>
      <c r="G344" s="1" t="str">
        <f t="shared" si="47"/>
        <v/>
      </c>
      <c r="H344" s="1" t="str">
        <f t="shared" si="48"/>
        <v/>
      </c>
      <c r="I344" s="1" t="str">
        <f t="shared" si="49"/>
        <v/>
      </c>
      <c r="J344" s="1" t="str">
        <f t="shared" si="50"/>
        <v/>
      </c>
      <c r="K344" s="1">
        <f t="shared" si="51"/>
        <v>0.98121085594989566</v>
      </c>
      <c r="L344" s="1" t="str">
        <f t="shared" si="52"/>
        <v/>
      </c>
    </row>
    <row r="345" spans="1:12">
      <c r="A345" t="s">
        <v>113</v>
      </c>
      <c r="B345">
        <v>14</v>
      </c>
      <c r="C345" t="str">
        <f t="shared" si="46"/>
        <v>test.ImageData_14_</v>
      </c>
      <c r="D345">
        <v>6</v>
      </c>
      <c r="E345">
        <v>1</v>
      </c>
      <c r="F345">
        <v>0.95614314115308152</v>
      </c>
      <c r="G345" s="1" t="str">
        <f t="shared" si="47"/>
        <v/>
      </c>
      <c r="H345" s="1" t="str">
        <f t="shared" si="48"/>
        <v/>
      </c>
      <c r="I345" s="1" t="str">
        <f t="shared" si="49"/>
        <v/>
      </c>
      <c r="J345" s="1" t="str">
        <f t="shared" si="50"/>
        <v/>
      </c>
      <c r="K345" s="1">
        <f t="shared" si="51"/>
        <v>1</v>
      </c>
      <c r="L345" s="1" t="str">
        <f t="shared" si="52"/>
        <v/>
      </c>
    </row>
    <row r="346" spans="1:12">
      <c r="A346" t="s">
        <v>113</v>
      </c>
      <c r="B346">
        <v>15</v>
      </c>
      <c r="C346" t="str">
        <f t="shared" si="46"/>
        <v>test.ImageData_15_</v>
      </c>
      <c r="D346">
        <v>1</v>
      </c>
      <c r="E346">
        <v>2.1008403361344537E-3</v>
      </c>
      <c r="F346">
        <v>5.2094421138313196E-2</v>
      </c>
      <c r="G346" s="1">
        <f t="shared" si="47"/>
        <v>2.1008403361344537E-3</v>
      </c>
      <c r="H346" s="1" t="str">
        <f t="shared" si="48"/>
        <v/>
      </c>
      <c r="I346" s="1" t="str">
        <f t="shared" si="49"/>
        <v/>
      </c>
      <c r="J346" s="1" t="str">
        <f t="shared" si="50"/>
        <v/>
      </c>
      <c r="K346" s="1" t="str">
        <f t="shared" si="51"/>
        <v/>
      </c>
      <c r="L346" s="1" t="str">
        <f t="shared" si="52"/>
        <v/>
      </c>
    </row>
    <row r="347" spans="1:12">
      <c r="A347" t="s">
        <v>113</v>
      </c>
      <c r="B347">
        <v>15</v>
      </c>
      <c r="C347" t="str">
        <f t="shared" si="46"/>
        <v>test.ImageData_15_</v>
      </c>
      <c r="D347">
        <v>2</v>
      </c>
      <c r="E347">
        <v>6.3025210084033615E-3</v>
      </c>
      <c r="F347">
        <v>5.992110700644919E-2</v>
      </c>
      <c r="G347" s="1">
        <f t="shared" si="47"/>
        <v>6.3025210084033615E-3</v>
      </c>
      <c r="H347" s="1" t="str">
        <f t="shared" si="48"/>
        <v/>
      </c>
      <c r="I347" s="1" t="str">
        <f t="shared" si="49"/>
        <v/>
      </c>
      <c r="J347" s="1" t="str">
        <f t="shared" si="50"/>
        <v/>
      </c>
      <c r="K347" s="1" t="str">
        <f t="shared" si="51"/>
        <v/>
      </c>
      <c r="L347" s="1" t="str">
        <f t="shared" si="52"/>
        <v/>
      </c>
    </row>
    <row r="348" spans="1:12">
      <c r="A348" t="s">
        <v>113</v>
      </c>
      <c r="B348">
        <v>15</v>
      </c>
      <c r="C348" t="str">
        <f t="shared" si="46"/>
        <v>test.ImageData_15_</v>
      </c>
      <c r="D348">
        <v>3</v>
      </c>
      <c r="E348">
        <v>1.050420168067227E-2</v>
      </c>
      <c r="F348">
        <v>6.7309498465969564E-2</v>
      </c>
      <c r="G348" s="1">
        <f t="shared" si="47"/>
        <v>1.050420168067227E-2</v>
      </c>
      <c r="H348" s="1" t="str">
        <f t="shared" si="48"/>
        <v/>
      </c>
      <c r="I348" s="1" t="str">
        <f t="shared" si="49"/>
        <v/>
      </c>
      <c r="J348" s="1" t="str">
        <f t="shared" si="50"/>
        <v/>
      </c>
      <c r="K348" s="1" t="str">
        <f t="shared" si="51"/>
        <v/>
      </c>
      <c r="L348" s="1" t="str">
        <f t="shared" si="52"/>
        <v/>
      </c>
    </row>
    <row r="349" spans="1:12">
      <c r="A349" t="s">
        <v>113</v>
      </c>
      <c r="B349">
        <v>15</v>
      </c>
      <c r="C349" t="str">
        <f t="shared" si="46"/>
        <v>test.ImageData_15_</v>
      </c>
      <c r="D349">
        <v>4</v>
      </c>
      <c r="E349">
        <v>1</v>
      </c>
      <c r="F349">
        <v>0.90683113142570915</v>
      </c>
      <c r="G349" s="1" t="str">
        <f t="shared" si="47"/>
        <v/>
      </c>
      <c r="H349" s="1" t="str">
        <f t="shared" si="48"/>
        <v/>
      </c>
      <c r="I349" s="1" t="str">
        <f t="shared" si="49"/>
        <v/>
      </c>
      <c r="J349" s="1" t="str">
        <f t="shared" si="50"/>
        <v/>
      </c>
      <c r="K349" s="1">
        <f t="shared" si="51"/>
        <v>1</v>
      </c>
      <c r="L349" s="1" t="str">
        <f t="shared" si="52"/>
        <v/>
      </c>
    </row>
    <row r="350" spans="1:12">
      <c r="A350" t="s">
        <v>113</v>
      </c>
      <c r="B350">
        <v>16</v>
      </c>
      <c r="C350" t="str">
        <f t="shared" si="46"/>
        <v>test.ImageData_16_</v>
      </c>
      <c r="D350">
        <v>5</v>
      </c>
      <c r="E350">
        <v>1.6474464579901153E-3</v>
      </c>
      <c r="F350">
        <v>4.2805311100818283E-2</v>
      </c>
      <c r="G350" s="1">
        <f t="shared" si="47"/>
        <v>1.6474464579901153E-3</v>
      </c>
      <c r="H350" s="1" t="str">
        <f t="shared" si="48"/>
        <v/>
      </c>
      <c r="I350" s="1" t="str">
        <f t="shared" si="49"/>
        <v/>
      </c>
      <c r="J350" s="1" t="str">
        <f t="shared" si="50"/>
        <v/>
      </c>
      <c r="K350" s="1" t="str">
        <f t="shared" si="51"/>
        <v/>
      </c>
      <c r="L350" s="1" t="str">
        <f t="shared" si="52"/>
        <v/>
      </c>
    </row>
    <row r="351" spans="1:12">
      <c r="A351" t="s">
        <v>113</v>
      </c>
      <c r="B351">
        <v>16</v>
      </c>
      <c r="C351" t="str">
        <f t="shared" si="46"/>
        <v>test.ImageData_16_</v>
      </c>
      <c r="D351">
        <v>6</v>
      </c>
      <c r="E351">
        <v>4.9423393739703456E-3</v>
      </c>
      <c r="F351">
        <v>4.322989038134939E-2</v>
      </c>
      <c r="G351" s="1">
        <f t="shared" si="47"/>
        <v>4.9423393739703456E-3</v>
      </c>
      <c r="H351" s="1" t="str">
        <f t="shared" si="48"/>
        <v/>
      </c>
      <c r="I351" s="1" t="str">
        <f t="shared" si="49"/>
        <v/>
      </c>
      <c r="J351" s="1" t="str">
        <f t="shared" si="50"/>
        <v/>
      </c>
      <c r="K351" s="1" t="str">
        <f t="shared" si="51"/>
        <v/>
      </c>
      <c r="L351" s="1" t="str">
        <f t="shared" si="52"/>
        <v/>
      </c>
    </row>
    <row r="352" spans="1:12">
      <c r="A352" t="s">
        <v>113</v>
      </c>
      <c r="B352">
        <v>16</v>
      </c>
      <c r="C352" t="str">
        <f t="shared" si="46"/>
        <v>test.ImageData_16_</v>
      </c>
      <c r="D352">
        <v>7</v>
      </c>
      <c r="E352">
        <v>8.2372322899505763E-3</v>
      </c>
      <c r="F352">
        <v>5.3960166743862899E-2</v>
      </c>
      <c r="G352" s="1">
        <f t="shared" si="47"/>
        <v>8.2372322899505763E-3</v>
      </c>
      <c r="H352" s="1" t="str">
        <f t="shared" si="48"/>
        <v/>
      </c>
      <c r="I352" s="1" t="str">
        <f t="shared" si="49"/>
        <v/>
      </c>
      <c r="J352" s="1" t="str">
        <f t="shared" si="50"/>
        <v/>
      </c>
      <c r="K352" s="1" t="str">
        <f t="shared" si="51"/>
        <v/>
      </c>
      <c r="L352" s="1" t="str">
        <f t="shared" si="52"/>
        <v/>
      </c>
    </row>
    <row r="353" spans="1:12">
      <c r="A353" t="s">
        <v>113</v>
      </c>
      <c r="B353">
        <v>16</v>
      </c>
      <c r="C353" t="str">
        <f t="shared" si="46"/>
        <v>test.ImageData_16_</v>
      </c>
      <c r="D353">
        <v>8</v>
      </c>
      <c r="E353">
        <v>1</v>
      </c>
      <c r="F353">
        <v>1.0893932376100046</v>
      </c>
      <c r="G353" s="1" t="str">
        <f t="shared" si="47"/>
        <v/>
      </c>
      <c r="H353" s="1" t="str">
        <f t="shared" si="48"/>
        <v/>
      </c>
      <c r="I353" s="1" t="str">
        <f t="shared" si="49"/>
        <v/>
      </c>
      <c r="J353" s="1" t="str">
        <f t="shared" si="50"/>
        <v/>
      </c>
      <c r="K353" s="1">
        <f t="shared" si="51"/>
        <v>1</v>
      </c>
      <c r="L353" s="1" t="str">
        <f t="shared" si="52"/>
        <v/>
      </c>
    </row>
    <row r="354" spans="1:12">
      <c r="A354" t="s">
        <v>113</v>
      </c>
      <c r="B354">
        <v>20</v>
      </c>
      <c r="C354" t="str">
        <f t="shared" si="46"/>
        <v>test.ImageData_20_</v>
      </c>
      <c r="D354">
        <v>9</v>
      </c>
      <c r="E354">
        <v>0.59259259259259256</v>
      </c>
      <c r="F354">
        <v>0.56497373029772324</v>
      </c>
      <c r="G354" s="1" t="str">
        <f t="shared" si="47"/>
        <v/>
      </c>
      <c r="H354" s="1" t="str">
        <f t="shared" si="48"/>
        <v/>
      </c>
      <c r="I354" s="1">
        <f t="shared" si="49"/>
        <v>0.59259259259259256</v>
      </c>
      <c r="J354" s="1" t="str">
        <f t="shared" si="50"/>
        <v/>
      </c>
      <c r="K354" s="1" t="str">
        <f t="shared" si="51"/>
        <v/>
      </c>
      <c r="L354" s="1" t="str">
        <f t="shared" si="52"/>
        <v/>
      </c>
    </row>
    <row r="355" spans="1:12">
      <c r="A355" t="s">
        <v>113</v>
      </c>
      <c r="B355">
        <v>20</v>
      </c>
      <c r="C355" t="str">
        <f t="shared" si="46"/>
        <v>test.ImageData_20_</v>
      </c>
      <c r="D355">
        <v>1</v>
      </c>
      <c r="E355">
        <v>1</v>
      </c>
      <c r="F355">
        <v>0.58914185639229422</v>
      </c>
      <c r="G355" s="1" t="str">
        <f t="shared" si="47"/>
        <v/>
      </c>
      <c r="H355" s="1" t="str">
        <f t="shared" si="48"/>
        <v/>
      </c>
      <c r="I355" s="1">
        <f t="shared" si="49"/>
        <v>1</v>
      </c>
      <c r="J355" s="1" t="str">
        <f t="shared" si="50"/>
        <v/>
      </c>
      <c r="K355" s="1" t="str">
        <f t="shared" si="51"/>
        <v/>
      </c>
      <c r="L355" s="1" t="str">
        <f t="shared" si="52"/>
        <v/>
      </c>
    </row>
    <row r="356" spans="1:12">
      <c r="A356" t="s">
        <v>113</v>
      </c>
      <c r="B356">
        <v>21</v>
      </c>
      <c r="C356" t="str">
        <f t="shared" si="46"/>
        <v>test.ImageData_21_</v>
      </c>
      <c r="D356">
        <v>2</v>
      </c>
      <c r="E356">
        <v>0.54385964912280704</v>
      </c>
      <c r="F356">
        <v>0.51710764457467895</v>
      </c>
      <c r="G356" s="1" t="str">
        <f t="shared" si="47"/>
        <v/>
      </c>
      <c r="H356" s="1" t="str">
        <f t="shared" si="48"/>
        <v/>
      </c>
      <c r="I356" s="1">
        <f t="shared" si="49"/>
        <v>0.54385964912280704</v>
      </c>
      <c r="J356" s="1" t="str">
        <f t="shared" si="50"/>
        <v/>
      </c>
      <c r="K356" s="1" t="str">
        <f t="shared" si="51"/>
        <v/>
      </c>
      <c r="L356" s="1" t="str">
        <f t="shared" si="52"/>
        <v/>
      </c>
    </row>
    <row r="357" spans="1:12">
      <c r="A357" t="s">
        <v>113</v>
      </c>
      <c r="B357">
        <v>21</v>
      </c>
      <c r="C357" t="str">
        <f t="shared" si="46"/>
        <v>test.ImageData_21_</v>
      </c>
      <c r="D357">
        <v>3</v>
      </c>
      <c r="E357">
        <v>1</v>
      </c>
      <c r="F357">
        <v>0.51908989054554855</v>
      </c>
      <c r="G357" s="1" t="str">
        <f t="shared" si="47"/>
        <v/>
      </c>
      <c r="H357" s="1" t="str">
        <f t="shared" si="48"/>
        <v/>
      </c>
      <c r="I357" s="1">
        <f t="shared" si="49"/>
        <v>1</v>
      </c>
      <c r="J357" s="1" t="str">
        <f t="shared" si="50"/>
        <v/>
      </c>
      <c r="K357" s="1" t="str">
        <f t="shared" si="51"/>
        <v/>
      </c>
      <c r="L357" s="1" t="str">
        <f t="shared" si="52"/>
        <v/>
      </c>
    </row>
    <row r="358" spans="1:12">
      <c r="A358" t="s">
        <v>145</v>
      </c>
      <c r="B358">
        <v>0</v>
      </c>
      <c r="C358" t="str">
        <f t="shared" si="46"/>
        <v>test.QRCodeDataBlockReader_0_</v>
      </c>
      <c r="D358">
        <v>4</v>
      </c>
      <c r="E358">
        <v>0.1</v>
      </c>
      <c r="F358">
        <v>0.40331491712707185</v>
      </c>
      <c r="G358" s="1" t="str">
        <f t="shared" si="47"/>
        <v/>
      </c>
      <c r="H358" s="1" t="str">
        <f t="shared" si="48"/>
        <v/>
      </c>
      <c r="I358" s="1">
        <f t="shared" si="49"/>
        <v>0.1</v>
      </c>
      <c r="J358" s="1" t="str">
        <f t="shared" si="50"/>
        <v/>
      </c>
      <c r="K358" s="1" t="str">
        <f t="shared" si="51"/>
        <v/>
      </c>
      <c r="L358" s="1" t="str">
        <f t="shared" si="52"/>
        <v/>
      </c>
    </row>
    <row r="359" spans="1:12">
      <c r="A359" t="s">
        <v>145</v>
      </c>
      <c r="B359">
        <v>0</v>
      </c>
      <c r="C359" t="str">
        <f t="shared" si="46"/>
        <v>test.QRCodeDataBlockReader_0_</v>
      </c>
      <c r="D359">
        <v>5</v>
      </c>
      <c r="E359">
        <v>0.6</v>
      </c>
      <c r="F359">
        <v>0.75690607734806625</v>
      </c>
      <c r="G359" s="1" t="str">
        <f t="shared" si="47"/>
        <v/>
      </c>
      <c r="H359" s="1" t="str">
        <f t="shared" si="48"/>
        <v/>
      </c>
      <c r="I359" s="1" t="str">
        <f t="shared" si="49"/>
        <v/>
      </c>
      <c r="J359" s="1">
        <f t="shared" si="50"/>
        <v>0.6</v>
      </c>
      <c r="K359" s="1" t="str">
        <f t="shared" si="51"/>
        <v/>
      </c>
      <c r="L359" s="1" t="str">
        <f t="shared" si="52"/>
        <v/>
      </c>
    </row>
    <row r="360" spans="1:12">
      <c r="A360" t="s">
        <v>145</v>
      </c>
      <c r="B360">
        <v>0</v>
      </c>
      <c r="C360" t="str">
        <f t="shared" si="46"/>
        <v>test.QRCodeDataBlockReader_0_</v>
      </c>
      <c r="D360">
        <v>6</v>
      </c>
      <c r="E360">
        <v>1</v>
      </c>
      <c r="F360">
        <v>0.98342541436464093</v>
      </c>
      <c r="G360" s="1" t="str">
        <f t="shared" si="47"/>
        <v/>
      </c>
      <c r="H360" s="1" t="str">
        <f t="shared" si="48"/>
        <v/>
      </c>
      <c r="I360" s="1" t="str">
        <f t="shared" si="49"/>
        <v/>
      </c>
      <c r="J360" s="1" t="str">
        <f t="shared" si="50"/>
        <v/>
      </c>
      <c r="K360" s="1">
        <f t="shared" si="51"/>
        <v>1</v>
      </c>
      <c r="L360" s="1" t="str">
        <f t="shared" si="52"/>
        <v/>
      </c>
    </row>
    <row r="361" spans="1:12">
      <c r="A361" t="s">
        <v>145</v>
      </c>
      <c r="B361">
        <v>1</v>
      </c>
      <c r="C361" t="str">
        <f t="shared" si="46"/>
        <v>test.QRCodeDataBlockReader_1_</v>
      </c>
      <c r="D361">
        <v>1</v>
      </c>
      <c r="E361">
        <v>9.7345132743362831E-2</v>
      </c>
      <c r="F361">
        <v>8.2331653095515059E-2</v>
      </c>
      <c r="G361" s="1">
        <f t="shared" si="47"/>
        <v>9.7345132743362831E-2</v>
      </c>
      <c r="H361" s="1" t="str">
        <f t="shared" si="48"/>
        <v/>
      </c>
      <c r="I361" s="1" t="str">
        <f t="shared" si="49"/>
        <v/>
      </c>
      <c r="J361" s="1" t="str">
        <f t="shared" si="50"/>
        <v/>
      </c>
      <c r="K361" s="1" t="str">
        <f t="shared" si="51"/>
        <v/>
      </c>
      <c r="L361" s="1" t="str">
        <f t="shared" si="52"/>
        <v/>
      </c>
    </row>
    <row r="362" spans="1:12">
      <c r="A362" t="s">
        <v>145</v>
      </c>
      <c r="B362">
        <v>1</v>
      </c>
      <c r="C362" t="str">
        <f t="shared" si="46"/>
        <v>test.QRCodeDataBlockReader_1_</v>
      </c>
      <c r="D362">
        <v>2</v>
      </c>
      <c r="E362">
        <v>0.26548672566371684</v>
      </c>
      <c r="F362">
        <v>0.1974925681788807</v>
      </c>
      <c r="G362" s="1">
        <f t="shared" si="47"/>
        <v>0.26548672566371684</v>
      </c>
      <c r="H362" s="1" t="str">
        <f t="shared" si="48"/>
        <v/>
      </c>
      <c r="I362" s="1" t="str">
        <f t="shared" si="49"/>
        <v/>
      </c>
      <c r="J362" s="1" t="str">
        <f t="shared" si="50"/>
        <v/>
      </c>
      <c r="K362" s="1" t="str">
        <f t="shared" si="51"/>
        <v/>
      </c>
      <c r="L362" s="1" t="str">
        <f t="shared" si="52"/>
        <v/>
      </c>
    </row>
    <row r="363" spans="1:12">
      <c r="A363" t="s">
        <v>145</v>
      </c>
      <c r="B363">
        <v>1</v>
      </c>
      <c r="C363" t="str">
        <f t="shared" si="46"/>
        <v>test.QRCodeDataBlockReader_1_</v>
      </c>
      <c r="D363">
        <v>3</v>
      </c>
      <c r="E363">
        <v>0.51327433628318586</v>
      </c>
      <c r="F363">
        <v>0.28551118004394466</v>
      </c>
      <c r="G363" s="1" t="str">
        <f t="shared" si="47"/>
        <v/>
      </c>
      <c r="H363" s="1">
        <f t="shared" si="48"/>
        <v>0.51327433628318586</v>
      </c>
      <c r="I363" s="1" t="str">
        <f t="shared" si="49"/>
        <v/>
      </c>
      <c r="J363" s="1" t="str">
        <f t="shared" si="50"/>
        <v/>
      </c>
      <c r="K363" s="1" t="str">
        <f t="shared" si="51"/>
        <v/>
      </c>
      <c r="L363" s="1" t="str">
        <f t="shared" si="52"/>
        <v/>
      </c>
    </row>
    <row r="364" spans="1:12">
      <c r="A364" t="s">
        <v>145</v>
      </c>
      <c r="B364">
        <v>1</v>
      </c>
      <c r="C364" t="str">
        <f t="shared" si="46"/>
        <v>test.QRCodeDataBlockReader_1_</v>
      </c>
      <c r="D364">
        <v>4</v>
      </c>
      <c r="E364">
        <v>1</v>
      </c>
      <c r="F364">
        <v>0.58860023264831329</v>
      </c>
      <c r="G364" s="1" t="str">
        <f t="shared" si="47"/>
        <v/>
      </c>
      <c r="H364" s="1" t="str">
        <f t="shared" si="48"/>
        <v/>
      </c>
      <c r="I364" s="1">
        <f t="shared" si="49"/>
        <v>1</v>
      </c>
      <c r="J364" s="1" t="str">
        <f t="shared" si="50"/>
        <v/>
      </c>
      <c r="K364" s="1" t="str">
        <f t="shared" si="51"/>
        <v/>
      </c>
      <c r="L364" s="1" t="str">
        <f t="shared" si="52"/>
        <v/>
      </c>
    </row>
    <row r="365" spans="1:12">
      <c r="A365" t="s">
        <v>149</v>
      </c>
      <c r="B365">
        <v>1</v>
      </c>
      <c r="C365" t="str">
        <f t="shared" si="46"/>
        <v>test.StructurePanel_1_</v>
      </c>
      <c r="D365">
        <v>5</v>
      </c>
      <c r="E365">
        <v>0.10638297872340426</v>
      </c>
      <c r="F365">
        <v>0.13661202185792351</v>
      </c>
      <c r="G365" s="1">
        <f t="shared" si="47"/>
        <v>0.10638297872340426</v>
      </c>
      <c r="H365" s="1" t="str">
        <f t="shared" si="48"/>
        <v/>
      </c>
      <c r="I365" s="1" t="str">
        <f t="shared" si="49"/>
        <v/>
      </c>
      <c r="J365" s="1" t="str">
        <f t="shared" si="50"/>
        <v/>
      </c>
      <c r="K365" s="1" t="str">
        <f t="shared" si="51"/>
        <v/>
      </c>
      <c r="L365" s="1" t="str">
        <f t="shared" si="52"/>
        <v/>
      </c>
    </row>
    <row r="366" spans="1:12">
      <c r="A366" t="s">
        <v>149</v>
      </c>
      <c r="B366">
        <v>1</v>
      </c>
      <c r="C366" t="str">
        <f t="shared" si="46"/>
        <v>test.StructurePanel_1_</v>
      </c>
      <c r="D366">
        <v>6</v>
      </c>
      <c r="E366">
        <v>0.18085106382978725</v>
      </c>
      <c r="F366">
        <v>0.14014786242365798</v>
      </c>
      <c r="G366" s="1">
        <f t="shared" si="47"/>
        <v>0.18085106382978725</v>
      </c>
      <c r="H366" s="1" t="str">
        <f t="shared" si="48"/>
        <v/>
      </c>
      <c r="I366" s="1" t="str">
        <f t="shared" si="49"/>
        <v/>
      </c>
      <c r="J366" s="1" t="str">
        <f t="shared" si="50"/>
        <v/>
      </c>
      <c r="K366" s="1" t="str">
        <f t="shared" si="51"/>
        <v/>
      </c>
      <c r="L366" s="1" t="str">
        <f t="shared" si="52"/>
        <v/>
      </c>
    </row>
    <row r="367" spans="1:12">
      <c r="A367" t="s">
        <v>149</v>
      </c>
      <c r="B367">
        <v>1</v>
      </c>
      <c r="C367" t="str">
        <f t="shared" si="46"/>
        <v>test.StructurePanel_1_</v>
      </c>
      <c r="D367">
        <v>7</v>
      </c>
      <c r="E367">
        <v>0.2978723404255319</v>
      </c>
      <c r="F367">
        <v>0.24815171970427516</v>
      </c>
      <c r="G367" s="1" t="str">
        <f t="shared" si="47"/>
        <v/>
      </c>
      <c r="H367" s="1">
        <f t="shared" si="48"/>
        <v>0.2978723404255319</v>
      </c>
      <c r="I367" s="1" t="str">
        <f t="shared" si="49"/>
        <v/>
      </c>
      <c r="J367" s="1" t="str">
        <f t="shared" si="50"/>
        <v/>
      </c>
      <c r="K367" s="1" t="str">
        <f t="shared" si="51"/>
        <v/>
      </c>
      <c r="L367" s="1" t="str">
        <f t="shared" si="52"/>
        <v/>
      </c>
    </row>
    <row r="368" spans="1:12">
      <c r="A368" t="s">
        <v>149</v>
      </c>
      <c r="B368">
        <v>1</v>
      </c>
      <c r="C368" t="str">
        <f t="shared" si="46"/>
        <v>test.StructurePanel_1_</v>
      </c>
      <c r="D368">
        <v>8</v>
      </c>
      <c r="E368">
        <v>0.43617021276595747</v>
      </c>
      <c r="F368">
        <v>0.25811636129861781</v>
      </c>
      <c r="G368" s="1" t="str">
        <f t="shared" si="47"/>
        <v/>
      </c>
      <c r="H368" s="1">
        <f t="shared" si="48"/>
        <v>0.43617021276595747</v>
      </c>
      <c r="I368" s="1" t="str">
        <f t="shared" si="49"/>
        <v/>
      </c>
      <c r="J368" s="1" t="str">
        <f t="shared" si="50"/>
        <v/>
      </c>
      <c r="K368" s="1" t="str">
        <f t="shared" si="51"/>
        <v/>
      </c>
      <c r="L368" s="1" t="str">
        <f t="shared" si="52"/>
        <v/>
      </c>
    </row>
    <row r="369" spans="1:12">
      <c r="A369" t="s">
        <v>149</v>
      </c>
      <c r="B369">
        <v>1</v>
      </c>
      <c r="C369" t="str">
        <f t="shared" si="46"/>
        <v>test.StructurePanel_1_</v>
      </c>
      <c r="D369">
        <v>9</v>
      </c>
      <c r="E369">
        <v>0.56382978723404253</v>
      </c>
      <c r="F369">
        <v>0.26165220186435229</v>
      </c>
      <c r="G369" s="1" t="str">
        <f t="shared" si="47"/>
        <v/>
      </c>
      <c r="H369" s="1">
        <f t="shared" si="48"/>
        <v>0.56382978723404253</v>
      </c>
      <c r="I369" s="1" t="str">
        <f t="shared" si="49"/>
        <v/>
      </c>
      <c r="J369" s="1" t="str">
        <f t="shared" si="50"/>
        <v/>
      </c>
      <c r="K369" s="1" t="str">
        <f t="shared" si="51"/>
        <v/>
      </c>
      <c r="L369" s="1" t="str">
        <f t="shared" si="52"/>
        <v/>
      </c>
    </row>
    <row r="370" spans="1:12">
      <c r="A370" t="s">
        <v>149</v>
      </c>
      <c r="B370">
        <v>1</v>
      </c>
      <c r="C370" t="str">
        <f t="shared" si="46"/>
        <v>test.StructurePanel_1_</v>
      </c>
      <c r="D370">
        <v>10</v>
      </c>
      <c r="E370">
        <v>0.69148936170212771</v>
      </c>
      <c r="F370">
        <v>0.27033108325297334</v>
      </c>
      <c r="G370" s="1" t="str">
        <f t="shared" si="47"/>
        <v/>
      </c>
      <c r="H370" s="1">
        <f t="shared" si="48"/>
        <v>0.69148936170212771</v>
      </c>
      <c r="I370" s="1" t="str">
        <f t="shared" si="49"/>
        <v/>
      </c>
      <c r="J370" s="1" t="str">
        <f t="shared" si="50"/>
        <v/>
      </c>
      <c r="K370" s="1" t="str">
        <f t="shared" si="51"/>
        <v/>
      </c>
      <c r="L370" s="1" t="str">
        <f t="shared" si="52"/>
        <v/>
      </c>
    </row>
    <row r="371" spans="1:12">
      <c r="A371" t="s">
        <v>149</v>
      </c>
      <c r="B371">
        <v>1</v>
      </c>
      <c r="C371" t="str">
        <f t="shared" si="46"/>
        <v>test.StructurePanel_1_</v>
      </c>
      <c r="D371">
        <v>1</v>
      </c>
      <c r="E371">
        <v>0.85106382978723405</v>
      </c>
      <c r="F371">
        <v>0.27258116361298618</v>
      </c>
      <c r="G371" s="1" t="str">
        <f t="shared" si="47"/>
        <v/>
      </c>
      <c r="H371" s="1">
        <f t="shared" si="48"/>
        <v>0.85106382978723405</v>
      </c>
      <c r="I371" s="1" t="str">
        <f t="shared" si="49"/>
        <v/>
      </c>
      <c r="J371" s="1" t="str">
        <f t="shared" si="50"/>
        <v/>
      </c>
      <c r="K371" s="1" t="str">
        <f t="shared" si="51"/>
        <v/>
      </c>
      <c r="L371" s="1" t="str">
        <f t="shared" si="52"/>
        <v/>
      </c>
    </row>
    <row r="372" spans="1:12">
      <c r="A372" t="s">
        <v>149</v>
      </c>
      <c r="B372">
        <v>1</v>
      </c>
      <c r="C372" t="str">
        <f t="shared" si="46"/>
        <v>test.StructurePanel_1_</v>
      </c>
      <c r="D372">
        <v>2</v>
      </c>
      <c r="E372">
        <v>1</v>
      </c>
      <c r="F372">
        <v>0.31758277081324332</v>
      </c>
      <c r="G372" s="1" t="str">
        <f t="shared" si="47"/>
        <v/>
      </c>
      <c r="H372" s="1">
        <f t="shared" si="48"/>
        <v>1</v>
      </c>
      <c r="I372" s="1" t="str">
        <f t="shared" si="49"/>
        <v/>
      </c>
      <c r="J372" s="1" t="str">
        <f t="shared" si="50"/>
        <v/>
      </c>
      <c r="K372" s="1" t="str">
        <f t="shared" si="51"/>
        <v/>
      </c>
      <c r="L372" s="1" t="str">
        <f t="shared" si="52"/>
        <v/>
      </c>
    </row>
    <row r="373" spans="1:12">
      <c r="A373" t="s">
        <v>304</v>
      </c>
      <c r="B373">
        <v>5</v>
      </c>
      <c r="C373" t="str">
        <f t="shared" si="46"/>
        <v>test.TileRenderor_5_</v>
      </c>
      <c r="D373">
        <v>3</v>
      </c>
      <c r="E373">
        <v>0.12796208530805686</v>
      </c>
      <c r="F373">
        <v>0.20118473014480034</v>
      </c>
      <c r="G373" s="1" t="str">
        <f t="shared" si="47"/>
        <v/>
      </c>
      <c r="H373" s="1">
        <f t="shared" si="48"/>
        <v>0.12796208530805686</v>
      </c>
      <c r="I373" s="1" t="str">
        <f t="shared" si="49"/>
        <v/>
      </c>
      <c r="J373" s="1" t="str">
        <f t="shared" si="50"/>
        <v/>
      </c>
      <c r="K373" s="1" t="str">
        <f t="shared" si="51"/>
        <v/>
      </c>
      <c r="L373" s="1" t="str">
        <f t="shared" si="52"/>
        <v/>
      </c>
    </row>
    <row r="374" spans="1:12">
      <c r="A374" t="s">
        <v>304</v>
      </c>
      <c r="B374">
        <v>5</v>
      </c>
      <c r="C374" t="str">
        <f t="shared" si="46"/>
        <v>test.TileRenderor_5_</v>
      </c>
      <c r="D374">
        <v>4</v>
      </c>
      <c r="E374">
        <v>0.1990521327014218</v>
      </c>
      <c r="F374">
        <v>0.21456779289161912</v>
      </c>
      <c r="G374" s="1" t="str">
        <f t="shared" si="47"/>
        <v/>
      </c>
      <c r="H374" s="1">
        <f t="shared" si="48"/>
        <v>0.1990521327014218</v>
      </c>
      <c r="I374" s="1" t="str">
        <f t="shared" si="49"/>
        <v/>
      </c>
      <c r="J374" s="1" t="str">
        <f t="shared" si="50"/>
        <v/>
      </c>
      <c r="K374" s="1" t="str">
        <f t="shared" si="51"/>
        <v/>
      </c>
      <c r="L374" s="1" t="str">
        <f t="shared" si="52"/>
        <v/>
      </c>
    </row>
    <row r="375" spans="1:12">
      <c r="A375" t="s">
        <v>304</v>
      </c>
      <c r="B375">
        <v>5</v>
      </c>
      <c r="C375" t="str">
        <f t="shared" si="46"/>
        <v>test.TileRenderor_5_</v>
      </c>
      <c r="D375">
        <v>5</v>
      </c>
      <c r="E375">
        <v>0.32701421800947866</v>
      </c>
      <c r="F375">
        <v>0.22531812198332601</v>
      </c>
      <c r="G375" s="1" t="str">
        <f t="shared" si="47"/>
        <v/>
      </c>
      <c r="H375" s="1">
        <f t="shared" si="48"/>
        <v>0.32701421800947866</v>
      </c>
      <c r="I375" s="1" t="str">
        <f t="shared" si="49"/>
        <v/>
      </c>
      <c r="J375" s="1" t="str">
        <f t="shared" si="50"/>
        <v/>
      </c>
      <c r="K375" s="1" t="str">
        <f t="shared" si="51"/>
        <v/>
      </c>
      <c r="L375" s="1" t="str">
        <f t="shared" si="52"/>
        <v/>
      </c>
    </row>
    <row r="376" spans="1:12">
      <c r="A376" t="s">
        <v>304</v>
      </c>
      <c r="B376">
        <v>5</v>
      </c>
      <c r="C376" t="str">
        <f t="shared" si="46"/>
        <v>test.TileRenderor_5_</v>
      </c>
      <c r="D376">
        <v>6</v>
      </c>
      <c r="E376">
        <v>0.36966824644549762</v>
      </c>
      <c r="F376">
        <v>0.23146116717858711</v>
      </c>
      <c r="G376" s="1" t="str">
        <f t="shared" si="47"/>
        <v/>
      </c>
      <c r="H376" s="1">
        <f t="shared" si="48"/>
        <v>0.36966824644549762</v>
      </c>
      <c r="I376" s="1" t="str">
        <f t="shared" si="49"/>
        <v/>
      </c>
      <c r="J376" s="1" t="str">
        <f t="shared" si="50"/>
        <v/>
      </c>
      <c r="K376" s="1" t="str">
        <f t="shared" si="51"/>
        <v/>
      </c>
      <c r="L376" s="1" t="str">
        <f t="shared" si="52"/>
        <v/>
      </c>
    </row>
    <row r="377" spans="1:12">
      <c r="A377" t="s">
        <v>304</v>
      </c>
      <c r="B377">
        <v>5</v>
      </c>
      <c r="C377" t="str">
        <f t="shared" si="46"/>
        <v>test.TileRenderor_5_</v>
      </c>
      <c r="D377">
        <v>7</v>
      </c>
      <c r="E377">
        <v>0.38862559241706163</v>
      </c>
      <c r="F377">
        <v>0.23628784554629223</v>
      </c>
      <c r="G377" s="1" t="str">
        <f t="shared" si="47"/>
        <v/>
      </c>
      <c r="H377" s="1">
        <f t="shared" si="48"/>
        <v>0.38862559241706163</v>
      </c>
      <c r="I377" s="1" t="str">
        <f t="shared" si="49"/>
        <v/>
      </c>
      <c r="J377" s="1" t="str">
        <f t="shared" si="50"/>
        <v/>
      </c>
      <c r="K377" s="1" t="str">
        <f t="shared" si="51"/>
        <v/>
      </c>
      <c r="L377" s="1" t="str">
        <f t="shared" si="52"/>
        <v/>
      </c>
    </row>
    <row r="378" spans="1:12">
      <c r="A378" t="s">
        <v>304</v>
      </c>
      <c r="B378">
        <v>5</v>
      </c>
      <c r="C378" t="str">
        <f t="shared" si="46"/>
        <v>test.TileRenderor_5_</v>
      </c>
      <c r="D378">
        <v>8</v>
      </c>
      <c r="E378">
        <v>0.43127962085308058</v>
      </c>
      <c r="F378">
        <v>0.24045634050021938</v>
      </c>
      <c r="G378" s="1" t="str">
        <f t="shared" si="47"/>
        <v/>
      </c>
      <c r="H378" s="1">
        <f t="shared" si="48"/>
        <v>0.43127962085308058</v>
      </c>
      <c r="I378" s="1" t="str">
        <f t="shared" si="49"/>
        <v/>
      </c>
      <c r="J378" s="1" t="str">
        <f t="shared" si="50"/>
        <v/>
      </c>
      <c r="K378" s="1" t="str">
        <f t="shared" si="51"/>
        <v/>
      </c>
      <c r="L378" s="1" t="str">
        <f t="shared" si="52"/>
        <v/>
      </c>
    </row>
    <row r="379" spans="1:12">
      <c r="A379" t="s">
        <v>304</v>
      </c>
      <c r="B379">
        <v>5</v>
      </c>
      <c r="C379" t="str">
        <f t="shared" si="46"/>
        <v>test.TileRenderor_5_</v>
      </c>
      <c r="D379">
        <v>9</v>
      </c>
      <c r="E379">
        <v>0.47393364928909953</v>
      </c>
      <c r="F379">
        <v>0.24484422992540589</v>
      </c>
      <c r="G379" s="1" t="str">
        <f t="shared" si="47"/>
        <v/>
      </c>
      <c r="H379" s="1">
        <f t="shared" si="48"/>
        <v>0.47393364928909953</v>
      </c>
      <c r="I379" s="1" t="str">
        <f t="shared" si="49"/>
        <v/>
      </c>
      <c r="J379" s="1" t="str">
        <f t="shared" si="50"/>
        <v/>
      </c>
      <c r="K379" s="1" t="str">
        <f t="shared" si="51"/>
        <v/>
      </c>
      <c r="L379" s="1" t="str">
        <f t="shared" si="52"/>
        <v/>
      </c>
    </row>
    <row r="380" spans="1:12">
      <c r="A380" t="s">
        <v>304</v>
      </c>
      <c r="B380">
        <v>5</v>
      </c>
      <c r="C380" t="str">
        <f t="shared" si="46"/>
        <v>test.TileRenderor_5_</v>
      </c>
      <c r="D380">
        <v>10</v>
      </c>
      <c r="E380">
        <v>0.48341232227488151</v>
      </c>
      <c r="F380">
        <v>0.24506362439666521</v>
      </c>
      <c r="G380" s="1" t="str">
        <f t="shared" si="47"/>
        <v/>
      </c>
      <c r="H380" s="1">
        <f t="shared" si="48"/>
        <v>0.48341232227488151</v>
      </c>
      <c r="I380" s="1" t="str">
        <f t="shared" si="49"/>
        <v/>
      </c>
      <c r="J380" s="1" t="str">
        <f t="shared" si="50"/>
        <v/>
      </c>
      <c r="K380" s="1" t="str">
        <f t="shared" si="51"/>
        <v/>
      </c>
      <c r="L380" s="1" t="str">
        <f t="shared" si="52"/>
        <v/>
      </c>
    </row>
    <row r="381" spans="1:12">
      <c r="A381" t="s">
        <v>304</v>
      </c>
      <c r="B381">
        <v>5</v>
      </c>
      <c r="C381" t="str">
        <f t="shared" si="46"/>
        <v>test.TileRenderor_5_</v>
      </c>
      <c r="D381">
        <v>1</v>
      </c>
      <c r="E381">
        <v>0.52606635071090047</v>
      </c>
      <c r="F381">
        <v>0.25230364194822291</v>
      </c>
      <c r="G381" s="1" t="str">
        <f t="shared" si="47"/>
        <v/>
      </c>
      <c r="H381" s="1">
        <f t="shared" si="48"/>
        <v>0.52606635071090047</v>
      </c>
      <c r="I381" s="1" t="str">
        <f t="shared" si="49"/>
        <v/>
      </c>
      <c r="J381" s="1" t="str">
        <f t="shared" si="50"/>
        <v/>
      </c>
      <c r="K381" s="1" t="str">
        <f t="shared" si="51"/>
        <v/>
      </c>
      <c r="L381" s="1" t="str">
        <f t="shared" si="52"/>
        <v/>
      </c>
    </row>
    <row r="382" spans="1:12">
      <c r="A382" t="s">
        <v>304</v>
      </c>
      <c r="B382">
        <v>5</v>
      </c>
      <c r="C382" t="str">
        <f t="shared" si="46"/>
        <v>test.TileRenderor_5_</v>
      </c>
      <c r="D382">
        <v>2</v>
      </c>
      <c r="E382">
        <v>0.54502369668246442</v>
      </c>
      <c r="F382">
        <v>0.25471698113207547</v>
      </c>
      <c r="G382" s="1" t="str">
        <f t="shared" si="47"/>
        <v/>
      </c>
      <c r="H382" s="1">
        <f t="shared" si="48"/>
        <v>0.54502369668246442</v>
      </c>
      <c r="I382" s="1" t="str">
        <f t="shared" si="49"/>
        <v/>
      </c>
      <c r="J382" s="1" t="str">
        <f t="shared" si="50"/>
        <v/>
      </c>
      <c r="K382" s="1" t="str">
        <f t="shared" si="51"/>
        <v/>
      </c>
      <c r="L382" s="1" t="str">
        <f t="shared" si="52"/>
        <v/>
      </c>
    </row>
    <row r="383" spans="1:12">
      <c r="A383" t="s">
        <v>304</v>
      </c>
      <c r="B383">
        <v>5</v>
      </c>
      <c r="C383" t="str">
        <f t="shared" si="46"/>
        <v>test.TileRenderor_5_</v>
      </c>
      <c r="D383">
        <v>3</v>
      </c>
      <c r="E383">
        <v>0.67772511848341233</v>
      </c>
      <c r="F383">
        <v>0.2676612549363756</v>
      </c>
      <c r="G383" s="1" t="str">
        <f t="shared" si="47"/>
        <v/>
      </c>
      <c r="H383" s="1">
        <f t="shared" si="48"/>
        <v>0.67772511848341233</v>
      </c>
      <c r="I383" s="1" t="str">
        <f t="shared" si="49"/>
        <v/>
      </c>
      <c r="J383" s="1" t="str">
        <f t="shared" si="50"/>
        <v/>
      </c>
      <c r="K383" s="1" t="str">
        <f t="shared" si="51"/>
        <v/>
      </c>
      <c r="L383" s="1" t="str">
        <f t="shared" si="52"/>
        <v/>
      </c>
    </row>
    <row r="384" spans="1:12">
      <c r="A384" t="s">
        <v>304</v>
      </c>
      <c r="B384">
        <v>5</v>
      </c>
      <c r="C384" t="str">
        <f t="shared" si="46"/>
        <v>test.TileRenderor_5_</v>
      </c>
      <c r="D384">
        <v>4</v>
      </c>
      <c r="E384">
        <v>0.73933649289099523</v>
      </c>
      <c r="F384">
        <v>0.28170250109697237</v>
      </c>
      <c r="G384" s="1" t="str">
        <f t="shared" si="47"/>
        <v/>
      </c>
      <c r="H384" s="1">
        <f t="shared" si="48"/>
        <v>0.73933649289099523</v>
      </c>
      <c r="I384" s="1" t="str">
        <f t="shared" si="49"/>
        <v/>
      </c>
      <c r="J384" s="1" t="str">
        <f t="shared" si="50"/>
        <v/>
      </c>
      <c r="K384" s="1" t="str">
        <f t="shared" si="51"/>
        <v/>
      </c>
      <c r="L384" s="1" t="str">
        <f t="shared" si="52"/>
        <v/>
      </c>
    </row>
    <row r="385" spans="1:12">
      <c r="A385" t="s">
        <v>304</v>
      </c>
      <c r="B385">
        <v>5</v>
      </c>
      <c r="C385" t="str">
        <f t="shared" si="46"/>
        <v>test.TileRenderor_5_</v>
      </c>
      <c r="D385">
        <v>5</v>
      </c>
      <c r="E385">
        <v>0.79620853080568721</v>
      </c>
      <c r="F385">
        <v>0.28828433523475211</v>
      </c>
      <c r="G385" s="1" t="str">
        <f t="shared" si="47"/>
        <v/>
      </c>
      <c r="H385" s="1">
        <f t="shared" si="48"/>
        <v>0.79620853080568721</v>
      </c>
      <c r="I385" s="1" t="str">
        <f t="shared" si="49"/>
        <v/>
      </c>
      <c r="J385" s="1" t="str">
        <f t="shared" si="50"/>
        <v/>
      </c>
      <c r="K385" s="1" t="str">
        <f t="shared" si="51"/>
        <v/>
      </c>
      <c r="L385" s="1" t="str">
        <f t="shared" si="52"/>
        <v/>
      </c>
    </row>
    <row r="386" spans="1:12">
      <c r="A386" t="s">
        <v>304</v>
      </c>
      <c r="B386">
        <v>5</v>
      </c>
      <c r="C386" t="str">
        <f t="shared" si="46"/>
        <v>test.TileRenderor_5_</v>
      </c>
      <c r="D386">
        <v>6</v>
      </c>
      <c r="E386">
        <v>0.79620853080568721</v>
      </c>
      <c r="F386">
        <v>0.29157525230364195</v>
      </c>
      <c r="G386" s="1" t="str">
        <f t="shared" si="47"/>
        <v/>
      </c>
      <c r="H386" s="1">
        <f t="shared" si="48"/>
        <v>0.79620853080568721</v>
      </c>
      <c r="I386" s="1" t="str">
        <f t="shared" si="49"/>
        <v/>
      </c>
      <c r="J386" s="1" t="str">
        <f t="shared" si="50"/>
        <v/>
      </c>
      <c r="K386" s="1" t="str">
        <f t="shared" si="51"/>
        <v/>
      </c>
      <c r="L386" s="1" t="str">
        <f t="shared" si="52"/>
        <v/>
      </c>
    </row>
    <row r="387" spans="1:12">
      <c r="A387" t="s">
        <v>304</v>
      </c>
      <c r="B387">
        <v>5</v>
      </c>
      <c r="C387" t="str">
        <f t="shared" ref="C387:C450" si="53">CONCATENATE(A387, "_",B387,"_")</f>
        <v>test.TileRenderor_5_</v>
      </c>
      <c r="D387">
        <v>1</v>
      </c>
      <c r="E387">
        <v>0.84360189573459721</v>
      </c>
      <c r="F387">
        <v>0.29354980254497587</v>
      </c>
      <c r="G387" s="1" t="str">
        <f t="shared" ref="G387:G450" si="54">IF($F387 &lt;= 0.2,$E387,"")</f>
        <v/>
      </c>
      <c r="H387" s="1">
        <f t="shared" ref="H387:H450" si="55">IF(AND($F387 &gt; 0.2,$F387 &lt;= 0.4),$E387,"")</f>
        <v>0.84360189573459721</v>
      </c>
      <c r="I387" s="1" t="str">
        <f t="shared" ref="I387:I450" si="56">IF(AND($F387 &gt; 0.4,$F387 &lt;= 0.6),$E387,"")</f>
        <v/>
      </c>
      <c r="J387" s="1" t="str">
        <f t="shared" ref="J387:J450" si="57">IF(AND($F387 &gt; 0.6,$F387 &lt;= 0.8),$E387,"")</f>
        <v/>
      </c>
      <c r="K387" s="1" t="str">
        <f t="shared" ref="K387:K450" si="58">IF(AND($F387 &gt; 0.8, $F387 &lt;=1.1),$E387,"")</f>
        <v/>
      </c>
      <c r="L387" s="1" t="str">
        <f t="shared" ref="L387:L450" si="59">IF(AND($F387 &gt; 1.1),$E387,"")</f>
        <v/>
      </c>
    </row>
    <row r="388" spans="1:12">
      <c r="A388" t="s">
        <v>304</v>
      </c>
      <c r="B388">
        <v>5</v>
      </c>
      <c r="C388" t="str">
        <f t="shared" si="53"/>
        <v>test.TileRenderor_5_</v>
      </c>
      <c r="D388">
        <v>2</v>
      </c>
      <c r="E388">
        <v>0.84360189573459721</v>
      </c>
      <c r="F388">
        <v>0.35454146555506799</v>
      </c>
      <c r="G388" s="1" t="str">
        <f t="shared" si="54"/>
        <v/>
      </c>
      <c r="H388" s="1">
        <f t="shared" si="55"/>
        <v>0.84360189573459721</v>
      </c>
      <c r="I388" s="1" t="str">
        <f t="shared" si="56"/>
        <v/>
      </c>
      <c r="J388" s="1" t="str">
        <f t="shared" si="57"/>
        <v/>
      </c>
      <c r="K388" s="1" t="str">
        <f t="shared" si="58"/>
        <v/>
      </c>
      <c r="L388" s="1" t="str">
        <f t="shared" si="59"/>
        <v/>
      </c>
    </row>
    <row r="389" spans="1:12">
      <c r="A389" t="s">
        <v>304</v>
      </c>
      <c r="B389">
        <v>5</v>
      </c>
      <c r="C389" t="str">
        <f t="shared" si="53"/>
        <v>test.TileRenderor_5_</v>
      </c>
      <c r="D389">
        <v>3</v>
      </c>
      <c r="E389">
        <v>0.98104265402843605</v>
      </c>
      <c r="F389">
        <v>0.40302764370337868</v>
      </c>
      <c r="G389" s="1" t="str">
        <f t="shared" si="54"/>
        <v/>
      </c>
      <c r="H389" s="1" t="str">
        <f t="shared" si="55"/>
        <v/>
      </c>
      <c r="I389" s="1">
        <f t="shared" si="56"/>
        <v>0.98104265402843605</v>
      </c>
      <c r="J389" s="1" t="str">
        <f t="shared" si="57"/>
        <v/>
      </c>
      <c r="K389" s="1" t="str">
        <f t="shared" si="58"/>
        <v/>
      </c>
      <c r="L389" s="1" t="str">
        <f t="shared" si="59"/>
        <v/>
      </c>
    </row>
    <row r="390" spans="1:12">
      <c r="A390" t="s">
        <v>304</v>
      </c>
      <c r="B390">
        <v>5</v>
      </c>
      <c r="C390" t="str">
        <f t="shared" si="53"/>
        <v>test.TileRenderor_5_</v>
      </c>
      <c r="D390">
        <v>4</v>
      </c>
      <c r="E390">
        <v>1</v>
      </c>
      <c r="F390">
        <v>0.50702062308029838</v>
      </c>
      <c r="G390" s="1" t="str">
        <f t="shared" si="54"/>
        <v/>
      </c>
      <c r="H390" s="1" t="str">
        <f t="shared" si="55"/>
        <v/>
      </c>
      <c r="I390" s="1">
        <f t="shared" si="56"/>
        <v>1</v>
      </c>
      <c r="J390" s="1" t="str">
        <f t="shared" si="57"/>
        <v/>
      </c>
      <c r="K390" s="1" t="str">
        <f t="shared" si="58"/>
        <v/>
      </c>
      <c r="L390" s="1" t="str">
        <f t="shared" si="59"/>
        <v/>
      </c>
    </row>
    <row r="391" spans="1:12">
      <c r="A391" t="s">
        <v>304</v>
      </c>
      <c r="B391">
        <v>6</v>
      </c>
      <c r="C391" t="str">
        <f t="shared" si="53"/>
        <v>test.TileRenderor_6_</v>
      </c>
      <c r="D391">
        <v>5</v>
      </c>
      <c r="E391">
        <v>0.27741935483870966</v>
      </c>
      <c r="F391">
        <v>0.69776950762676593</v>
      </c>
      <c r="G391" s="1" t="str">
        <f t="shared" si="54"/>
        <v/>
      </c>
      <c r="H391" s="1" t="str">
        <f t="shared" si="55"/>
        <v/>
      </c>
      <c r="I391" s="1" t="str">
        <f t="shared" si="56"/>
        <v/>
      </c>
      <c r="J391" s="1">
        <f t="shared" si="57"/>
        <v>0.27741935483870966</v>
      </c>
      <c r="K391" s="1" t="str">
        <f t="shared" si="58"/>
        <v/>
      </c>
      <c r="L391" s="1" t="str">
        <f t="shared" si="59"/>
        <v/>
      </c>
    </row>
    <row r="392" spans="1:12">
      <c r="A392" t="s">
        <v>304</v>
      </c>
      <c r="B392">
        <v>6</v>
      </c>
      <c r="C392" t="str">
        <f t="shared" si="53"/>
        <v>test.TileRenderor_6_</v>
      </c>
      <c r="D392">
        <v>6</v>
      </c>
      <c r="E392">
        <v>0.27870967741935482</v>
      </c>
      <c r="F392">
        <v>0.69821021962147733</v>
      </c>
      <c r="G392" s="1" t="str">
        <f t="shared" si="54"/>
        <v/>
      </c>
      <c r="H392" s="1" t="str">
        <f t="shared" si="55"/>
        <v/>
      </c>
      <c r="I392" s="1" t="str">
        <f t="shared" si="56"/>
        <v/>
      </c>
      <c r="J392" s="1">
        <f t="shared" si="57"/>
        <v>0.27870967741935482</v>
      </c>
      <c r="K392" s="1" t="str">
        <f t="shared" si="58"/>
        <v/>
      </c>
      <c r="L392" s="1" t="str">
        <f t="shared" si="59"/>
        <v/>
      </c>
    </row>
    <row r="393" spans="1:12">
      <c r="A393" t="s">
        <v>304</v>
      </c>
      <c r="B393">
        <v>6</v>
      </c>
      <c r="C393" t="str">
        <f t="shared" si="53"/>
        <v>test.TileRenderor_6_</v>
      </c>
      <c r="D393">
        <v>7</v>
      </c>
      <c r="E393">
        <v>0.29935483870967744</v>
      </c>
      <c r="F393">
        <v>0.7132678794407854</v>
      </c>
      <c r="G393" s="1" t="str">
        <f t="shared" si="54"/>
        <v/>
      </c>
      <c r="H393" s="1" t="str">
        <f t="shared" si="55"/>
        <v/>
      </c>
      <c r="I393" s="1" t="str">
        <f t="shared" si="56"/>
        <v/>
      </c>
      <c r="J393" s="1">
        <f t="shared" si="57"/>
        <v>0.29935483870967744</v>
      </c>
      <c r="K393" s="1" t="str">
        <f t="shared" si="58"/>
        <v/>
      </c>
      <c r="L393" s="1" t="str">
        <f t="shared" si="59"/>
        <v/>
      </c>
    </row>
    <row r="394" spans="1:12">
      <c r="A394" t="s">
        <v>304</v>
      </c>
      <c r="B394">
        <v>6</v>
      </c>
      <c r="C394" t="str">
        <f t="shared" si="53"/>
        <v>test.TileRenderor_6_</v>
      </c>
      <c r="D394">
        <v>8</v>
      </c>
      <c r="E394">
        <v>0.37806451612903225</v>
      </c>
      <c r="F394">
        <v>0.72019685135763778</v>
      </c>
      <c r="G394" s="1" t="str">
        <f t="shared" si="54"/>
        <v/>
      </c>
      <c r="H394" s="1" t="str">
        <f t="shared" si="55"/>
        <v/>
      </c>
      <c r="I394" s="1" t="str">
        <f t="shared" si="56"/>
        <v/>
      </c>
      <c r="J394" s="1">
        <f t="shared" si="57"/>
        <v>0.37806451612903225</v>
      </c>
      <c r="K394" s="1" t="str">
        <f t="shared" si="58"/>
        <v/>
      </c>
      <c r="L394" s="1" t="str">
        <f t="shared" si="59"/>
        <v/>
      </c>
    </row>
    <row r="395" spans="1:12">
      <c r="A395" t="s">
        <v>304</v>
      </c>
      <c r="B395">
        <v>6</v>
      </c>
      <c r="C395" t="str">
        <f t="shared" si="53"/>
        <v>test.TileRenderor_6_</v>
      </c>
      <c r="D395">
        <v>9</v>
      </c>
      <c r="E395">
        <v>0.42451612903225805</v>
      </c>
      <c r="F395">
        <v>0.72259628332884462</v>
      </c>
      <c r="G395" s="1" t="str">
        <f t="shared" si="54"/>
        <v/>
      </c>
      <c r="H395" s="1" t="str">
        <f t="shared" si="55"/>
        <v/>
      </c>
      <c r="I395" s="1" t="str">
        <f t="shared" si="56"/>
        <v/>
      </c>
      <c r="J395" s="1">
        <f t="shared" si="57"/>
        <v>0.42451612903225805</v>
      </c>
      <c r="K395" s="1" t="str">
        <f t="shared" si="58"/>
        <v/>
      </c>
      <c r="L395" s="1" t="str">
        <f t="shared" si="59"/>
        <v/>
      </c>
    </row>
    <row r="396" spans="1:12">
      <c r="A396" t="s">
        <v>304</v>
      </c>
      <c r="B396">
        <v>6</v>
      </c>
      <c r="C396" t="str">
        <f t="shared" si="53"/>
        <v>test.TileRenderor_6_</v>
      </c>
      <c r="D396">
        <v>1</v>
      </c>
      <c r="E396">
        <v>0.46193548387096772</v>
      </c>
      <c r="F396">
        <v>0.7306025512327694</v>
      </c>
      <c r="G396" s="1" t="str">
        <f t="shared" si="54"/>
        <v/>
      </c>
      <c r="H396" s="1" t="str">
        <f t="shared" si="55"/>
        <v/>
      </c>
      <c r="I396" s="1" t="str">
        <f t="shared" si="56"/>
        <v/>
      </c>
      <c r="J396" s="1">
        <f t="shared" si="57"/>
        <v>0.46193548387096772</v>
      </c>
      <c r="K396" s="1" t="str">
        <f t="shared" si="58"/>
        <v/>
      </c>
      <c r="L396" s="1" t="str">
        <f t="shared" si="59"/>
        <v/>
      </c>
    </row>
    <row r="397" spans="1:12">
      <c r="A397" t="s">
        <v>304</v>
      </c>
      <c r="B397">
        <v>6</v>
      </c>
      <c r="C397" t="str">
        <f t="shared" si="53"/>
        <v>test.TileRenderor_6_</v>
      </c>
      <c r="D397">
        <v>2</v>
      </c>
      <c r="E397">
        <v>0.52774193548387094</v>
      </c>
      <c r="F397">
        <v>0.73368753519574958</v>
      </c>
      <c r="G397" s="1" t="str">
        <f t="shared" si="54"/>
        <v/>
      </c>
      <c r="H397" s="1" t="str">
        <f t="shared" si="55"/>
        <v/>
      </c>
      <c r="I397" s="1" t="str">
        <f t="shared" si="56"/>
        <v/>
      </c>
      <c r="J397" s="1">
        <f t="shared" si="57"/>
        <v>0.52774193548387094</v>
      </c>
      <c r="K397" s="1" t="str">
        <f t="shared" si="58"/>
        <v/>
      </c>
      <c r="L397" s="1" t="str">
        <f t="shared" si="59"/>
        <v/>
      </c>
    </row>
    <row r="398" spans="1:12">
      <c r="A398" t="s">
        <v>304</v>
      </c>
      <c r="B398">
        <v>6</v>
      </c>
      <c r="C398" t="str">
        <f t="shared" si="53"/>
        <v>test.TileRenderor_6_</v>
      </c>
      <c r="D398">
        <v>1</v>
      </c>
      <c r="E398">
        <v>0.52903225806451615</v>
      </c>
      <c r="F398">
        <v>0.73684597115784833</v>
      </c>
      <c r="G398" s="1" t="str">
        <f t="shared" si="54"/>
        <v/>
      </c>
      <c r="H398" s="1" t="str">
        <f t="shared" si="55"/>
        <v/>
      </c>
      <c r="I398" s="1" t="str">
        <f t="shared" si="56"/>
        <v/>
      </c>
      <c r="J398" s="1">
        <f t="shared" si="57"/>
        <v>0.52903225806451615</v>
      </c>
      <c r="K398" s="1" t="str">
        <f t="shared" si="58"/>
        <v/>
      </c>
      <c r="L398" s="1" t="str">
        <f t="shared" si="59"/>
        <v/>
      </c>
    </row>
    <row r="399" spans="1:12">
      <c r="A399" t="s">
        <v>304</v>
      </c>
      <c r="B399">
        <v>6</v>
      </c>
      <c r="C399" t="str">
        <f t="shared" si="53"/>
        <v>test.TileRenderor_6_</v>
      </c>
      <c r="D399">
        <v>2</v>
      </c>
      <c r="E399">
        <v>0.5458064516129032</v>
      </c>
      <c r="F399">
        <v>0.75533139093602331</v>
      </c>
      <c r="G399" s="1" t="str">
        <f t="shared" si="54"/>
        <v/>
      </c>
      <c r="H399" s="1" t="str">
        <f t="shared" si="55"/>
        <v/>
      </c>
      <c r="I399" s="1" t="str">
        <f t="shared" si="56"/>
        <v/>
      </c>
      <c r="J399" s="1">
        <f t="shared" si="57"/>
        <v>0.5458064516129032</v>
      </c>
      <c r="K399" s="1" t="str">
        <f t="shared" si="58"/>
        <v/>
      </c>
      <c r="L399" s="1" t="str">
        <f t="shared" si="59"/>
        <v/>
      </c>
    </row>
    <row r="400" spans="1:12">
      <c r="A400" t="s">
        <v>304</v>
      </c>
      <c r="B400">
        <v>6</v>
      </c>
      <c r="C400" t="str">
        <f t="shared" si="53"/>
        <v>test.TileRenderor_6_</v>
      </c>
      <c r="D400">
        <v>3</v>
      </c>
      <c r="E400">
        <v>0.56258064516129036</v>
      </c>
      <c r="F400">
        <v>0.75587003892955951</v>
      </c>
      <c r="G400" s="1" t="str">
        <f t="shared" si="54"/>
        <v/>
      </c>
      <c r="H400" s="1" t="str">
        <f t="shared" si="55"/>
        <v/>
      </c>
      <c r="I400" s="1" t="str">
        <f t="shared" si="56"/>
        <v/>
      </c>
      <c r="J400" s="1">
        <f t="shared" si="57"/>
        <v>0.56258064516129036</v>
      </c>
      <c r="K400" s="1" t="str">
        <f t="shared" si="58"/>
        <v/>
      </c>
      <c r="L400" s="1" t="str">
        <f t="shared" si="59"/>
        <v/>
      </c>
    </row>
    <row r="401" spans="1:12">
      <c r="A401" t="s">
        <v>304</v>
      </c>
      <c r="B401">
        <v>6</v>
      </c>
      <c r="C401" t="str">
        <f t="shared" si="53"/>
        <v>test.TileRenderor_6_</v>
      </c>
      <c r="D401">
        <v>4</v>
      </c>
      <c r="E401">
        <v>0.72387096774193549</v>
      </c>
      <c r="F401">
        <v>0.75758391890899301</v>
      </c>
      <c r="G401" s="1" t="str">
        <f t="shared" si="54"/>
        <v/>
      </c>
      <c r="H401" s="1" t="str">
        <f t="shared" si="55"/>
        <v/>
      </c>
      <c r="I401" s="1" t="str">
        <f t="shared" si="56"/>
        <v/>
      </c>
      <c r="J401" s="1">
        <f t="shared" si="57"/>
        <v>0.72387096774193549</v>
      </c>
      <c r="K401" s="1" t="str">
        <f t="shared" si="58"/>
        <v/>
      </c>
      <c r="L401" s="1" t="str">
        <f t="shared" si="59"/>
        <v/>
      </c>
    </row>
    <row r="402" spans="1:12">
      <c r="A402" t="s">
        <v>304</v>
      </c>
      <c r="B402">
        <v>6</v>
      </c>
      <c r="C402" t="str">
        <f t="shared" si="53"/>
        <v>test.TileRenderor_6_</v>
      </c>
      <c r="D402">
        <v>1</v>
      </c>
      <c r="E402">
        <v>0.83612903225806456</v>
      </c>
      <c r="F402">
        <v>0.76216242685405089</v>
      </c>
      <c r="G402" s="1" t="str">
        <f t="shared" si="54"/>
        <v/>
      </c>
      <c r="H402" s="1" t="str">
        <f t="shared" si="55"/>
        <v/>
      </c>
      <c r="I402" s="1" t="str">
        <f t="shared" si="56"/>
        <v/>
      </c>
      <c r="J402" s="1">
        <f t="shared" si="57"/>
        <v>0.83612903225806456</v>
      </c>
      <c r="K402" s="1" t="str">
        <f t="shared" si="58"/>
        <v/>
      </c>
      <c r="L402" s="1" t="str">
        <f t="shared" si="59"/>
        <v/>
      </c>
    </row>
    <row r="403" spans="1:12">
      <c r="A403" t="s">
        <v>304</v>
      </c>
      <c r="B403">
        <v>6</v>
      </c>
      <c r="C403" t="str">
        <f t="shared" si="53"/>
        <v>test.TileRenderor_6_</v>
      </c>
      <c r="D403">
        <v>2</v>
      </c>
      <c r="E403">
        <v>0.84516129032258069</v>
      </c>
      <c r="F403">
        <v>0.79778664642656028</v>
      </c>
      <c r="G403" s="1" t="str">
        <f t="shared" si="54"/>
        <v/>
      </c>
      <c r="H403" s="1" t="str">
        <f t="shared" si="55"/>
        <v/>
      </c>
      <c r="I403" s="1" t="str">
        <f t="shared" si="56"/>
        <v/>
      </c>
      <c r="J403" s="1">
        <f t="shared" si="57"/>
        <v>0.84516129032258069</v>
      </c>
      <c r="K403" s="1" t="str">
        <f t="shared" si="58"/>
        <v/>
      </c>
      <c r="L403" s="1" t="str">
        <f t="shared" si="59"/>
        <v/>
      </c>
    </row>
    <row r="404" spans="1:12">
      <c r="A404" t="s">
        <v>304</v>
      </c>
      <c r="B404">
        <v>6</v>
      </c>
      <c r="C404" t="str">
        <f t="shared" si="53"/>
        <v>test.TileRenderor_6_</v>
      </c>
      <c r="D404">
        <v>3</v>
      </c>
      <c r="E404">
        <v>0.84645161290322579</v>
      </c>
      <c r="F404">
        <v>0.83480645398232256</v>
      </c>
      <c r="G404" s="1" t="str">
        <f t="shared" si="54"/>
        <v/>
      </c>
      <c r="H404" s="1" t="str">
        <f t="shared" si="55"/>
        <v/>
      </c>
      <c r="I404" s="1" t="str">
        <f t="shared" si="56"/>
        <v/>
      </c>
      <c r="J404" s="1" t="str">
        <f t="shared" si="57"/>
        <v/>
      </c>
      <c r="K404" s="1">
        <f t="shared" si="58"/>
        <v>0.84645161290322579</v>
      </c>
      <c r="L404" s="1" t="str">
        <f t="shared" si="59"/>
        <v/>
      </c>
    </row>
    <row r="405" spans="1:12">
      <c r="A405" t="s">
        <v>304</v>
      </c>
      <c r="B405">
        <v>6</v>
      </c>
      <c r="C405" t="str">
        <f t="shared" si="53"/>
        <v>test.TileRenderor_6_</v>
      </c>
      <c r="D405">
        <v>4</v>
      </c>
      <c r="E405">
        <v>1</v>
      </c>
      <c r="F405">
        <v>0.88093430942878825</v>
      </c>
      <c r="G405" s="1" t="str">
        <f t="shared" si="54"/>
        <v/>
      </c>
      <c r="H405" s="1" t="str">
        <f t="shared" si="55"/>
        <v/>
      </c>
      <c r="I405" s="1" t="str">
        <f t="shared" si="56"/>
        <v/>
      </c>
      <c r="J405" s="1" t="str">
        <f t="shared" si="57"/>
        <v/>
      </c>
      <c r="K405" s="1">
        <f t="shared" si="58"/>
        <v>1</v>
      </c>
      <c r="L405" s="1" t="str">
        <f t="shared" si="59"/>
        <v/>
      </c>
    </row>
    <row r="406" spans="1:12">
      <c r="A406" t="s">
        <v>155</v>
      </c>
      <c r="B406">
        <v>9</v>
      </c>
      <c r="C406" t="str">
        <f t="shared" si="53"/>
        <v>test.TIFFFaxDecoder_9_</v>
      </c>
      <c r="D406">
        <v>5</v>
      </c>
      <c r="E406">
        <v>0.16666666666666666</v>
      </c>
      <c r="F406">
        <v>0.25714285714285712</v>
      </c>
      <c r="G406" s="1" t="str">
        <f t="shared" si="54"/>
        <v/>
      </c>
      <c r="H406" s="1">
        <f t="shared" si="55"/>
        <v>0.16666666666666666</v>
      </c>
      <c r="I406" s="1" t="str">
        <f t="shared" si="56"/>
        <v/>
      </c>
      <c r="J406" s="1" t="str">
        <f t="shared" si="57"/>
        <v/>
      </c>
      <c r="K406" s="1" t="str">
        <f t="shared" si="58"/>
        <v/>
      </c>
      <c r="L406" s="1" t="str">
        <f t="shared" si="59"/>
        <v/>
      </c>
    </row>
    <row r="407" spans="1:12">
      <c r="A407" t="s">
        <v>155</v>
      </c>
      <c r="B407">
        <v>9</v>
      </c>
      <c r="C407" t="str">
        <f t="shared" si="53"/>
        <v>test.TIFFFaxDecoder_9_</v>
      </c>
      <c r="D407">
        <v>6</v>
      </c>
      <c r="E407">
        <v>0.22222222222222221</v>
      </c>
      <c r="F407">
        <v>0.26753246753246751</v>
      </c>
      <c r="G407" s="1" t="str">
        <f t="shared" si="54"/>
        <v/>
      </c>
      <c r="H407" s="1">
        <f t="shared" si="55"/>
        <v>0.22222222222222221</v>
      </c>
      <c r="I407" s="1" t="str">
        <f t="shared" si="56"/>
        <v/>
      </c>
      <c r="J407" s="1" t="str">
        <f t="shared" si="57"/>
        <v/>
      </c>
      <c r="K407" s="1" t="str">
        <f t="shared" si="58"/>
        <v/>
      </c>
      <c r="L407" s="1" t="str">
        <f t="shared" si="59"/>
        <v/>
      </c>
    </row>
    <row r="408" spans="1:12">
      <c r="A408" t="s">
        <v>155</v>
      </c>
      <c r="B408">
        <v>9</v>
      </c>
      <c r="C408" t="str">
        <f t="shared" si="53"/>
        <v>test.TIFFFaxDecoder_9_</v>
      </c>
      <c r="D408">
        <v>7</v>
      </c>
      <c r="E408">
        <v>0.33333333333333331</v>
      </c>
      <c r="F408">
        <v>0.26883116883116881</v>
      </c>
      <c r="G408" s="1" t="str">
        <f t="shared" si="54"/>
        <v/>
      </c>
      <c r="H408" s="1">
        <f t="shared" si="55"/>
        <v>0.33333333333333331</v>
      </c>
      <c r="I408" s="1" t="str">
        <f t="shared" si="56"/>
        <v/>
      </c>
      <c r="J408" s="1" t="str">
        <f t="shared" si="57"/>
        <v/>
      </c>
      <c r="K408" s="1" t="str">
        <f t="shared" si="58"/>
        <v/>
      </c>
      <c r="L408" s="1" t="str">
        <f t="shared" si="59"/>
        <v/>
      </c>
    </row>
    <row r="409" spans="1:12">
      <c r="A409" t="s">
        <v>155</v>
      </c>
      <c r="B409">
        <v>9</v>
      </c>
      <c r="C409" t="str">
        <f t="shared" si="53"/>
        <v>test.TIFFFaxDecoder_9_</v>
      </c>
      <c r="D409">
        <v>8</v>
      </c>
      <c r="E409">
        <v>0.47222222222222221</v>
      </c>
      <c r="F409">
        <v>0.33636363636363636</v>
      </c>
      <c r="G409" s="1" t="str">
        <f t="shared" si="54"/>
        <v/>
      </c>
      <c r="H409" s="1">
        <f t="shared" si="55"/>
        <v>0.47222222222222221</v>
      </c>
      <c r="I409" s="1" t="str">
        <f t="shared" si="56"/>
        <v/>
      </c>
      <c r="J409" s="1" t="str">
        <f t="shared" si="57"/>
        <v/>
      </c>
      <c r="K409" s="1" t="str">
        <f t="shared" si="58"/>
        <v/>
      </c>
      <c r="L409" s="1" t="str">
        <f t="shared" si="59"/>
        <v/>
      </c>
    </row>
    <row r="410" spans="1:12">
      <c r="A410" t="s">
        <v>155</v>
      </c>
      <c r="B410">
        <v>9</v>
      </c>
      <c r="C410" t="str">
        <f t="shared" si="53"/>
        <v>test.TIFFFaxDecoder_9_</v>
      </c>
      <c r="D410">
        <v>9</v>
      </c>
      <c r="E410">
        <v>0.58333333333333337</v>
      </c>
      <c r="F410">
        <v>0.34155844155844156</v>
      </c>
      <c r="G410" s="1" t="str">
        <f t="shared" si="54"/>
        <v/>
      </c>
      <c r="H410" s="1">
        <f t="shared" si="55"/>
        <v>0.58333333333333337</v>
      </c>
      <c r="I410" s="1" t="str">
        <f t="shared" si="56"/>
        <v/>
      </c>
      <c r="J410" s="1" t="str">
        <f t="shared" si="57"/>
        <v/>
      </c>
      <c r="K410" s="1" t="str">
        <f t="shared" si="58"/>
        <v/>
      </c>
      <c r="L410" s="1" t="str">
        <f t="shared" si="59"/>
        <v/>
      </c>
    </row>
    <row r="411" spans="1:12">
      <c r="A411" t="s">
        <v>155</v>
      </c>
      <c r="B411">
        <v>9</v>
      </c>
      <c r="C411" t="str">
        <f t="shared" si="53"/>
        <v>test.TIFFFaxDecoder_9_</v>
      </c>
      <c r="D411">
        <v>10</v>
      </c>
      <c r="E411">
        <v>0.61111111111111116</v>
      </c>
      <c r="F411">
        <v>0.34675324675324676</v>
      </c>
      <c r="G411" s="1" t="str">
        <f t="shared" si="54"/>
        <v/>
      </c>
      <c r="H411" s="1">
        <f t="shared" si="55"/>
        <v>0.61111111111111116</v>
      </c>
      <c r="I411" s="1" t="str">
        <f t="shared" si="56"/>
        <v/>
      </c>
      <c r="J411" s="1" t="str">
        <f t="shared" si="57"/>
        <v/>
      </c>
      <c r="K411" s="1" t="str">
        <f t="shared" si="58"/>
        <v/>
      </c>
      <c r="L411" s="1" t="str">
        <f t="shared" si="59"/>
        <v/>
      </c>
    </row>
    <row r="412" spans="1:12">
      <c r="A412" t="s">
        <v>155</v>
      </c>
      <c r="B412">
        <v>9</v>
      </c>
      <c r="C412" t="str">
        <f t="shared" si="53"/>
        <v>test.TIFFFaxDecoder_9_</v>
      </c>
      <c r="D412">
        <v>11</v>
      </c>
      <c r="E412">
        <v>0.63888888888888884</v>
      </c>
      <c r="F412">
        <v>0.34935064935064936</v>
      </c>
      <c r="G412" s="1" t="str">
        <f t="shared" si="54"/>
        <v/>
      </c>
      <c r="H412" s="1">
        <f t="shared" si="55"/>
        <v>0.63888888888888884</v>
      </c>
      <c r="I412" s="1" t="str">
        <f t="shared" si="56"/>
        <v/>
      </c>
      <c r="J412" s="1" t="str">
        <f t="shared" si="57"/>
        <v/>
      </c>
      <c r="K412" s="1" t="str">
        <f t="shared" si="58"/>
        <v/>
      </c>
      <c r="L412" s="1" t="str">
        <f t="shared" si="59"/>
        <v/>
      </c>
    </row>
    <row r="413" spans="1:12">
      <c r="A413" t="s">
        <v>155</v>
      </c>
      <c r="B413">
        <v>9</v>
      </c>
      <c r="C413" t="str">
        <f t="shared" si="53"/>
        <v>test.TIFFFaxDecoder_9_</v>
      </c>
      <c r="D413">
        <v>1</v>
      </c>
      <c r="E413">
        <v>0.63888888888888884</v>
      </c>
      <c r="F413">
        <v>0.35324675324675325</v>
      </c>
      <c r="G413" s="1" t="str">
        <f t="shared" si="54"/>
        <v/>
      </c>
      <c r="H413" s="1">
        <f t="shared" si="55"/>
        <v>0.63888888888888884</v>
      </c>
      <c r="I413" s="1" t="str">
        <f t="shared" si="56"/>
        <v/>
      </c>
      <c r="J413" s="1" t="str">
        <f t="shared" si="57"/>
        <v/>
      </c>
      <c r="K413" s="1" t="str">
        <f t="shared" si="58"/>
        <v/>
      </c>
      <c r="L413" s="1" t="str">
        <f t="shared" si="59"/>
        <v/>
      </c>
    </row>
    <row r="414" spans="1:12">
      <c r="A414" t="s">
        <v>155</v>
      </c>
      <c r="B414">
        <v>9</v>
      </c>
      <c r="C414" t="str">
        <f t="shared" si="53"/>
        <v>test.TIFFFaxDecoder_9_</v>
      </c>
      <c r="D414">
        <v>2</v>
      </c>
      <c r="E414">
        <v>0.63888888888888884</v>
      </c>
      <c r="F414">
        <v>0.38441558441558443</v>
      </c>
      <c r="G414" s="1" t="str">
        <f t="shared" si="54"/>
        <v/>
      </c>
      <c r="H414" s="1">
        <f t="shared" si="55"/>
        <v>0.63888888888888884</v>
      </c>
      <c r="I414" s="1" t="str">
        <f t="shared" si="56"/>
        <v/>
      </c>
      <c r="J414" s="1" t="str">
        <f t="shared" si="57"/>
        <v/>
      </c>
      <c r="K414" s="1" t="str">
        <f t="shared" si="58"/>
        <v/>
      </c>
      <c r="L414" s="1" t="str">
        <f t="shared" si="59"/>
        <v/>
      </c>
    </row>
    <row r="415" spans="1:12">
      <c r="A415" t="s">
        <v>155</v>
      </c>
      <c r="B415">
        <v>9</v>
      </c>
      <c r="C415" t="str">
        <f t="shared" si="53"/>
        <v>test.TIFFFaxDecoder_9_</v>
      </c>
      <c r="D415">
        <v>3</v>
      </c>
      <c r="E415">
        <v>0.66666666666666663</v>
      </c>
      <c r="F415">
        <v>0.43506493506493504</v>
      </c>
      <c r="G415" s="1" t="str">
        <f t="shared" si="54"/>
        <v/>
      </c>
      <c r="H415" s="1" t="str">
        <f t="shared" si="55"/>
        <v/>
      </c>
      <c r="I415" s="1">
        <f t="shared" si="56"/>
        <v>0.66666666666666663</v>
      </c>
      <c r="J415" s="1" t="str">
        <f t="shared" si="57"/>
        <v/>
      </c>
      <c r="K415" s="1" t="str">
        <f t="shared" si="58"/>
        <v/>
      </c>
      <c r="L415" s="1" t="str">
        <f t="shared" si="59"/>
        <v/>
      </c>
    </row>
    <row r="416" spans="1:12">
      <c r="A416" t="s">
        <v>155</v>
      </c>
      <c r="B416">
        <v>9</v>
      </c>
      <c r="C416" t="str">
        <f t="shared" si="53"/>
        <v>test.TIFFFaxDecoder_9_</v>
      </c>
      <c r="D416">
        <v>4</v>
      </c>
      <c r="E416">
        <v>0.77777777777777779</v>
      </c>
      <c r="F416">
        <v>0.45194805194805193</v>
      </c>
      <c r="G416" s="1" t="str">
        <f t="shared" si="54"/>
        <v/>
      </c>
      <c r="H416" s="1" t="str">
        <f t="shared" si="55"/>
        <v/>
      </c>
      <c r="I416" s="1">
        <f t="shared" si="56"/>
        <v>0.77777777777777779</v>
      </c>
      <c r="J416" s="1" t="str">
        <f t="shared" si="57"/>
        <v/>
      </c>
      <c r="K416" s="1" t="str">
        <f t="shared" si="58"/>
        <v/>
      </c>
      <c r="L416" s="1" t="str">
        <f t="shared" si="59"/>
        <v/>
      </c>
    </row>
    <row r="417" spans="1:12">
      <c r="A417" t="s">
        <v>155</v>
      </c>
      <c r="B417">
        <v>9</v>
      </c>
      <c r="C417" t="str">
        <f t="shared" si="53"/>
        <v>test.TIFFFaxDecoder_9_</v>
      </c>
      <c r="D417">
        <v>1</v>
      </c>
      <c r="E417">
        <v>0.77777777777777779</v>
      </c>
      <c r="F417">
        <v>0.46883116883116882</v>
      </c>
      <c r="G417" s="1" t="str">
        <f t="shared" si="54"/>
        <v/>
      </c>
      <c r="H417" s="1" t="str">
        <f t="shared" si="55"/>
        <v/>
      </c>
      <c r="I417" s="1">
        <f t="shared" si="56"/>
        <v>0.77777777777777779</v>
      </c>
      <c r="J417" s="1" t="str">
        <f t="shared" si="57"/>
        <v/>
      </c>
      <c r="K417" s="1" t="str">
        <f t="shared" si="58"/>
        <v/>
      </c>
      <c r="L417" s="1" t="str">
        <f t="shared" si="59"/>
        <v/>
      </c>
    </row>
    <row r="418" spans="1:12">
      <c r="A418" t="s">
        <v>155</v>
      </c>
      <c r="B418">
        <v>9</v>
      </c>
      <c r="C418" t="str">
        <f t="shared" si="53"/>
        <v>test.TIFFFaxDecoder_9_</v>
      </c>
      <c r="D418">
        <v>2</v>
      </c>
      <c r="E418">
        <v>0.77777777777777779</v>
      </c>
      <c r="F418">
        <v>0.49090909090909091</v>
      </c>
      <c r="G418" s="1" t="str">
        <f t="shared" si="54"/>
        <v/>
      </c>
      <c r="H418" s="1" t="str">
        <f t="shared" si="55"/>
        <v/>
      </c>
      <c r="I418" s="1">
        <f t="shared" si="56"/>
        <v>0.77777777777777779</v>
      </c>
      <c r="J418" s="1" t="str">
        <f t="shared" si="57"/>
        <v/>
      </c>
      <c r="K418" s="1" t="str">
        <f t="shared" si="58"/>
        <v/>
      </c>
      <c r="L418" s="1" t="str">
        <f t="shared" si="59"/>
        <v/>
      </c>
    </row>
    <row r="419" spans="1:12">
      <c r="A419" t="s">
        <v>155</v>
      </c>
      <c r="B419">
        <v>9</v>
      </c>
      <c r="C419" t="str">
        <f t="shared" si="53"/>
        <v>test.TIFFFaxDecoder_9_</v>
      </c>
      <c r="D419">
        <v>3</v>
      </c>
      <c r="E419">
        <v>0.77777777777777779</v>
      </c>
      <c r="F419">
        <v>0.54155844155844157</v>
      </c>
      <c r="G419" s="1" t="str">
        <f t="shared" si="54"/>
        <v/>
      </c>
      <c r="H419" s="1" t="str">
        <f t="shared" si="55"/>
        <v/>
      </c>
      <c r="I419" s="1">
        <f t="shared" si="56"/>
        <v>0.77777777777777779</v>
      </c>
      <c r="J419" s="1" t="str">
        <f t="shared" si="57"/>
        <v/>
      </c>
      <c r="K419" s="1" t="str">
        <f t="shared" si="58"/>
        <v/>
      </c>
      <c r="L419" s="1" t="str">
        <f t="shared" si="59"/>
        <v/>
      </c>
    </row>
    <row r="420" spans="1:12">
      <c r="A420" t="s">
        <v>155</v>
      </c>
      <c r="B420">
        <v>9</v>
      </c>
      <c r="C420" t="str">
        <f t="shared" si="53"/>
        <v>test.TIFFFaxDecoder_9_</v>
      </c>
      <c r="D420">
        <v>4</v>
      </c>
      <c r="E420">
        <v>0.97222222222222221</v>
      </c>
      <c r="F420">
        <v>0.65454545454545454</v>
      </c>
      <c r="G420" s="1" t="str">
        <f t="shared" si="54"/>
        <v/>
      </c>
      <c r="H420" s="1" t="str">
        <f t="shared" si="55"/>
        <v/>
      </c>
      <c r="I420" s="1" t="str">
        <f t="shared" si="56"/>
        <v/>
      </c>
      <c r="J420" s="1">
        <f t="shared" si="57"/>
        <v>0.97222222222222221</v>
      </c>
      <c r="K420" s="1" t="str">
        <f t="shared" si="58"/>
        <v/>
      </c>
      <c r="L420" s="1" t="str">
        <f t="shared" si="59"/>
        <v/>
      </c>
    </row>
    <row r="421" spans="1:12">
      <c r="A421" t="s">
        <v>155</v>
      </c>
      <c r="B421">
        <v>9</v>
      </c>
      <c r="C421" t="str">
        <f t="shared" si="53"/>
        <v>test.TIFFFaxDecoder_9_</v>
      </c>
      <c r="D421">
        <v>1</v>
      </c>
      <c r="E421">
        <v>1</v>
      </c>
      <c r="F421">
        <v>0.73376623376623373</v>
      </c>
      <c r="G421" s="1" t="str">
        <f t="shared" si="54"/>
        <v/>
      </c>
      <c r="H421" s="1" t="str">
        <f t="shared" si="55"/>
        <v/>
      </c>
      <c r="I421" s="1" t="str">
        <f t="shared" si="56"/>
        <v/>
      </c>
      <c r="J421" s="1">
        <f t="shared" si="57"/>
        <v>1</v>
      </c>
      <c r="K421" s="1" t="str">
        <f t="shared" si="58"/>
        <v/>
      </c>
      <c r="L421" s="1" t="str">
        <f t="shared" si="59"/>
        <v/>
      </c>
    </row>
    <row r="422" spans="1:12">
      <c r="A422" t="s">
        <v>155</v>
      </c>
      <c r="B422">
        <v>9</v>
      </c>
      <c r="C422" t="str">
        <f t="shared" si="53"/>
        <v>test.TIFFFaxDecoder_9_</v>
      </c>
      <c r="D422">
        <v>2</v>
      </c>
      <c r="E422">
        <v>1</v>
      </c>
      <c r="F422">
        <v>0.76493506493506491</v>
      </c>
      <c r="G422" s="1" t="str">
        <f t="shared" si="54"/>
        <v/>
      </c>
      <c r="H422" s="1" t="str">
        <f t="shared" si="55"/>
        <v/>
      </c>
      <c r="I422" s="1" t="str">
        <f t="shared" si="56"/>
        <v/>
      </c>
      <c r="J422" s="1">
        <f t="shared" si="57"/>
        <v>1</v>
      </c>
      <c r="K422" s="1" t="str">
        <f t="shared" si="58"/>
        <v/>
      </c>
      <c r="L422" s="1" t="str">
        <f t="shared" si="59"/>
        <v/>
      </c>
    </row>
    <row r="423" spans="1:12">
      <c r="A423" t="s">
        <v>155</v>
      </c>
      <c r="B423">
        <v>9</v>
      </c>
      <c r="C423" t="str">
        <f t="shared" si="53"/>
        <v>test.TIFFFaxDecoder_9_</v>
      </c>
      <c r="D423">
        <v>1</v>
      </c>
      <c r="E423">
        <v>1</v>
      </c>
      <c r="F423">
        <v>0.94545454545454544</v>
      </c>
      <c r="G423" s="1" t="str">
        <f t="shared" si="54"/>
        <v/>
      </c>
      <c r="H423" s="1" t="str">
        <f t="shared" si="55"/>
        <v/>
      </c>
      <c r="I423" s="1" t="str">
        <f t="shared" si="56"/>
        <v/>
      </c>
      <c r="J423" s="1" t="str">
        <f t="shared" si="57"/>
        <v/>
      </c>
      <c r="K423" s="1">
        <f t="shared" si="58"/>
        <v>1</v>
      </c>
      <c r="L423" s="1" t="str">
        <f t="shared" si="59"/>
        <v/>
      </c>
    </row>
    <row r="424" spans="1:12">
      <c r="A424" t="s">
        <v>155</v>
      </c>
      <c r="B424">
        <v>10</v>
      </c>
      <c r="C424" t="str">
        <f t="shared" si="53"/>
        <v>test.TIFFFaxDecoder_10_</v>
      </c>
      <c r="D424">
        <v>2</v>
      </c>
      <c r="E424">
        <v>0.83333333333333337</v>
      </c>
      <c r="F424">
        <v>0.96333333333333337</v>
      </c>
      <c r="G424" s="1" t="str">
        <f t="shared" si="54"/>
        <v/>
      </c>
      <c r="H424" s="1" t="str">
        <f t="shared" si="55"/>
        <v/>
      </c>
      <c r="I424" s="1" t="str">
        <f t="shared" si="56"/>
        <v/>
      </c>
      <c r="J424" s="1" t="str">
        <f t="shared" si="57"/>
        <v/>
      </c>
      <c r="K424" s="1">
        <f t="shared" si="58"/>
        <v>0.83333333333333337</v>
      </c>
      <c r="L424" s="1" t="str">
        <f t="shared" si="59"/>
        <v/>
      </c>
    </row>
    <row r="425" spans="1:12">
      <c r="A425" t="s">
        <v>155</v>
      </c>
      <c r="B425">
        <v>10</v>
      </c>
      <c r="C425" t="str">
        <f t="shared" si="53"/>
        <v>test.TIFFFaxDecoder_10_</v>
      </c>
      <c r="D425">
        <v>1</v>
      </c>
      <c r="E425">
        <v>0.96666666666666667</v>
      </c>
      <c r="F425">
        <v>1.0088888888888889</v>
      </c>
      <c r="G425" s="1" t="str">
        <f t="shared" si="54"/>
        <v/>
      </c>
      <c r="H425" s="1" t="str">
        <f t="shared" si="55"/>
        <v/>
      </c>
      <c r="I425" s="1" t="str">
        <f t="shared" si="56"/>
        <v/>
      </c>
      <c r="J425" s="1" t="str">
        <f t="shared" si="57"/>
        <v/>
      </c>
      <c r="K425" s="1">
        <f t="shared" si="58"/>
        <v>0.96666666666666667</v>
      </c>
      <c r="L425" s="1" t="str">
        <f t="shared" si="59"/>
        <v/>
      </c>
    </row>
    <row r="426" spans="1:12">
      <c r="A426" t="s">
        <v>155</v>
      </c>
      <c r="B426">
        <v>10</v>
      </c>
      <c r="C426" t="str">
        <f t="shared" si="53"/>
        <v>test.TIFFFaxDecoder_10_</v>
      </c>
      <c r="D426">
        <v>2</v>
      </c>
      <c r="E426">
        <v>1</v>
      </c>
      <c r="F426">
        <v>1.0722222222222222</v>
      </c>
      <c r="G426" s="1" t="str">
        <f t="shared" si="54"/>
        <v/>
      </c>
      <c r="H426" s="1" t="str">
        <f t="shared" si="55"/>
        <v/>
      </c>
      <c r="I426" s="1" t="str">
        <f t="shared" si="56"/>
        <v/>
      </c>
      <c r="J426" s="1" t="str">
        <f t="shared" si="57"/>
        <v/>
      </c>
      <c r="K426" s="1">
        <f t="shared" si="58"/>
        <v>1</v>
      </c>
      <c r="L426" s="1" t="str">
        <f t="shared" si="59"/>
        <v/>
      </c>
    </row>
    <row r="427" spans="1:12">
      <c r="A427" t="s">
        <v>155</v>
      </c>
      <c r="B427">
        <v>10</v>
      </c>
      <c r="C427" t="str">
        <f t="shared" si="53"/>
        <v>test.TIFFFaxDecoder_10_</v>
      </c>
      <c r="D427">
        <v>3</v>
      </c>
      <c r="E427">
        <v>1</v>
      </c>
      <c r="F427">
        <v>1.1611111111111112</v>
      </c>
      <c r="G427" s="1" t="str">
        <f t="shared" si="54"/>
        <v/>
      </c>
      <c r="H427" s="1" t="str">
        <f t="shared" si="55"/>
        <v/>
      </c>
      <c r="I427" s="1" t="str">
        <f t="shared" si="56"/>
        <v/>
      </c>
      <c r="J427" s="1" t="str">
        <f t="shared" si="57"/>
        <v/>
      </c>
      <c r="K427" s="1" t="str">
        <f t="shared" si="58"/>
        <v/>
      </c>
      <c r="L427" s="1">
        <f t="shared" si="59"/>
        <v>1</v>
      </c>
    </row>
    <row r="428" spans="1:12">
      <c r="A428" t="s">
        <v>155</v>
      </c>
      <c r="B428">
        <v>11</v>
      </c>
      <c r="C428" t="str">
        <f t="shared" si="53"/>
        <v>test.TIFFFaxDecoder_11_</v>
      </c>
      <c r="D428">
        <v>4</v>
      </c>
      <c r="E428">
        <v>7.9545454545454544E-2</v>
      </c>
      <c r="F428">
        <v>0.12146003775959723</v>
      </c>
      <c r="G428" s="1">
        <f t="shared" si="54"/>
        <v>7.9545454545454544E-2</v>
      </c>
      <c r="H428" s="1" t="str">
        <f t="shared" si="55"/>
        <v/>
      </c>
      <c r="I428" s="1" t="str">
        <f t="shared" si="56"/>
        <v/>
      </c>
      <c r="J428" s="1" t="str">
        <f t="shared" si="57"/>
        <v/>
      </c>
      <c r="K428" s="1" t="str">
        <f t="shared" si="58"/>
        <v/>
      </c>
      <c r="L428" s="1" t="str">
        <f t="shared" si="59"/>
        <v/>
      </c>
    </row>
    <row r="429" spans="1:12">
      <c r="A429" t="s">
        <v>155</v>
      </c>
      <c r="B429">
        <v>11</v>
      </c>
      <c r="C429" t="str">
        <f t="shared" si="53"/>
        <v>test.TIFFFaxDecoder_11_</v>
      </c>
      <c r="D429">
        <v>1</v>
      </c>
      <c r="E429">
        <v>0.38636363636363635</v>
      </c>
      <c r="F429">
        <v>0.44808055380742606</v>
      </c>
      <c r="G429" s="1" t="str">
        <f t="shared" si="54"/>
        <v/>
      </c>
      <c r="H429" s="1" t="str">
        <f t="shared" si="55"/>
        <v/>
      </c>
      <c r="I429" s="1">
        <f t="shared" si="56"/>
        <v>0.38636363636363635</v>
      </c>
      <c r="J429" s="1" t="str">
        <f t="shared" si="57"/>
        <v/>
      </c>
      <c r="K429" s="1" t="str">
        <f t="shared" si="58"/>
        <v/>
      </c>
      <c r="L429" s="1" t="str">
        <f t="shared" si="59"/>
        <v/>
      </c>
    </row>
    <row r="430" spans="1:12">
      <c r="A430" t="s">
        <v>155</v>
      </c>
      <c r="B430">
        <v>11</v>
      </c>
      <c r="C430" t="str">
        <f t="shared" si="53"/>
        <v>test.TIFFFaxDecoder_11_</v>
      </c>
      <c r="D430">
        <v>2</v>
      </c>
      <c r="E430">
        <v>0.47727272727272729</v>
      </c>
      <c r="F430">
        <v>0.48080553807426052</v>
      </c>
      <c r="G430" s="1" t="str">
        <f t="shared" si="54"/>
        <v/>
      </c>
      <c r="H430" s="1" t="str">
        <f t="shared" si="55"/>
        <v/>
      </c>
      <c r="I430" s="1">
        <f t="shared" si="56"/>
        <v>0.47727272727272729</v>
      </c>
      <c r="J430" s="1" t="str">
        <f t="shared" si="57"/>
        <v/>
      </c>
      <c r="K430" s="1" t="str">
        <f t="shared" si="58"/>
        <v/>
      </c>
      <c r="L430" s="1" t="str">
        <f t="shared" si="59"/>
        <v/>
      </c>
    </row>
    <row r="431" spans="1:12">
      <c r="A431" t="s">
        <v>155</v>
      </c>
      <c r="B431">
        <v>11</v>
      </c>
      <c r="C431" t="str">
        <f t="shared" si="53"/>
        <v>test.TIFFFaxDecoder_11_</v>
      </c>
      <c r="D431">
        <v>3</v>
      </c>
      <c r="E431">
        <v>0.57954545454545459</v>
      </c>
      <c r="F431">
        <v>0.49528005034612965</v>
      </c>
      <c r="G431" s="1" t="str">
        <f t="shared" si="54"/>
        <v/>
      </c>
      <c r="H431" s="1" t="str">
        <f t="shared" si="55"/>
        <v/>
      </c>
      <c r="I431" s="1">
        <f t="shared" si="56"/>
        <v>0.57954545454545459</v>
      </c>
      <c r="J431" s="1" t="str">
        <f t="shared" si="57"/>
        <v/>
      </c>
      <c r="K431" s="1" t="str">
        <f t="shared" si="58"/>
        <v/>
      </c>
      <c r="L431" s="1" t="str">
        <f t="shared" si="59"/>
        <v/>
      </c>
    </row>
    <row r="432" spans="1:12">
      <c r="A432" t="s">
        <v>155</v>
      </c>
      <c r="B432">
        <v>11</v>
      </c>
      <c r="C432" t="str">
        <f t="shared" si="53"/>
        <v>test.TIFFFaxDecoder_11_</v>
      </c>
      <c r="D432">
        <v>4</v>
      </c>
      <c r="E432">
        <v>0.61363636363636365</v>
      </c>
      <c r="F432">
        <v>0.50157331655129012</v>
      </c>
      <c r="G432" s="1" t="str">
        <f t="shared" si="54"/>
        <v/>
      </c>
      <c r="H432" s="1" t="str">
        <f t="shared" si="55"/>
        <v/>
      </c>
      <c r="I432" s="1">
        <f t="shared" si="56"/>
        <v>0.61363636363636365</v>
      </c>
      <c r="J432" s="1" t="str">
        <f t="shared" si="57"/>
        <v/>
      </c>
      <c r="K432" s="1" t="str">
        <f t="shared" si="58"/>
        <v/>
      </c>
      <c r="L432" s="1" t="str">
        <f t="shared" si="59"/>
        <v/>
      </c>
    </row>
    <row r="433" spans="1:12">
      <c r="A433" t="s">
        <v>155</v>
      </c>
      <c r="B433">
        <v>11</v>
      </c>
      <c r="C433" t="str">
        <f t="shared" si="53"/>
        <v>test.TIFFFaxDecoder_11_</v>
      </c>
      <c r="D433">
        <v>1</v>
      </c>
      <c r="E433">
        <v>0.61363636363636365</v>
      </c>
      <c r="F433">
        <v>0.51415984896161104</v>
      </c>
      <c r="G433" s="1" t="str">
        <f t="shared" si="54"/>
        <v/>
      </c>
      <c r="H433" s="1" t="str">
        <f t="shared" si="55"/>
        <v/>
      </c>
      <c r="I433" s="1">
        <f t="shared" si="56"/>
        <v>0.61363636363636365</v>
      </c>
      <c r="J433" s="1" t="str">
        <f t="shared" si="57"/>
        <v/>
      </c>
      <c r="K433" s="1" t="str">
        <f t="shared" si="58"/>
        <v/>
      </c>
      <c r="L433" s="1" t="str">
        <f t="shared" si="59"/>
        <v/>
      </c>
    </row>
    <row r="434" spans="1:12">
      <c r="A434" t="s">
        <v>155</v>
      </c>
      <c r="B434">
        <v>11</v>
      </c>
      <c r="C434" t="str">
        <f t="shared" si="53"/>
        <v>test.TIFFFaxDecoder_11_</v>
      </c>
      <c r="D434">
        <v>2</v>
      </c>
      <c r="E434">
        <v>0.61363636363636365</v>
      </c>
      <c r="F434">
        <v>0.53178099433606041</v>
      </c>
      <c r="G434" s="1" t="str">
        <f t="shared" si="54"/>
        <v/>
      </c>
      <c r="H434" s="1" t="str">
        <f t="shared" si="55"/>
        <v/>
      </c>
      <c r="I434" s="1">
        <f t="shared" si="56"/>
        <v>0.61363636363636365</v>
      </c>
      <c r="J434" s="1" t="str">
        <f t="shared" si="57"/>
        <v/>
      </c>
      <c r="K434" s="1" t="str">
        <f t="shared" si="58"/>
        <v/>
      </c>
      <c r="L434" s="1" t="str">
        <f t="shared" si="59"/>
        <v/>
      </c>
    </row>
    <row r="435" spans="1:12">
      <c r="A435" t="s">
        <v>155</v>
      </c>
      <c r="B435">
        <v>11</v>
      </c>
      <c r="C435" t="str">
        <f t="shared" si="53"/>
        <v>test.TIFFFaxDecoder_11_</v>
      </c>
      <c r="D435">
        <v>3</v>
      </c>
      <c r="E435">
        <v>0.71590909090909094</v>
      </c>
      <c r="F435">
        <v>0.58086847073631209</v>
      </c>
      <c r="G435" s="1" t="str">
        <f t="shared" si="54"/>
        <v/>
      </c>
      <c r="H435" s="1" t="str">
        <f t="shared" si="55"/>
        <v/>
      </c>
      <c r="I435" s="1">
        <f t="shared" si="56"/>
        <v>0.71590909090909094</v>
      </c>
      <c r="J435" s="1" t="str">
        <f t="shared" si="57"/>
        <v/>
      </c>
      <c r="K435" s="1" t="str">
        <f t="shared" si="58"/>
        <v/>
      </c>
      <c r="L435" s="1" t="str">
        <f t="shared" si="59"/>
        <v/>
      </c>
    </row>
    <row r="436" spans="1:12">
      <c r="A436" t="s">
        <v>155</v>
      </c>
      <c r="B436">
        <v>11</v>
      </c>
      <c r="C436" t="str">
        <f t="shared" si="53"/>
        <v>test.TIFFFaxDecoder_11_</v>
      </c>
      <c r="D436">
        <v>4</v>
      </c>
      <c r="E436">
        <v>0.86363636363636365</v>
      </c>
      <c r="F436">
        <v>0.58401510383889244</v>
      </c>
      <c r="G436" s="1" t="str">
        <f t="shared" si="54"/>
        <v/>
      </c>
      <c r="H436" s="1" t="str">
        <f t="shared" si="55"/>
        <v/>
      </c>
      <c r="I436" s="1">
        <f t="shared" si="56"/>
        <v>0.86363636363636365</v>
      </c>
      <c r="J436" s="1" t="str">
        <f t="shared" si="57"/>
        <v/>
      </c>
      <c r="K436" s="1" t="str">
        <f t="shared" si="58"/>
        <v/>
      </c>
      <c r="L436" s="1" t="str">
        <f t="shared" si="59"/>
        <v/>
      </c>
    </row>
    <row r="437" spans="1:12">
      <c r="A437" t="s">
        <v>155</v>
      </c>
      <c r="B437">
        <v>11</v>
      </c>
      <c r="C437" t="str">
        <f t="shared" si="53"/>
        <v>test.TIFFFaxDecoder_11_</v>
      </c>
      <c r="D437">
        <v>5</v>
      </c>
      <c r="E437">
        <v>0.94318181818181823</v>
      </c>
      <c r="F437">
        <v>0.5903083700440529</v>
      </c>
      <c r="G437" s="1" t="str">
        <f t="shared" si="54"/>
        <v/>
      </c>
      <c r="H437" s="1" t="str">
        <f t="shared" si="55"/>
        <v/>
      </c>
      <c r="I437" s="1">
        <f t="shared" si="56"/>
        <v>0.94318181818181823</v>
      </c>
      <c r="J437" s="1" t="str">
        <f t="shared" si="57"/>
        <v/>
      </c>
      <c r="K437" s="1" t="str">
        <f t="shared" si="58"/>
        <v/>
      </c>
      <c r="L437" s="1" t="str">
        <f t="shared" si="59"/>
        <v/>
      </c>
    </row>
    <row r="438" spans="1:12">
      <c r="A438" t="s">
        <v>155</v>
      </c>
      <c r="B438">
        <v>11</v>
      </c>
      <c r="C438" t="str">
        <f t="shared" si="53"/>
        <v>test.TIFFFaxDecoder_11_</v>
      </c>
      <c r="D438">
        <v>6</v>
      </c>
      <c r="E438">
        <v>0.94318181818181823</v>
      </c>
      <c r="F438">
        <v>0.59345500314663313</v>
      </c>
      <c r="G438" s="1" t="str">
        <f t="shared" si="54"/>
        <v/>
      </c>
      <c r="H438" s="1" t="str">
        <f t="shared" si="55"/>
        <v/>
      </c>
      <c r="I438" s="1">
        <f t="shared" si="56"/>
        <v>0.94318181818181823</v>
      </c>
      <c r="J438" s="1" t="str">
        <f t="shared" si="57"/>
        <v/>
      </c>
      <c r="K438" s="1" t="str">
        <f t="shared" si="58"/>
        <v/>
      </c>
      <c r="L438" s="1" t="str">
        <f t="shared" si="59"/>
        <v/>
      </c>
    </row>
    <row r="439" spans="1:12">
      <c r="A439" t="s">
        <v>155</v>
      </c>
      <c r="B439">
        <v>11</v>
      </c>
      <c r="C439" t="str">
        <f t="shared" si="53"/>
        <v>test.TIFFFaxDecoder_11_</v>
      </c>
      <c r="D439">
        <v>7</v>
      </c>
      <c r="E439">
        <v>0.94318181818181823</v>
      </c>
      <c r="F439">
        <v>0.59911894273127753</v>
      </c>
      <c r="G439" s="1" t="str">
        <f t="shared" si="54"/>
        <v/>
      </c>
      <c r="H439" s="1" t="str">
        <f t="shared" si="55"/>
        <v/>
      </c>
      <c r="I439" s="1">
        <f t="shared" si="56"/>
        <v>0.94318181818181823</v>
      </c>
      <c r="J439" s="1" t="str">
        <f t="shared" si="57"/>
        <v/>
      </c>
      <c r="K439" s="1" t="str">
        <f t="shared" si="58"/>
        <v/>
      </c>
      <c r="L439" s="1" t="str">
        <f t="shared" si="59"/>
        <v/>
      </c>
    </row>
    <row r="440" spans="1:12">
      <c r="A440" t="s">
        <v>155</v>
      </c>
      <c r="B440">
        <v>11</v>
      </c>
      <c r="C440" t="str">
        <f t="shared" si="53"/>
        <v>test.TIFFFaxDecoder_11_</v>
      </c>
      <c r="D440">
        <v>8</v>
      </c>
      <c r="E440">
        <v>1</v>
      </c>
      <c r="F440">
        <v>0.60289490245437383</v>
      </c>
      <c r="G440" s="1" t="str">
        <f t="shared" si="54"/>
        <v/>
      </c>
      <c r="H440" s="1" t="str">
        <f t="shared" si="55"/>
        <v/>
      </c>
      <c r="I440" s="1" t="str">
        <f t="shared" si="56"/>
        <v/>
      </c>
      <c r="J440" s="1">
        <f t="shared" si="57"/>
        <v>1</v>
      </c>
      <c r="K440" s="1" t="str">
        <f t="shared" si="58"/>
        <v/>
      </c>
      <c r="L440" s="1" t="str">
        <f t="shared" si="59"/>
        <v/>
      </c>
    </row>
    <row r="441" spans="1:12">
      <c r="A441" t="s">
        <v>155</v>
      </c>
      <c r="B441">
        <v>11</v>
      </c>
      <c r="C441" t="str">
        <f t="shared" si="53"/>
        <v>test.TIFFFaxDecoder_11_</v>
      </c>
      <c r="D441">
        <v>1</v>
      </c>
      <c r="E441">
        <v>1</v>
      </c>
      <c r="F441">
        <v>0.61296412838263059</v>
      </c>
      <c r="G441" s="1" t="str">
        <f t="shared" si="54"/>
        <v/>
      </c>
      <c r="H441" s="1" t="str">
        <f t="shared" si="55"/>
        <v/>
      </c>
      <c r="I441" s="1" t="str">
        <f t="shared" si="56"/>
        <v/>
      </c>
      <c r="J441" s="1">
        <f t="shared" si="57"/>
        <v>1</v>
      </c>
      <c r="K441" s="1" t="str">
        <f t="shared" si="58"/>
        <v/>
      </c>
      <c r="L441" s="1" t="str">
        <f t="shared" si="59"/>
        <v/>
      </c>
    </row>
    <row r="442" spans="1:12">
      <c r="A442" t="s">
        <v>155</v>
      </c>
      <c r="B442">
        <v>11</v>
      </c>
      <c r="C442" t="str">
        <f t="shared" si="53"/>
        <v>test.TIFFFaxDecoder_11_</v>
      </c>
      <c r="D442">
        <v>2</v>
      </c>
      <c r="E442">
        <v>1</v>
      </c>
      <c r="F442">
        <v>0.61674008810572689</v>
      </c>
      <c r="G442" s="1" t="str">
        <f t="shared" si="54"/>
        <v/>
      </c>
      <c r="H442" s="1" t="str">
        <f t="shared" si="55"/>
        <v/>
      </c>
      <c r="I442" s="1" t="str">
        <f t="shared" si="56"/>
        <v/>
      </c>
      <c r="J442" s="1">
        <f t="shared" si="57"/>
        <v>1</v>
      </c>
      <c r="K442" s="1" t="str">
        <f t="shared" si="58"/>
        <v/>
      </c>
      <c r="L442" s="1" t="str">
        <f t="shared" si="59"/>
        <v/>
      </c>
    </row>
    <row r="443" spans="1:12">
      <c r="A443" t="s">
        <v>155</v>
      </c>
      <c r="B443">
        <v>11</v>
      </c>
      <c r="C443" t="str">
        <f t="shared" si="53"/>
        <v>test.TIFFFaxDecoder_11_</v>
      </c>
      <c r="D443">
        <v>3</v>
      </c>
      <c r="E443">
        <v>1</v>
      </c>
      <c r="F443">
        <v>0.61925739458779105</v>
      </c>
      <c r="G443" s="1" t="str">
        <f t="shared" si="54"/>
        <v/>
      </c>
      <c r="H443" s="1" t="str">
        <f t="shared" si="55"/>
        <v/>
      </c>
      <c r="I443" s="1" t="str">
        <f t="shared" si="56"/>
        <v/>
      </c>
      <c r="J443" s="1">
        <f t="shared" si="57"/>
        <v>1</v>
      </c>
      <c r="K443" s="1" t="str">
        <f t="shared" si="58"/>
        <v/>
      </c>
      <c r="L443" s="1" t="str">
        <f t="shared" si="59"/>
        <v/>
      </c>
    </row>
    <row r="444" spans="1:12">
      <c r="A444" t="s">
        <v>155</v>
      </c>
      <c r="B444">
        <v>11</v>
      </c>
      <c r="C444" t="str">
        <f t="shared" si="53"/>
        <v>test.TIFFFaxDecoder_11_</v>
      </c>
      <c r="D444">
        <v>4</v>
      </c>
      <c r="E444">
        <v>1</v>
      </c>
      <c r="F444">
        <v>0.63750786658275649</v>
      </c>
      <c r="G444" s="1" t="str">
        <f t="shared" si="54"/>
        <v/>
      </c>
      <c r="H444" s="1" t="str">
        <f t="shared" si="55"/>
        <v/>
      </c>
      <c r="I444" s="1" t="str">
        <f t="shared" si="56"/>
        <v/>
      </c>
      <c r="J444" s="1">
        <f t="shared" si="57"/>
        <v>1</v>
      </c>
      <c r="K444" s="1" t="str">
        <f t="shared" si="58"/>
        <v/>
      </c>
      <c r="L444" s="1" t="str">
        <f t="shared" si="59"/>
        <v/>
      </c>
    </row>
    <row r="445" spans="1:12">
      <c r="A445" t="s">
        <v>155</v>
      </c>
      <c r="B445">
        <v>11</v>
      </c>
      <c r="C445" t="str">
        <f t="shared" si="53"/>
        <v>test.TIFFFaxDecoder_11_</v>
      </c>
      <c r="D445">
        <v>5</v>
      </c>
      <c r="E445">
        <v>1</v>
      </c>
      <c r="F445">
        <v>0.65701699181875395</v>
      </c>
      <c r="G445" s="1" t="str">
        <f t="shared" si="54"/>
        <v/>
      </c>
      <c r="H445" s="1" t="str">
        <f t="shared" si="55"/>
        <v/>
      </c>
      <c r="I445" s="1" t="str">
        <f t="shared" si="56"/>
        <v/>
      </c>
      <c r="J445" s="1">
        <f t="shared" si="57"/>
        <v>1</v>
      </c>
      <c r="K445" s="1" t="str">
        <f t="shared" si="58"/>
        <v/>
      </c>
      <c r="L445" s="1" t="str">
        <f t="shared" si="59"/>
        <v/>
      </c>
    </row>
    <row r="446" spans="1:12">
      <c r="A446" t="s">
        <v>155</v>
      </c>
      <c r="B446">
        <v>11</v>
      </c>
      <c r="C446" t="str">
        <f t="shared" si="53"/>
        <v>test.TIFFFaxDecoder_11_</v>
      </c>
      <c r="D446">
        <v>1</v>
      </c>
      <c r="E446">
        <v>1</v>
      </c>
      <c r="F446">
        <v>0.66456891126494655</v>
      </c>
      <c r="G446" s="1" t="str">
        <f t="shared" si="54"/>
        <v/>
      </c>
      <c r="H446" s="1" t="str">
        <f t="shared" si="55"/>
        <v/>
      </c>
      <c r="I446" s="1" t="str">
        <f t="shared" si="56"/>
        <v/>
      </c>
      <c r="J446" s="1">
        <f t="shared" si="57"/>
        <v>1</v>
      </c>
      <c r="K446" s="1" t="str">
        <f t="shared" si="58"/>
        <v/>
      </c>
      <c r="L446" s="1" t="str">
        <f t="shared" si="59"/>
        <v/>
      </c>
    </row>
    <row r="447" spans="1:12">
      <c r="A447" t="s">
        <v>155</v>
      </c>
      <c r="B447">
        <v>12</v>
      </c>
      <c r="C447" t="str">
        <f t="shared" si="53"/>
        <v>test.TIFFFaxDecoder_12_</v>
      </c>
      <c r="D447">
        <v>2</v>
      </c>
      <c r="E447">
        <v>0.125</v>
      </c>
      <c r="F447">
        <v>0.22008547008547008</v>
      </c>
      <c r="G447" s="1" t="str">
        <f t="shared" si="54"/>
        <v/>
      </c>
      <c r="H447" s="1">
        <f t="shared" si="55"/>
        <v>0.125</v>
      </c>
      <c r="I447" s="1" t="str">
        <f t="shared" si="56"/>
        <v/>
      </c>
      <c r="J447" s="1" t="str">
        <f t="shared" si="57"/>
        <v/>
      </c>
      <c r="K447" s="1" t="str">
        <f t="shared" si="58"/>
        <v/>
      </c>
      <c r="L447" s="1" t="str">
        <f t="shared" si="59"/>
        <v/>
      </c>
    </row>
    <row r="448" spans="1:12">
      <c r="A448" t="s">
        <v>155</v>
      </c>
      <c r="B448">
        <v>12</v>
      </c>
      <c r="C448" t="str">
        <f t="shared" si="53"/>
        <v>test.TIFFFaxDecoder_12_</v>
      </c>
      <c r="D448">
        <v>3</v>
      </c>
      <c r="E448">
        <v>0.5178571428571429</v>
      </c>
      <c r="F448">
        <v>0.61538461538461542</v>
      </c>
      <c r="G448" s="1" t="str">
        <f t="shared" si="54"/>
        <v/>
      </c>
      <c r="H448" s="1" t="str">
        <f t="shared" si="55"/>
        <v/>
      </c>
      <c r="I448" s="1" t="str">
        <f t="shared" si="56"/>
        <v/>
      </c>
      <c r="J448" s="1">
        <f t="shared" si="57"/>
        <v>0.5178571428571429</v>
      </c>
      <c r="K448" s="1" t="str">
        <f t="shared" si="58"/>
        <v/>
      </c>
      <c r="L448" s="1" t="str">
        <f t="shared" si="59"/>
        <v/>
      </c>
    </row>
    <row r="449" spans="1:12">
      <c r="A449" t="s">
        <v>155</v>
      </c>
      <c r="B449">
        <v>12</v>
      </c>
      <c r="C449" t="str">
        <f t="shared" si="53"/>
        <v>test.TIFFFaxDecoder_12_</v>
      </c>
      <c r="D449">
        <v>4</v>
      </c>
      <c r="E449">
        <v>0.5714285714285714</v>
      </c>
      <c r="F449">
        <v>0.6399572649572649</v>
      </c>
      <c r="G449" s="1" t="str">
        <f t="shared" si="54"/>
        <v/>
      </c>
      <c r="H449" s="1" t="str">
        <f t="shared" si="55"/>
        <v/>
      </c>
      <c r="I449" s="1" t="str">
        <f t="shared" si="56"/>
        <v/>
      </c>
      <c r="J449" s="1">
        <f t="shared" si="57"/>
        <v>0.5714285714285714</v>
      </c>
      <c r="K449" s="1" t="str">
        <f t="shared" si="58"/>
        <v/>
      </c>
      <c r="L449" s="1" t="str">
        <f t="shared" si="59"/>
        <v/>
      </c>
    </row>
    <row r="450" spans="1:12">
      <c r="A450" t="s">
        <v>155</v>
      </c>
      <c r="B450">
        <v>12</v>
      </c>
      <c r="C450" t="str">
        <f t="shared" si="53"/>
        <v>test.TIFFFaxDecoder_12_</v>
      </c>
      <c r="D450">
        <v>5</v>
      </c>
      <c r="E450">
        <v>0.7678571428571429</v>
      </c>
      <c r="F450">
        <v>0.64209401709401714</v>
      </c>
      <c r="G450" s="1" t="str">
        <f t="shared" si="54"/>
        <v/>
      </c>
      <c r="H450" s="1" t="str">
        <f t="shared" si="55"/>
        <v/>
      </c>
      <c r="I450" s="1" t="str">
        <f t="shared" si="56"/>
        <v/>
      </c>
      <c r="J450" s="1">
        <f t="shared" si="57"/>
        <v>0.7678571428571429</v>
      </c>
      <c r="K450" s="1" t="str">
        <f t="shared" si="58"/>
        <v/>
      </c>
      <c r="L450" s="1" t="str">
        <f t="shared" si="59"/>
        <v/>
      </c>
    </row>
    <row r="451" spans="1:12">
      <c r="A451" t="s">
        <v>155</v>
      </c>
      <c r="B451">
        <v>12</v>
      </c>
      <c r="C451" t="str">
        <f t="shared" ref="C451:C472" si="60">CONCATENATE(A451, "_",B451,"_")</f>
        <v>test.TIFFFaxDecoder_12_</v>
      </c>
      <c r="D451">
        <v>1</v>
      </c>
      <c r="E451">
        <v>0.7678571428571429</v>
      </c>
      <c r="F451">
        <v>0.64529914529914534</v>
      </c>
      <c r="G451" s="1" t="str">
        <f t="shared" ref="G451:G472" si="61">IF($F451 &lt;= 0.2,$E451,"")</f>
        <v/>
      </c>
      <c r="H451" s="1" t="str">
        <f t="shared" ref="H451:H472" si="62">IF(AND($F451 &gt; 0.2,$F451 &lt;= 0.4),$E451,"")</f>
        <v/>
      </c>
      <c r="I451" s="1" t="str">
        <f t="shared" ref="I451:I472" si="63">IF(AND($F451 &gt; 0.4,$F451 &lt;= 0.6),$E451,"")</f>
        <v/>
      </c>
      <c r="J451" s="1">
        <f t="shared" ref="J451:J472" si="64">IF(AND($F451 &gt; 0.6,$F451 &lt;= 0.8),$E451,"")</f>
        <v>0.7678571428571429</v>
      </c>
      <c r="K451" s="1" t="str">
        <f t="shared" ref="K451:K472" si="65">IF(AND($F451 &gt; 0.8, $F451 &lt;=1.1),$E451,"")</f>
        <v/>
      </c>
      <c r="L451" s="1" t="str">
        <f t="shared" ref="L451:L472" si="66">IF(AND($F451 &gt; 1.1),$E451,"")</f>
        <v/>
      </c>
    </row>
    <row r="452" spans="1:12">
      <c r="A452" t="s">
        <v>155</v>
      </c>
      <c r="B452">
        <v>12</v>
      </c>
      <c r="C452" t="str">
        <f t="shared" si="60"/>
        <v>test.TIFFFaxDecoder_12_</v>
      </c>
      <c r="D452">
        <v>2</v>
      </c>
      <c r="E452">
        <v>0.8928571428571429</v>
      </c>
      <c r="F452">
        <v>0.66132478632478631</v>
      </c>
      <c r="G452" s="1" t="str">
        <f t="shared" si="61"/>
        <v/>
      </c>
      <c r="H452" s="1" t="str">
        <f t="shared" si="62"/>
        <v/>
      </c>
      <c r="I452" s="1" t="str">
        <f t="shared" si="63"/>
        <v/>
      </c>
      <c r="J452" s="1">
        <f t="shared" si="64"/>
        <v>0.8928571428571429</v>
      </c>
      <c r="K452" s="1" t="str">
        <f t="shared" si="65"/>
        <v/>
      </c>
      <c r="L452" s="1" t="str">
        <f t="shared" si="66"/>
        <v/>
      </c>
    </row>
    <row r="453" spans="1:12">
      <c r="A453" t="s">
        <v>155</v>
      </c>
      <c r="B453">
        <v>12</v>
      </c>
      <c r="C453" t="str">
        <f t="shared" si="60"/>
        <v>test.TIFFFaxDecoder_12_</v>
      </c>
      <c r="D453">
        <v>3</v>
      </c>
      <c r="E453">
        <v>1</v>
      </c>
      <c r="F453">
        <v>0.71581196581196582</v>
      </c>
      <c r="G453" s="1" t="str">
        <f t="shared" si="61"/>
        <v/>
      </c>
      <c r="H453" s="1" t="str">
        <f t="shared" si="62"/>
        <v/>
      </c>
      <c r="I453" s="1" t="str">
        <f t="shared" si="63"/>
        <v/>
      </c>
      <c r="J453" s="1">
        <f t="shared" si="64"/>
        <v>1</v>
      </c>
      <c r="K453" s="1" t="str">
        <f t="shared" si="65"/>
        <v/>
      </c>
      <c r="L453" s="1" t="str">
        <f t="shared" si="66"/>
        <v/>
      </c>
    </row>
    <row r="454" spans="1:12">
      <c r="A454" t="s">
        <v>155</v>
      </c>
      <c r="B454">
        <v>12</v>
      </c>
      <c r="C454" t="str">
        <f t="shared" si="60"/>
        <v>test.TIFFFaxDecoder_12_</v>
      </c>
      <c r="D454">
        <v>1</v>
      </c>
      <c r="E454">
        <v>1</v>
      </c>
      <c r="F454">
        <v>0.71901709401709402</v>
      </c>
      <c r="G454" s="1" t="str">
        <f t="shared" si="61"/>
        <v/>
      </c>
      <c r="H454" s="1" t="str">
        <f t="shared" si="62"/>
        <v/>
      </c>
      <c r="I454" s="1" t="str">
        <f t="shared" si="63"/>
        <v/>
      </c>
      <c r="J454" s="1">
        <f t="shared" si="64"/>
        <v>1</v>
      </c>
      <c r="K454" s="1" t="str">
        <f t="shared" si="65"/>
        <v/>
      </c>
      <c r="L454" s="1" t="str">
        <f t="shared" si="66"/>
        <v/>
      </c>
    </row>
    <row r="455" spans="1:12">
      <c r="A455" t="s">
        <v>155</v>
      </c>
      <c r="B455">
        <v>12</v>
      </c>
      <c r="C455" t="str">
        <f t="shared" si="60"/>
        <v>test.TIFFFaxDecoder_12_</v>
      </c>
      <c r="D455">
        <v>2</v>
      </c>
      <c r="E455">
        <v>1</v>
      </c>
      <c r="F455">
        <v>0.75106837606837606</v>
      </c>
      <c r="G455" s="1" t="str">
        <f t="shared" si="61"/>
        <v/>
      </c>
      <c r="H455" s="1" t="str">
        <f t="shared" si="62"/>
        <v/>
      </c>
      <c r="I455" s="1" t="str">
        <f t="shared" si="63"/>
        <v/>
      </c>
      <c r="J455" s="1">
        <f t="shared" si="64"/>
        <v>1</v>
      </c>
      <c r="K455" s="1" t="str">
        <f t="shared" si="65"/>
        <v/>
      </c>
      <c r="L455" s="1" t="str">
        <f t="shared" si="66"/>
        <v/>
      </c>
    </row>
    <row r="456" spans="1:12">
      <c r="A456" t="s">
        <v>155</v>
      </c>
      <c r="B456">
        <v>13</v>
      </c>
      <c r="C456" t="str">
        <f t="shared" si="60"/>
        <v>test.TIFFFaxDecoder_13_</v>
      </c>
      <c r="D456">
        <v>3</v>
      </c>
      <c r="E456">
        <v>0.42857142857142855</v>
      </c>
      <c r="F456">
        <v>0.66473988439306353</v>
      </c>
      <c r="G456" s="1" t="str">
        <f t="shared" si="61"/>
        <v/>
      </c>
      <c r="H456" s="1" t="str">
        <f t="shared" si="62"/>
        <v/>
      </c>
      <c r="I456" s="1" t="str">
        <f t="shared" si="63"/>
        <v/>
      </c>
      <c r="J456" s="1">
        <f t="shared" si="64"/>
        <v>0.42857142857142855</v>
      </c>
      <c r="K456" s="1" t="str">
        <f t="shared" si="65"/>
        <v/>
      </c>
      <c r="L456" s="1" t="str">
        <f t="shared" si="66"/>
        <v/>
      </c>
    </row>
    <row r="457" spans="1:12">
      <c r="A457" t="s">
        <v>155</v>
      </c>
      <c r="B457">
        <v>13</v>
      </c>
      <c r="C457" t="str">
        <f t="shared" si="60"/>
        <v>test.TIFFFaxDecoder_13_</v>
      </c>
      <c r="D457">
        <v>4</v>
      </c>
      <c r="E457">
        <v>1</v>
      </c>
      <c r="F457">
        <v>1.1387283236994219</v>
      </c>
      <c r="G457" s="1" t="str">
        <f t="shared" si="61"/>
        <v/>
      </c>
      <c r="H457" s="1" t="str">
        <f t="shared" si="62"/>
        <v/>
      </c>
      <c r="I457" s="1" t="str">
        <f t="shared" si="63"/>
        <v/>
      </c>
      <c r="J457" s="1" t="str">
        <f t="shared" si="64"/>
        <v/>
      </c>
      <c r="K457" s="1" t="str">
        <f t="shared" si="65"/>
        <v/>
      </c>
      <c r="L457" s="1">
        <f t="shared" si="66"/>
        <v>1</v>
      </c>
    </row>
    <row r="458" spans="1:12">
      <c r="A458" t="s">
        <v>199</v>
      </c>
      <c r="B458">
        <v>2</v>
      </c>
      <c r="C458" t="str">
        <f t="shared" si="60"/>
        <v>test.TIFFFaxEncoder_2_</v>
      </c>
      <c r="D458">
        <v>5</v>
      </c>
      <c r="E458">
        <v>0</v>
      </c>
      <c r="F458">
        <v>1.1111111111111112E-2</v>
      </c>
      <c r="G458" s="1">
        <f t="shared" si="61"/>
        <v>0</v>
      </c>
      <c r="H458" s="1" t="str">
        <f t="shared" si="62"/>
        <v/>
      </c>
      <c r="I458" s="1" t="str">
        <f t="shared" si="63"/>
        <v/>
      </c>
      <c r="J458" s="1" t="str">
        <f t="shared" si="64"/>
        <v/>
      </c>
      <c r="K458" s="1" t="str">
        <f t="shared" si="65"/>
        <v/>
      </c>
      <c r="L458" s="1" t="str">
        <f t="shared" si="66"/>
        <v/>
      </c>
    </row>
    <row r="459" spans="1:12">
      <c r="A459" t="s">
        <v>199</v>
      </c>
      <c r="B459">
        <v>2</v>
      </c>
      <c r="C459" t="str">
        <f t="shared" si="60"/>
        <v>test.TIFFFaxEncoder_2_</v>
      </c>
      <c r="D459">
        <v>6</v>
      </c>
      <c r="E459">
        <v>0.323943661971831</v>
      </c>
      <c r="F459">
        <v>0.30656565656565654</v>
      </c>
      <c r="G459" s="1" t="str">
        <f t="shared" si="61"/>
        <v/>
      </c>
      <c r="H459" s="1">
        <f t="shared" si="62"/>
        <v>0.323943661971831</v>
      </c>
      <c r="I459" s="1" t="str">
        <f t="shared" si="63"/>
        <v/>
      </c>
      <c r="J459" s="1" t="str">
        <f t="shared" si="64"/>
        <v/>
      </c>
      <c r="K459" s="1" t="str">
        <f t="shared" si="65"/>
        <v/>
      </c>
      <c r="L459" s="1" t="str">
        <f t="shared" si="66"/>
        <v/>
      </c>
    </row>
    <row r="460" spans="1:12">
      <c r="A460" t="s">
        <v>199</v>
      </c>
      <c r="B460">
        <v>2</v>
      </c>
      <c r="C460" t="str">
        <f t="shared" si="60"/>
        <v>test.TIFFFaxEncoder_2_</v>
      </c>
      <c r="D460">
        <v>7</v>
      </c>
      <c r="E460">
        <v>0.352112676056338</v>
      </c>
      <c r="F460">
        <v>0.31161616161616162</v>
      </c>
      <c r="G460" s="1" t="str">
        <f t="shared" si="61"/>
        <v/>
      </c>
      <c r="H460" s="1">
        <f t="shared" si="62"/>
        <v>0.352112676056338</v>
      </c>
      <c r="I460" s="1" t="str">
        <f t="shared" si="63"/>
        <v/>
      </c>
      <c r="J460" s="1" t="str">
        <f t="shared" si="64"/>
        <v/>
      </c>
      <c r="K460" s="1" t="str">
        <f t="shared" si="65"/>
        <v/>
      </c>
      <c r="L460" s="1" t="str">
        <f t="shared" si="66"/>
        <v/>
      </c>
    </row>
    <row r="461" spans="1:12">
      <c r="A461" t="s">
        <v>199</v>
      </c>
      <c r="B461">
        <v>2</v>
      </c>
      <c r="C461" t="str">
        <f t="shared" si="60"/>
        <v>test.TIFFFaxEncoder_2_</v>
      </c>
      <c r="D461">
        <v>8</v>
      </c>
      <c r="E461">
        <v>0.6619718309859155</v>
      </c>
      <c r="F461">
        <v>0.47222222222222221</v>
      </c>
      <c r="G461" s="1" t="str">
        <f t="shared" si="61"/>
        <v/>
      </c>
      <c r="H461" s="1" t="str">
        <f t="shared" si="62"/>
        <v/>
      </c>
      <c r="I461" s="1">
        <f t="shared" si="63"/>
        <v>0.6619718309859155</v>
      </c>
      <c r="J461" s="1" t="str">
        <f t="shared" si="64"/>
        <v/>
      </c>
      <c r="K461" s="1" t="str">
        <f t="shared" si="65"/>
        <v/>
      </c>
      <c r="L461" s="1" t="str">
        <f t="shared" si="66"/>
        <v/>
      </c>
    </row>
    <row r="462" spans="1:12">
      <c r="A462" t="s">
        <v>199</v>
      </c>
      <c r="B462">
        <v>2</v>
      </c>
      <c r="C462" t="str">
        <f t="shared" si="60"/>
        <v>test.TIFFFaxEncoder_2_</v>
      </c>
      <c r="D462">
        <v>9</v>
      </c>
      <c r="E462">
        <v>0.70422535211267601</v>
      </c>
      <c r="F462">
        <v>0.52575757575757576</v>
      </c>
      <c r="G462" s="1" t="str">
        <f t="shared" si="61"/>
        <v/>
      </c>
      <c r="H462" s="1" t="str">
        <f t="shared" si="62"/>
        <v/>
      </c>
      <c r="I462" s="1">
        <f t="shared" si="63"/>
        <v>0.70422535211267601</v>
      </c>
      <c r="J462" s="1" t="str">
        <f t="shared" si="64"/>
        <v/>
      </c>
      <c r="K462" s="1" t="str">
        <f t="shared" si="65"/>
        <v/>
      </c>
      <c r="L462" s="1" t="str">
        <f t="shared" si="66"/>
        <v/>
      </c>
    </row>
    <row r="463" spans="1:12">
      <c r="A463" t="s">
        <v>199</v>
      </c>
      <c r="B463">
        <v>2</v>
      </c>
      <c r="C463" t="str">
        <f t="shared" si="60"/>
        <v>test.TIFFFaxEncoder_2_</v>
      </c>
      <c r="D463">
        <v>10</v>
      </c>
      <c r="E463">
        <v>1</v>
      </c>
      <c r="F463">
        <v>0.6994949494949495</v>
      </c>
      <c r="G463" s="1" t="str">
        <f t="shared" si="61"/>
        <v/>
      </c>
      <c r="H463" s="1" t="str">
        <f t="shared" si="62"/>
        <v/>
      </c>
      <c r="I463" s="1" t="str">
        <f t="shared" si="63"/>
        <v/>
      </c>
      <c r="J463" s="1">
        <f t="shared" si="64"/>
        <v>1</v>
      </c>
      <c r="K463" s="1" t="str">
        <f t="shared" si="65"/>
        <v/>
      </c>
      <c r="L463" s="1" t="str">
        <f t="shared" si="66"/>
        <v/>
      </c>
    </row>
    <row r="464" spans="1:12">
      <c r="A464" t="s">
        <v>199</v>
      </c>
      <c r="B464">
        <v>2</v>
      </c>
      <c r="C464" t="str">
        <f t="shared" si="60"/>
        <v>test.TIFFFaxEncoder_2_</v>
      </c>
      <c r="D464">
        <v>11</v>
      </c>
      <c r="E464">
        <v>1</v>
      </c>
      <c r="F464">
        <v>0.71212121212121215</v>
      </c>
      <c r="G464" s="1" t="str">
        <f t="shared" si="61"/>
        <v/>
      </c>
      <c r="H464" s="1" t="str">
        <f t="shared" si="62"/>
        <v/>
      </c>
      <c r="I464" s="1" t="str">
        <f t="shared" si="63"/>
        <v/>
      </c>
      <c r="J464" s="1">
        <f t="shared" si="64"/>
        <v>1</v>
      </c>
      <c r="K464" s="1" t="str">
        <f t="shared" si="65"/>
        <v/>
      </c>
      <c r="L464" s="1" t="str">
        <f t="shared" si="66"/>
        <v/>
      </c>
    </row>
    <row r="465" spans="1:12">
      <c r="A465" t="s">
        <v>199</v>
      </c>
      <c r="B465">
        <v>6</v>
      </c>
      <c r="C465" t="str">
        <f t="shared" si="60"/>
        <v>test.TIFFFaxEncoder_6_</v>
      </c>
      <c r="D465">
        <v>12</v>
      </c>
      <c r="E465">
        <v>0.67741935483870963</v>
      </c>
      <c r="F465">
        <v>0.80861244019138756</v>
      </c>
      <c r="G465" s="1" t="str">
        <f t="shared" si="61"/>
        <v/>
      </c>
      <c r="H465" s="1" t="str">
        <f t="shared" si="62"/>
        <v/>
      </c>
      <c r="I465" s="1" t="str">
        <f t="shared" si="63"/>
        <v/>
      </c>
      <c r="J465" s="1" t="str">
        <f t="shared" si="64"/>
        <v/>
      </c>
      <c r="K465" s="1">
        <f t="shared" si="65"/>
        <v>0.67741935483870963</v>
      </c>
      <c r="L465" s="1" t="str">
        <f t="shared" si="66"/>
        <v/>
      </c>
    </row>
    <row r="466" spans="1:12">
      <c r="A466" t="s">
        <v>199</v>
      </c>
      <c r="B466">
        <v>6</v>
      </c>
      <c r="C466" t="str">
        <f t="shared" si="60"/>
        <v>test.TIFFFaxEncoder_6_</v>
      </c>
      <c r="D466">
        <v>13</v>
      </c>
      <c r="E466">
        <v>0.74193548387096775</v>
      </c>
      <c r="F466">
        <v>0.85406698564593297</v>
      </c>
      <c r="G466" s="1" t="str">
        <f t="shared" si="61"/>
        <v/>
      </c>
      <c r="H466" s="1" t="str">
        <f t="shared" si="62"/>
        <v/>
      </c>
      <c r="I466" s="1" t="str">
        <f t="shared" si="63"/>
        <v/>
      </c>
      <c r="J466" s="1" t="str">
        <f t="shared" si="64"/>
        <v/>
      </c>
      <c r="K466" s="1">
        <f t="shared" si="65"/>
        <v>0.74193548387096775</v>
      </c>
      <c r="L466" s="1" t="str">
        <f t="shared" si="66"/>
        <v/>
      </c>
    </row>
    <row r="467" spans="1:12">
      <c r="A467" t="s">
        <v>199</v>
      </c>
      <c r="B467">
        <v>6</v>
      </c>
      <c r="C467" t="str">
        <f t="shared" si="60"/>
        <v>test.TIFFFaxEncoder_6_</v>
      </c>
      <c r="D467">
        <v>14</v>
      </c>
      <c r="E467">
        <v>0.967741935483871</v>
      </c>
      <c r="F467">
        <v>0.92583732057416268</v>
      </c>
      <c r="G467" s="1" t="str">
        <f t="shared" si="61"/>
        <v/>
      </c>
      <c r="H467" s="1" t="str">
        <f t="shared" si="62"/>
        <v/>
      </c>
      <c r="I467" s="1" t="str">
        <f t="shared" si="63"/>
        <v/>
      </c>
      <c r="J467" s="1" t="str">
        <f t="shared" si="64"/>
        <v/>
      </c>
      <c r="K467" s="1">
        <f t="shared" si="65"/>
        <v>0.967741935483871</v>
      </c>
      <c r="L467" s="1" t="str">
        <f t="shared" si="66"/>
        <v/>
      </c>
    </row>
    <row r="468" spans="1:12">
      <c r="A468" t="s">
        <v>199</v>
      </c>
      <c r="B468">
        <v>6</v>
      </c>
      <c r="C468" t="str">
        <f t="shared" si="60"/>
        <v>test.TIFFFaxEncoder_6_</v>
      </c>
      <c r="D468">
        <v>15</v>
      </c>
      <c r="E468">
        <v>1</v>
      </c>
      <c r="F468">
        <v>0.95454545454545459</v>
      </c>
      <c r="G468" s="1" t="str">
        <f t="shared" si="61"/>
        <v/>
      </c>
      <c r="H468" s="1" t="str">
        <f t="shared" si="62"/>
        <v/>
      </c>
      <c r="I468" s="1" t="str">
        <f t="shared" si="63"/>
        <v/>
      </c>
      <c r="J468" s="1" t="str">
        <f t="shared" si="64"/>
        <v/>
      </c>
      <c r="K468" s="1">
        <f t="shared" si="65"/>
        <v>1</v>
      </c>
      <c r="L468" s="1" t="str">
        <f t="shared" si="66"/>
        <v/>
      </c>
    </row>
    <row r="469" spans="1:12">
      <c r="A469" t="s">
        <v>199</v>
      </c>
      <c r="B469">
        <v>6</v>
      </c>
      <c r="C469" t="str">
        <f t="shared" si="60"/>
        <v>test.TIFFFaxEncoder_6_</v>
      </c>
      <c r="D469">
        <v>16</v>
      </c>
      <c r="E469">
        <v>1</v>
      </c>
      <c r="F469">
        <v>1.0669856459330143</v>
      </c>
      <c r="G469" s="1" t="str">
        <f t="shared" si="61"/>
        <v/>
      </c>
      <c r="H469" s="1" t="str">
        <f t="shared" si="62"/>
        <v/>
      </c>
      <c r="I469" s="1" t="str">
        <f t="shared" si="63"/>
        <v/>
      </c>
      <c r="J469" s="1" t="str">
        <f t="shared" si="64"/>
        <v/>
      </c>
      <c r="K469" s="1">
        <f t="shared" si="65"/>
        <v>1</v>
      </c>
      <c r="L469" s="1" t="str">
        <f t="shared" si="66"/>
        <v/>
      </c>
    </row>
    <row r="470" spans="1:12">
      <c r="A470" t="s">
        <v>199</v>
      </c>
      <c r="B470">
        <v>6</v>
      </c>
      <c r="C470" t="str">
        <f t="shared" si="60"/>
        <v>test.TIFFFaxEncoder_6_</v>
      </c>
      <c r="D470">
        <v>17</v>
      </c>
      <c r="E470">
        <v>1</v>
      </c>
      <c r="F470">
        <v>1.0801435406698565</v>
      </c>
      <c r="G470" s="1" t="str">
        <f t="shared" si="61"/>
        <v/>
      </c>
      <c r="H470" s="1" t="str">
        <f t="shared" si="62"/>
        <v/>
      </c>
      <c r="I470" s="1" t="str">
        <f t="shared" si="63"/>
        <v/>
      </c>
      <c r="J470" s="1" t="str">
        <f t="shared" si="64"/>
        <v/>
      </c>
      <c r="K470" s="1">
        <f t="shared" si="65"/>
        <v>1</v>
      </c>
      <c r="L470" s="1" t="str">
        <f t="shared" si="66"/>
        <v/>
      </c>
    </row>
    <row r="471" spans="1:12">
      <c r="A471" t="s">
        <v>199</v>
      </c>
      <c r="B471">
        <v>8</v>
      </c>
      <c r="C471" t="str">
        <f t="shared" si="60"/>
        <v>test.TIFFFaxEncoder_8_</v>
      </c>
      <c r="D471">
        <v>18</v>
      </c>
      <c r="E471">
        <v>0.93103448275862066</v>
      </c>
      <c r="F471">
        <v>1.037117903930131</v>
      </c>
      <c r="G471" s="1" t="str">
        <f t="shared" si="61"/>
        <v/>
      </c>
      <c r="H471" s="1" t="str">
        <f t="shared" si="62"/>
        <v/>
      </c>
      <c r="I471" s="1" t="str">
        <f t="shared" si="63"/>
        <v/>
      </c>
      <c r="J471" s="1" t="str">
        <f t="shared" si="64"/>
        <v/>
      </c>
      <c r="K471" s="1">
        <f t="shared" si="65"/>
        <v>0.93103448275862066</v>
      </c>
      <c r="L471" s="1" t="str">
        <f t="shared" si="66"/>
        <v/>
      </c>
    </row>
    <row r="472" spans="1:12">
      <c r="A472" t="s">
        <v>199</v>
      </c>
      <c r="B472">
        <v>8</v>
      </c>
      <c r="C472" t="str">
        <f t="shared" si="60"/>
        <v>test.TIFFFaxEncoder_8_</v>
      </c>
      <c r="D472">
        <v>1</v>
      </c>
      <c r="E472">
        <v>1</v>
      </c>
      <c r="F472">
        <v>1.1965065502183405</v>
      </c>
      <c r="G472" s="1" t="str">
        <f t="shared" si="61"/>
        <v/>
      </c>
      <c r="H472" s="1" t="str">
        <f t="shared" si="62"/>
        <v/>
      </c>
      <c r="I472" s="1" t="str">
        <f t="shared" si="63"/>
        <v/>
      </c>
      <c r="J472" s="1" t="str">
        <f t="shared" si="64"/>
        <v/>
      </c>
      <c r="K472" s="1" t="str">
        <f t="shared" si="65"/>
        <v/>
      </c>
      <c r="L472" s="1">
        <f t="shared" si="66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2"/>
  <sheetViews>
    <sheetView topLeftCell="A300" workbookViewId="0">
      <selection activeCell="I336" sqref="I336"/>
    </sheetView>
  </sheetViews>
  <sheetFormatPr baseColWidth="10" defaultColWidth="22" defaultRowHeight="15" x14ac:dyDescent="0"/>
  <cols>
    <col min="1" max="1" width="25.33203125" bestFit="1" customWidth="1"/>
    <col min="2" max="2" width="7.6640625" bestFit="1" customWidth="1"/>
    <col min="3" max="3" width="5.83203125" bestFit="1" customWidth="1"/>
    <col min="4" max="4" width="6.83203125" bestFit="1" customWidth="1"/>
    <col min="5" max="6" width="9" bestFit="1" customWidth="1"/>
    <col min="7" max="7" width="11" bestFit="1" customWidth="1"/>
    <col min="8" max="8" width="4.6640625" bestFit="1" customWidth="1"/>
    <col min="9" max="9" width="7.6640625" bestFit="1" customWidth="1"/>
  </cols>
  <sheetData>
    <row r="1" spans="1:10">
      <c r="A1" t="s">
        <v>204</v>
      </c>
      <c r="B1" t="s">
        <v>205</v>
      </c>
      <c r="C1" t="s">
        <v>286</v>
      </c>
      <c r="D1" s="4" t="s">
        <v>287</v>
      </c>
      <c r="E1" s="4" t="s">
        <v>288</v>
      </c>
      <c r="F1" s="4" t="s">
        <v>222</v>
      </c>
      <c r="G1" s="4" t="s">
        <v>289</v>
      </c>
      <c r="H1" s="4" t="s">
        <v>290</v>
      </c>
      <c r="I1" s="4" t="s">
        <v>291</v>
      </c>
    </row>
    <row r="2" spans="1:10">
      <c r="A2" t="s">
        <v>4</v>
      </c>
      <c r="B2">
        <v>1</v>
      </c>
      <c r="C2">
        <v>1</v>
      </c>
      <c r="D2">
        <v>50</v>
      </c>
      <c r="E2">
        <v>0</v>
      </c>
      <c r="F2">
        <v>1</v>
      </c>
      <c r="G2">
        <v>0</v>
      </c>
      <c r="H2">
        <v>51</v>
      </c>
      <c r="I2" s="1">
        <f>D2/H2</f>
        <v>0.98039215686274506</v>
      </c>
      <c r="J2" t="str">
        <f>IF(I2&gt;1,"!","")</f>
        <v/>
      </c>
    </row>
    <row r="3" spans="1:10">
      <c r="A3" t="s">
        <v>4</v>
      </c>
      <c r="B3">
        <v>1</v>
      </c>
      <c r="C3">
        <v>2</v>
      </c>
      <c r="D3">
        <v>51</v>
      </c>
      <c r="E3">
        <v>0</v>
      </c>
      <c r="F3">
        <v>0</v>
      </c>
      <c r="G3">
        <v>0</v>
      </c>
      <c r="H3">
        <v>51</v>
      </c>
      <c r="I3" s="1">
        <f t="shared" ref="I3:I66" si="0">D3/H3</f>
        <v>1</v>
      </c>
      <c r="J3" t="str">
        <f t="shared" ref="J3:J66" si="1">IF(I3&gt;1,"!","")</f>
        <v/>
      </c>
    </row>
    <row r="4" spans="1:10">
      <c r="A4" t="s">
        <v>4</v>
      </c>
      <c r="B4">
        <v>1</v>
      </c>
      <c r="C4">
        <v>3</v>
      </c>
      <c r="D4">
        <v>51</v>
      </c>
      <c r="E4">
        <v>0</v>
      </c>
      <c r="F4">
        <v>0</v>
      </c>
      <c r="G4">
        <v>0</v>
      </c>
      <c r="H4">
        <v>51</v>
      </c>
      <c r="I4" s="1">
        <f t="shared" si="0"/>
        <v>1</v>
      </c>
      <c r="J4" t="str">
        <f t="shared" si="1"/>
        <v/>
      </c>
    </row>
    <row r="5" spans="1:10">
      <c r="A5" t="s">
        <v>4</v>
      </c>
      <c r="B5">
        <v>1</v>
      </c>
      <c r="C5">
        <v>4</v>
      </c>
      <c r="D5">
        <v>51</v>
      </c>
      <c r="E5">
        <v>0</v>
      </c>
      <c r="F5">
        <v>0</v>
      </c>
      <c r="G5">
        <v>0</v>
      </c>
      <c r="H5">
        <v>51</v>
      </c>
      <c r="I5" s="1">
        <f t="shared" si="0"/>
        <v>1</v>
      </c>
      <c r="J5" t="str">
        <f t="shared" si="1"/>
        <v/>
      </c>
    </row>
    <row r="6" spans="1:10">
      <c r="A6" t="s">
        <v>4</v>
      </c>
      <c r="B6">
        <v>1</v>
      </c>
      <c r="C6">
        <v>5</v>
      </c>
      <c r="D6">
        <v>51</v>
      </c>
      <c r="E6">
        <v>0</v>
      </c>
      <c r="F6">
        <v>0</v>
      </c>
      <c r="G6">
        <v>0</v>
      </c>
      <c r="H6">
        <v>51</v>
      </c>
      <c r="I6" s="1">
        <f t="shared" si="0"/>
        <v>1</v>
      </c>
      <c r="J6" t="str">
        <f t="shared" si="1"/>
        <v/>
      </c>
    </row>
    <row r="7" spans="1:10">
      <c r="A7" t="s">
        <v>4</v>
      </c>
      <c r="B7">
        <v>1</v>
      </c>
      <c r="C7">
        <v>6</v>
      </c>
      <c r="D7">
        <v>51</v>
      </c>
      <c r="E7">
        <v>0</v>
      </c>
      <c r="F7">
        <v>0</v>
      </c>
      <c r="G7">
        <v>0</v>
      </c>
      <c r="H7">
        <v>51</v>
      </c>
      <c r="I7" s="1">
        <f t="shared" si="0"/>
        <v>1</v>
      </c>
      <c r="J7" t="str">
        <f t="shared" si="1"/>
        <v/>
      </c>
    </row>
    <row r="8" spans="1:10">
      <c r="A8" t="s">
        <v>4</v>
      </c>
      <c r="B8">
        <v>1</v>
      </c>
      <c r="C8">
        <v>7</v>
      </c>
      <c r="D8">
        <v>51</v>
      </c>
      <c r="E8">
        <v>0</v>
      </c>
      <c r="F8">
        <v>0</v>
      </c>
      <c r="G8">
        <v>0</v>
      </c>
      <c r="H8">
        <v>51</v>
      </c>
      <c r="I8" s="1">
        <f t="shared" si="0"/>
        <v>1</v>
      </c>
      <c r="J8" t="str">
        <f t="shared" si="1"/>
        <v/>
      </c>
    </row>
    <row r="9" spans="1:10">
      <c r="A9" t="s">
        <v>4</v>
      </c>
      <c r="B9">
        <v>1</v>
      </c>
      <c r="C9">
        <v>8</v>
      </c>
      <c r="D9">
        <v>51</v>
      </c>
      <c r="E9">
        <v>0</v>
      </c>
      <c r="F9">
        <v>0</v>
      </c>
      <c r="G9">
        <v>0</v>
      </c>
      <c r="H9">
        <v>51</v>
      </c>
      <c r="I9" s="1">
        <f t="shared" si="0"/>
        <v>1</v>
      </c>
      <c r="J9" t="str">
        <f t="shared" si="1"/>
        <v/>
      </c>
    </row>
    <row r="10" spans="1:10">
      <c r="A10" t="s">
        <v>4</v>
      </c>
      <c r="B10">
        <v>2</v>
      </c>
      <c r="C10">
        <v>1</v>
      </c>
      <c r="D10">
        <v>13</v>
      </c>
      <c r="E10">
        <v>0</v>
      </c>
      <c r="F10">
        <v>0</v>
      </c>
      <c r="G10">
        <v>0</v>
      </c>
      <c r="H10">
        <v>33</v>
      </c>
      <c r="I10" s="1">
        <f t="shared" si="0"/>
        <v>0.39393939393939392</v>
      </c>
      <c r="J10" t="str">
        <f t="shared" si="1"/>
        <v/>
      </c>
    </row>
    <row r="11" spans="1:10">
      <c r="A11" t="s">
        <v>4</v>
      </c>
      <c r="B11">
        <v>2</v>
      </c>
      <c r="C11">
        <v>2</v>
      </c>
      <c r="D11">
        <v>22</v>
      </c>
      <c r="E11">
        <v>0</v>
      </c>
      <c r="F11">
        <v>0</v>
      </c>
      <c r="G11">
        <v>0</v>
      </c>
      <c r="H11">
        <v>33</v>
      </c>
      <c r="I11" s="1">
        <f t="shared" si="0"/>
        <v>0.66666666666666663</v>
      </c>
      <c r="J11" t="str">
        <f t="shared" si="1"/>
        <v/>
      </c>
    </row>
    <row r="12" spans="1:10">
      <c r="A12" t="s">
        <v>4</v>
      </c>
      <c r="B12">
        <v>2</v>
      </c>
      <c r="C12">
        <v>3</v>
      </c>
      <c r="D12">
        <v>22</v>
      </c>
      <c r="E12">
        <v>0</v>
      </c>
      <c r="F12">
        <v>0</v>
      </c>
      <c r="G12">
        <v>0</v>
      </c>
      <c r="H12">
        <v>33</v>
      </c>
      <c r="I12" s="1">
        <f t="shared" si="0"/>
        <v>0.66666666666666663</v>
      </c>
      <c r="J12" t="str">
        <f t="shared" si="1"/>
        <v/>
      </c>
    </row>
    <row r="13" spans="1:10">
      <c r="A13" t="s">
        <v>4</v>
      </c>
      <c r="B13">
        <v>2</v>
      </c>
      <c r="C13">
        <v>4</v>
      </c>
      <c r="D13">
        <v>29</v>
      </c>
      <c r="E13">
        <v>0</v>
      </c>
      <c r="F13">
        <v>0</v>
      </c>
      <c r="G13">
        <v>0</v>
      </c>
      <c r="H13">
        <v>33</v>
      </c>
      <c r="I13" s="1">
        <f t="shared" si="0"/>
        <v>0.87878787878787878</v>
      </c>
      <c r="J13" t="str">
        <f t="shared" si="1"/>
        <v/>
      </c>
    </row>
    <row r="14" spans="1:10">
      <c r="A14" t="s">
        <v>4</v>
      </c>
      <c r="B14">
        <v>2</v>
      </c>
      <c r="C14">
        <v>5</v>
      </c>
      <c r="D14">
        <v>29</v>
      </c>
      <c r="E14">
        <v>0</v>
      </c>
      <c r="F14">
        <v>0</v>
      </c>
      <c r="G14">
        <v>0</v>
      </c>
      <c r="H14">
        <v>33</v>
      </c>
      <c r="I14" s="1">
        <f t="shared" si="0"/>
        <v>0.87878787878787878</v>
      </c>
      <c r="J14" t="str">
        <f t="shared" si="1"/>
        <v/>
      </c>
    </row>
    <row r="15" spans="1:10">
      <c r="A15" t="s">
        <v>4</v>
      </c>
      <c r="B15">
        <v>2</v>
      </c>
      <c r="C15">
        <v>6</v>
      </c>
      <c r="D15">
        <v>29</v>
      </c>
      <c r="E15">
        <v>0</v>
      </c>
      <c r="F15">
        <v>0</v>
      </c>
      <c r="G15">
        <v>0</v>
      </c>
      <c r="H15">
        <v>33</v>
      </c>
      <c r="I15" s="1">
        <f t="shared" si="0"/>
        <v>0.87878787878787878</v>
      </c>
      <c r="J15" t="str">
        <f t="shared" si="1"/>
        <v/>
      </c>
    </row>
    <row r="16" spans="1:10">
      <c r="A16" t="s">
        <v>4</v>
      </c>
      <c r="B16">
        <v>2</v>
      </c>
      <c r="C16">
        <v>7</v>
      </c>
      <c r="D16">
        <v>33</v>
      </c>
      <c r="E16">
        <v>0</v>
      </c>
      <c r="F16">
        <v>0</v>
      </c>
      <c r="G16">
        <v>0</v>
      </c>
      <c r="H16">
        <v>33</v>
      </c>
      <c r="I16" s="1">
        <f t="shared" si="0"/>
        <v>1</v>
      </c>
      <c r="J16" t="str">
        <f t="shared" si="1"/>
        <v/>
      </c>
    </row>
    <row r="17" spans="1:10">
      <c r="A17" t="s">
        <v>4</v>
      </c>
      <c r="B17">
        <v>2</v>
      </c>
      <c r="C17">
        <v>8</v>
      </c>
      <c r="D17">
        <v>33</v>
      </c>
      <c r="E17">
        <v>0</v>
      </c>
      <c r="F17">
        <v>0</v>
      </c>
      <c r="G17">
        <v>0</v>
      </c>
      <c r="H17">
        <v>33</v>
      </c>
      <c r="I17" s="1">
        <f t="shared" si="0"/>
        <v>1</v>
      </c>
      <c r="J17" t="str">
        <f t="shared" si="1"/>
        <v/>
      </c>
    </row>
    <row r="18" spans="1:10">
      <c r="A18" t="s">
        <v>4</v>
      </c>
      <c r="B18">
        <v>2</v>
      </c>
      <c r="C18">
        <v>9</v>
      </c>
      <c r="D18">
        <v>33</v>
      </c>
      <c r="E18">
        <v>0</v>
      </c>
      <c r="F18">
        <v>0</v>
      </c>
      <c r="G18">
        <v>0</v>
      </c>
      <c r="H18">
        <v>33</v>
      </c>
      <c r="I18" s="1">
        <f t="shared" si="0"/>
        <v>1</v>
      </c>
      <c r="J18" t="str">
        <f t="shared" si="1"/>
        <v/>
      </c>
    </row>
    <row r="19" spans="1:10">
      <c r="A19" t="s">
        <v>4</v>
      </c>
      <c r="B19">
        <v>2</v>
      </c>
      <c r="C19">
        <v>10</v>
      </c>
      <c r="D19">
        <v>33</v>
      </c>
      <c r="E19">
        <v>0</v>
      </c>
      <c r="F19">
        <v>0</v>
      </c>
      <c r="G19">
        <v>0</v>
      </c>
      <c r="H19">
        <v>33</v>
      </c>
      <c r="I19" s="1">
        <f t="shared" si="0"/>
        <v>1</v>
      </c>
      <c r="J19" t="str">
        <f t="shared" si="1"/>
        <v/>
      </c>
    </row>
    <row r="20" spans="1:10">
      <c r="A20" t="s">
        <v>4</v>
      </c>
      <c r="B20">
        <v>2</v>
      </c>
      <c r="C20">
        <v>11</v>
      </c>
      <c r="D20">
        <v>33</v>
      </c>
      <c r="E20">
        <v>0</v>
      </c>
      <c r="F20">
        <v>0</v>
      </c>
      <c r="G20">
        <v>0</v>
      </c>
      <c r="H20">
        <v>33</v>
      </c>
      <c r="I20" s="1">
        <f t="shared" si="0"/>
        <v>1</v>
      </c>
      <c r="J20" t="str">
        <f t="shared" si="1"/>
        <v/>
      </c>
    </row>
    <row r="21" spans="1:10">
      <c r="A21" t="s">
        <v>4</v>
      </c>
      <c r="B21">
        <v>2</v>
      </c>
      <c r="C21">
        <v>12</v>
      </c>
      <c r="D21">
        <v>33</v>
      </c>
      <c r="E21">
        <v>0</v>
      </c>
      <c r="F21">
        <v>0</v>
      </c>
      <c r="G21">
        <v>0</v>
      </c>
      <c r="H21">
        <v>33</v>
      </c>
      <c r="I21" s="1">
        <f t="shared" si="0"/>
        <v>1</v>
      </c>
      <c r="J21" t="str">
        <f t="shared" si="1"/>
        <v/>
      </c>
    </row>
    <row r="22" spans="1:10">
      <c r="A22" t="s">
        <v>4</v>
      </c>
      <c r="B22">
        <v>2</v>
      </c>
      <c r="C22">
        <v>13</v>
      </c>
      <c r="D22">
        <v>33</v>
      </c>
      <c r="E22">
        <v>0</v>
      </c>
      <c r="F22">
        <v>0</v>
      </c>
      <c r="G22">
        <v>0</v>
      </c>
      <c r="H22">
        <v>33</v>
      </c>
      <c r="I22" s="1">
        <f t="shared" si="0"/>
        <v>1</v>
      </c>
      <c r="J22" t="str">
        <f t="shared" si="1"/>
        <v/>
      </c>
    </row>
    <row r="23" spans="1:10">
      <c r="A23" t="s">
        <v>4</v>
      </c>
      <c r="B23">
        <v>2</v>
      </c>
      <c r="C23">
        <v>14</v>
      </c>
      <c r="D23">
        <v>33</v>
      </c>
      <c r="E23">
        <v>0</v>
      </c>
      <c r="F23">
        <v>0</v>
      </c>
      <c r="G23">
        <v>0</v>
      </c>
      <c r="H23">
        <v>33</v>
      </c>
      <c r="I23" s="1">
        <f t="shared" si="0"/>
        <v>1</v>
      </c>
      <c r="J23" t="str">
        <f t="shared" si="1"/>
        <v/>
      </c>
    </row>
    <row r="24" spans="1:10">
      <c r="A24" t="s">
        <v>4</v>
      </c>
      <c r="B24">
        <v>2</v>
      </c>
      <c r="C24">
        <v>15</v>
      </c>
      <c r="D24">
        <v>33</v>
      </c>
      <c r="E24">
        <v>0</v>
      </c>
      <c r="F24">
        <v>0</v>
      </c>
      <c r="G24">
        <v>0</v>
      </c>
      <c r="H24">
        <v>33</v>
      </c>
      <c r="I24" s="1">
        <f t="shared" si="0"/>
        <v>1</v>
      </c>
      <c r="J24" t="str">
        <f t="shared" si="1"/>
        <v/>
      </c>
    </row>
    <row r="25" spans="1:10">
      <c r="A25" t="s">
        <v>4</v>
      </c>
      <c r="B25">
        <v>6</v>
      </c>
      <c r="C25">
        <v>1</v>
      </c>
      <c r="D25">
        <v>3</v>
      </c>
      <c r="E25">
        <v>0</v>
      </c>
      <c r="F25">
        <v>0</v>
      </c>
      <c r="G25">
        <v>0</v>
      </c>
      <c r="H25">
        <v>18</v>
      </c>
      <c r="I25" s="1">
        <f t="shared" si="0"/>
        <v>0.16666666666666666</v>
      </c>
      <c r="J25" t="str">
        <f t="shared" si="1"/>
        <v/>
      </c>
    </row>
    <row r="26" spans="1:10">
      <c r="A26" t="s">
        <v>4</v>
      </c>
      <c r="B26">
        <v>6</v>
      </c>
      <c r="C26">
        <v>2</v>
      </c>
      <c r="D26">
        <v>6</v>
      </c>
      <c r="E26">
        <v>0</v>
      </c>
      <c r="F26">
        <v>0</v>
      </c>
      <c r="G26">
        <v>0</v>
      </c>
      <c r="H26">
        <v>18</v>
      </c>
      <c r="I26" s="1">
        <f t="shared" si="0"/>
        <v>0.33333333333333331</v>
      </c>
      <c r="J26" t="str">
        <f t="shared" si="1"/>
        <v/>
      </c>
    </row>
    <row r="27" spans="1:10">
      <c r="A27" t="s">
        <v>4</v>
      </c>
      <c r="B27">
        <v>6</v>
      </c>
      <c r="C27">
        <v>3</v>
      </c>
      <c r="D27">
        <v>13</v>
      </c>
      <c r="E27">
        <v>0</v>
      </c>
      <c r="F27">
        <v>0</v>
      </c>
      <c r="G27">
        <v>0</v>
      </c>
      <c r="H27">
        <v>18</v>
      </c>
      <c r="I27" s="1">
        <f t="shared" si="0"/>
        <v>0.72222222222222221</v>
      </c>
      <c r="J27" t="str">
        <f t="shared" si="1"/>
        <v/>
      </c>
    </row>
    <row r="28" spans="1:10">
      <c r="A28" t="s">
        <v>4</v>
      </c>
      <c r="B28">
        <v>6</v>
      </c>
      <c r="C28">
        <v>4</v>
      </c>
      <c r="D28">
        <v>18</v>
      </c>
      <c r="E28">
        <v>0</v>
      </c>
      <c r="F28">
        <v>0</v>
      </c>
      <c r="G28">
        <v>0</v>
      </c>
      <c r="H28">
        <v>18</v>
      </c>
      <c r="I28" s="1">
        <f t="shared" si="0"/>
        <v>1</v>
      </c>
      <c r="J28" t="str">
        <f t="shared" si="1"/>
        <v/>
      </c>
    </row>
    <row r="29" spans="1:10">
      <c r="A29" t="s">
        <v>4</v>
      </c>
      <c r="B29">
        <v>6</v>
      </c>
      <c r="C29">
        <v>5</v>
      </c>
      <c r="D29">
        <v>18</v>
      </c>
      <c r="E29">
        <v>0</v>
      </c>
      <c r="F29">
        <v>0</v>
      </c>
      <c r="G29">
        <v>0</v>
      </c>
      <c r="H29">
        <v>18</v>
      </c>
      <c r="I29" s="1">
        <f t="shared" si="0"/>
        <v>1</v>
      </c>
      <c r="J29" t="str">
        <f t="shared" si="1"/>
        <v/>
      </c>
    </row>
    <row r="30" spans="1:10">
      <c r="A30" t="s">
        <v>4</v>
      </c>
      <c r="B30">
        <v>9</v>
      </c>
      <c r="C30">
        <v>1</v>
      </c>
      <c r="D30">
        <v>3</v>
      </c>
      <c r="E30">
        <v>0</v>
      </c>
      <c r="F30">
        <v>0</v>
      </c>
      <c r="G30">
        <v>0</v>
      </c>
      <c r="H30">
        <v>46</v>
      </c>
      <c r="I30" s="1">
        <f t="shared" si="0"/>
        <v>6.5217391304347824E-2</v>
      </c>
      <c r="J30" t="str">
        <f t="shared" si="1"/>
        <v/>
      </c>
    </row>
    <row r="31" spans="1:10">
      <c r="A31" t="s">
        <v>4</v>
      </c>
      <c r="B31">
        <v>9</v>
      </c>
      <c r="C31">
        <v>2</v>
      </c>
      <c r="D31">
        <v>3</v>
      </c>
      <c r="E31">
        <v>0</v>
      </c>
      <c r="F31">
        <v>0</v>
      </c>
      <c r="G31">
        <v>0</v>
      </c>
      <c r="H31">
        <v>46</v>
      </c>
      <c r="I31" s="1">
        <f t="shared" si="0"/>
        <v>6.5217391304347824E-2</v>
      </c>
      <c r="J31" t="str">
        <f t="shared" si="1"/>
        <v/>
      </c>
    </row>
    <row r="32" spans="1:10">
      <c r="A32" t="s">
        <v>4</v>
      </c>
      <c r="B32">
        <v>9</v>
      </c>
      <c r="C32">
        <v>3</v>
      </c>
      <c r="D32">
        <v>3</v>
      </c>
      <c r="E32">
        <v>0</v>
      </c>
      <c r="F32">
        <v>0</v>
      </c>
      <c r="G32">
        <v>0</v>
      </c>
      <c r="H32">
        <v>46</v>
      </c>
      <c r="I32" s="1">
        <f t="shared" si="0"/>
        <v>6.5217391304347824E-2</v>
      </c>
      <c r="J32" t="str">
        <f t="shared" si="1"/>
        <v/>
      </c>
    </row>
    <row r="33" spans="1:10">
      <c r="A33" t="s">
        <v>4</v>
      </c>
      <c r="B33">
        <v>9</v>
      </c>
      <c r="C33">
        <v>4</v>
      </c>
      <c r="D33">
        <v>7</v>
      </c>
      <c r="E33">
        <v>0</v>
      </c>
      <c r="F33">
        <v>0</v>
      </c>
      <c r="G33">
        <v>0</v>
      </c>
      <c r="H33">
        <v>46</v>
      </c>
      <c r="I33" s="1">
        <f t="shared" si="0"/>
        <v>0.15217391304347827</v>
      </c>
      <c r="J33" t="str">
        <f t="shared" si="1"/>
        <v/>
      </c>
    </row>
    <row r="34" spans="1:10">
      <c r="A34" t="s">
        <v>4</v>
      </c>
      <c r="B34">
        <v>9</v>
      </c>
      <c r="C34">
        <v>5</v>
      </c>
      <c r="D34">
        <v>11</v>
      </c>
      <c r="E34">
        <v>0</v>
      </c>
      <c r="F34">
        <v>0</v>
      </c>
      <c r="G34">
        <v>0</v>
      </c>
      <c r="H34">
        <v>46</v>
      </c>
      <c r="I34" s="1">
        <f t="shared" si="0"/>
        <v>0.2391304347826087</v>
      </c>
      <c r="J34" t="str">
        <f t="shared" si="1"/>
        <v/>
      </c>
    </row>
    <row r="35" spans="1:10">
      <c r="A35" t="s">
        <v>4</v>
      </c>
      <c r="B35">
        <v>9</v>
      </c>
      <c r="C35">
        <v>6</v>
      </c>
      <c r="D35">
        <v>23</v>
      </c>
      <c r="E35">
        <v>0</v>
      </c>
      <c r="F35">
        <v>2</v>
      </c>
      <c r="G35">
        <v>0</v>
      </c>
      <c r="H35">
        <v>46</v>
      </c>
      <c r="I35" s="1">
        <f t="shared" si="0"/>
        <v>0.5</v>
      </c>
      <c r="J35" t="str">
        <f t="shared" si="1"/>
        <v/>
      </c>
    </row>
    <row r="36" spans="1:10">
      <c r="A36" t="s">
        <v>4</v>
      </c>
      <c r="B36">
        <v>9</v>
      </c>
      <c r="C36">
        <v>7</v>
      </c>
      <c r="D36">
        <v>35</v>
      </c>
      <c r="E36">
        <v>0</v>
      </c>
      <c r="F36">
        <v>1</v>
      </c>
      <c r="G36">
        <v>0</v>
      </c>
      <c r="H36">
        <v>46</v>
      </c>
      <c r="I36" s="1">
        <f t="shared" si="0"/>
        <v>0.76086956521739135</v>
      </c>
      <c r="J36" t="str">
        <f t="shared" si="1"/>
        <v/>
      </c>
    </row>
    <row r="37" spans="1:10">
      <c r="A37" t="s">
        <v>4</v>
      </c>
      <c r="B37">
        <v>9</v>
      </c>
      <c r="C37">
        <v>8</v>
      </c>
      <c r="D37">
        <v>42</v>
      </c>
      <c r="E37">
        <v>0</v>
      </c>
      <c r="F37">
        <v>1</v>
      </c>
      <c r="G37">
        <v>0</v>
      </c>
      <c r="H37">
        <v>46</v>
      </c>
      <c r="I37" s="1">
        <f t="shared" si="0"/>
        <v>0.91304347826086951</v>
      </c>
      <c r="J37" t="str">
        <f t="shared" si="1"/>
        <v/>
      </c>
    </row>
    <row r="38" spans="1:10">
      <c r="A38" t="s">
        <v>4</v>
      </c>
      <c r="B38">
        <v>9</v>
      </c>
      <c r="C38">
        <v>9</v>
      </c>
      <c r="D38">
        <v>46</v>
      </c>
      <c r="E38">
        <v>0</v>
      </c>
      <c r="F38">
        <v>0</v>
      </c>
      <c r="G38">
        <v>0</v>
      </c>
      <c r="H38">
        <v>46</v>
      </c>
      <c r="I38" s="1">
        <f t="shared" si="0"/>
        <v>1</v>
      </c>
      <c r="J38" t="str">
        <f t="shared" si="1"/>
        <v/>
      </c>
    </row>
    <row r="39" spans="1:10">
      <c r="A39" t="s">
        <v>4</v>
      </c>
      <c r="B39">
        <v>9</v>
      </c>
      <c r="C39">
        <v>10</v>
      </c>
      <c r="D39">
        <v>46</v>
      </c>
      <c r="E39">
        <v>0</v>
      </c>
      <c r="F39">
        <v>0</v>
      </c>
      <c r="G39">
        <v>0</v>
      </c>
      <c r="H39">
        <v>46</v>
      </c>
      <c r="I39" s="1">
        <f t="shared" si="0"/>
        <v>1</v>
      </c>
      <c r="J39" t="str">
        <f t="shared" si="1"/>
        <v/>
      </c>
    </row>
    <row r="40" spans="1:10">
      <c r="A40" t="s">
        <v>32</v>
      </c>
      <c r="B40">
        <v>2</v>
      </c>
      <c r="C40">
        <v>1</v>
      </c>
      <c r="D40">
        <v>8</v>
      </c>
      <c r="E40">
        <v>0</v>
      </c>
      <c r="F40">
        <v>0</v>
      </c>
      <c r="G40">
        <v>0</v>
      </c>
      <c r="H40">
        <v>31</v>
      </c>
      <c r="I40" s="1">
        <f t="shared" si="0"/>
        <v>0.25806451612903225</v>
      </c>
      <c r="J40" t="str">
        <f t="shared" si="1"/>
        <v/>
      </c>
    </row>
    <row r="41" spans="1:10">
      <c r="A41" t="s">
        <v>32</v>
      </c>
      <c r="B41">
        <v>2</v>
      </c>
      <c r="C41">
        <v>2</v>
      </c>
      <c r="D41">
        <v>20</v>
      </c>
      <c r="E41">
        <v>0</v>
      </c>
      <c r="F41">
        <v>0</v>
      </c>
      <c r="G41">
        <v>0</v>
      </c>
      <c r="H41">
        <v>31</v>
      </c>
      <c r="I41" s="1">
        <f t="shared" si="0"/>
        <v>0.64516129032258063</v>
      </c>
      <c r="J41" t="str">
        <f t="shared" si="1"/>
        <v/>
      </c>
    </row>
    <row r="42" spans="1:10">
      <c r="A42" t="s">
        <v>32</v>
      </c>
      <c r="B42">
        <v>2</v>
      </c>
      <c r="C42">
        <v>3</v>
      </c>
      <c r="D42">
        <v>31</v>
      </c>
      <c r="E42">
        <v>0</v>
      </c>
      <c r="F42">
        <v>0</v>
      </c>
      <c r="G42">
        <v>0</v>
      </c>
      <c r="H42">
        <v>31</v>
      </c>
      <c r="I42" s="1">
        <f t="shared" si="0"/>
        <v>1</v>
      </c>
      <c r="J42" t="str">
        <f t="shared" si="1"/>
        <v/>
      </c>
    </row>
    <row r="43" spans="1:10">
      <c r="A43" t="s">
        <v>32</v>
      </c>
      <c r="B43">
        <v>2</v>
      </c>
      <c r="C43">
        <v>4</v>
      </c>
      <c r="D43">
        <v>31</v>
      </c>
      <c r="E43">
        <v>0</v>
      </c>
      <c r="F43">
        <v>0</v>
      </c>
      <c r="G43">
        <v>0</v>
      </c>
      <c r="H43">
        <v>31</v>
      </c>
      <c r="I43" s="1">
        <f t="shared" si="0"/>
        <v>1</v>
      </c>
      <c r="J43" t="str">
        <f t="shared" si="1"/>
        <v/>
      </c>
    </row>
    <row r="44" spans="1:10">
      <c r="A44" t="s">
        <v>32</v>
      </c>
      <c r="B44">
        <v>4</v>
      </c>
      <c r="C44">
        <v>1</v>
      </c>
      <c r="D44">
        <v>8</v>
      </c>
      <c r="E44">
        <v>0</v>
      </c>
      <c r="F44">
        <v>0</v>
      </c>
      <c r="G44">
        <v>0</v>
      </c>
      <c r="H44">
        <v>31</v>
      </c>
      <c r="I44" s="1">
        <f t="shared" si="0"/>
        <v>0.25806451612903225</v>
      </c>
      <c r="J44" t="str">
        <f t="shared" si="1"/>
        <v/>
      </c>
    </row>
    <row r="45" spans="1:10">
      <c r="A45" t="s">
        <v>32</v>
      </c>
      <c r="B45">
        <v>4</v>
      </c>
      <c r="C45">
        <v>2</v>
      </c>
      <c r="D45">
        <v>20</v>
      </c>
      <c r="E45">
        <v>0</v>
      </c>
      <c r="F45">
        <v>0</v>
      </c>
      <c r="G45">
        <v>0</v>
      </c>
      <c r="H45">
        <v>31</v>
      </c>
      <c r="I45" s="1">
        <f t="shared" si="0"/>
        <v>0.64516129032258063</v>
      </c>
      <c r="J45" t="str">
        <f t="shared" si="1"/>
        <v/>
      </c>
    </row>
    <row r="46" spans="1:10">
      <c r="A46" t="s">
        <v>32</v>
      </c>
      <c r="B46">
        <v>4</v>
      </c>
      <c r="C46">
        <v>3</v>
      </c>
      <c r="D46">
        <v>31</v>
      </c>
      <c r="E46">
        <v>0</v>
      </c>
      <c r="F46">
        <v>0</v>
      </c>
      <c r="G46">
        <v>0</v>
      </c>
      <c r="H46">
        <v>31</v>
      </c>
      <c r="I46" s="1">
        <f t="shared" si="0"/>
        <v>1</v>
      </c>
      <c r="J46" t="str">
        <f t="shared" si="1"/>
        <v/>
      </c>
    </row>
    <row r="47" spans="1:10">
      <c r="A47" t="s">
        <v>32</v>
      </c>
      <c r="B47">
        <v>4</v>
      </c>
      <c r="C47">
        <v>4</v>
      </c>
      <c r="D47">
        <v>31</v>
      </c>
      <c r="E47">
        <v>0</v>
      </c>
      <c r="F47">
        <v>0</v>
      </c>
      <c r="G47">
        <v>0</v>
      </c>
      <c r="H47">
        <v>31</v>
      </c>
      <c r="I47" s="1">
        <f t="shared" si="0"/>
        <v>1</v>
      </c>
      <c r="J47" t="str">
        <f t="shared" si="1"/>
        <v/>
      </c>
    </row>
    <row r="48" spans="1:10">
      <c r="A48" t="s">
        <v>32</v>
      </c>
      <c r="B48">
        <v>13</v>
      </c>
      <c r="C48">
        <v>1</v>
      </c>
      <c r="D48">
        <v>8</v>
      </c>
      <c r="E48">
        <v>0</v>
      </c>
      <c r="F48">
        <v>0</v>
      </c>
      <c r="G48">
        <v>0</v>
      </c>
      <c r="H48">
        <v>8</v>
      </c>
      <c r="I48" s="1">
        <f t="shared" si="0"/>
        <v>1</v>
      </c>
      <c r="J48" t="str">
        <f t="shared" si="1"/>
        <v/>
      </c>
    </row>
    <row r="49" spans="1:10">
      <c r="A49" t="s">
        <v>32</v>
      </c>
      <c r="B49">
        <v>13</v>
      </c>
      <c r="C49">
        <v>2</v>
      </c>
      <c r="D49">
        <v>8</v>
      </c>
      <c r="E49">
        <v>0</v>
      </c>
      <c r="F49">
        <v>0</v>
      </c>
      <c r="G49">
        <v>0</v>
      </c>
      <c r="H49">
        <v>8</v>
      </c>
      <c r="I49" s="1">
        <f t="shared" si="0"/>
        <v>1</v>
      </c>
      <c r="J49" t="str">
        <f t="shared" si="1"/>
        <v/>
      </c>
    </row>
    <row r="50" spans="1:10">
      <c r="A50" t="s">
        <v>32</v>
      </c>
      <c r="B50">
        <v>16</v>
      </c>
      <c r="C50">
        <v>1</v>
      </c>
      <c r="D50">
        <v>3</v>
      </c>
      <c r="E50">
        <v>0</v>
      </c>
      <c r="F50">
        <v>0</v>
      </c>
      <c r="G50">
        <v>0</v>
      </c>
      <c r="H50">
        <v>183</v>
      </c>
      <c r="I50" s="1">
        <f t="shared" si="0"/>
        <v>1.6393442622950821E-2</v>
      </c>
      <c r="J50" t="str">
        <f t="shared" si="1"/>
        <v/>
      </c>
    </row>
    <row r="51" spans="1:10">
      <c r="A51" t="s">
        <v>32</v>
      </c>
      <c r="B51">
        <v>16</v>
      </c>
      <c r="C51">
        <v>2</v>
      </c>
      <c r="D51">
        <v>7</v>
      </c>
      <c r="E51">
        <v>0</v>
      </c>
      <c r="F51">
        <v>0</v>
      </c>
      <c r="G51">
        <v>0</v>
      </c>
      <c r="H51">
        <v>183</v>
      </c>
      <c r="I51" s="1">
        <f t="shared" si="0"/>
        <v>3.825136612021858E-2</v>
      </c>
      <c r="J51" t="str">
        <f t="shared" si="1"/>
        <v/>
      </c>
    </row>
    <row r="52" spans="1:10">
      <c r="A52" t="s">
        <v>32</v>
      </c>
      <c r="B52">
        <v>16</v>
      </c>
      <c r="C52">
        <v>3</v>
      </c>
      <c r="D52">
        <v>150</v>
      </c>
      <c r="E52">
        <v>0</v>
      </c>
      <c r="F52">
        <v>0</v>
      </c>
      <c r="G52">
        <v>0</v>
      </c>
      <c r="H52">
        <v>183</v>
      </c>
      <c r="I52" s="1">
        <f t="shared" si="0"/>
        <v>0.81967213114754101</v>
      </c>
      <c r="J52" t="str">
        <f t="shared" si="1"/>
        <v/>
      </c>
    </row>
    <row r="53" spans="1:10">
      <c r="A53" t="s">
        <v>32</v>
      </c>
      <c r="B53">
        <v>16</v>
      </c>
      <c r="C53">
        <v>4</v>
      </c>
      <c r="D53">
        <v>183</v>
      </c>
      <c r="E53">
        <v>0</v>
      </c>
      <c r="F53">
        <v>0</v>
      </c>
      <c r="G53">
        <v>0</v>
      </c>
      <c r="H53">
        <v>183</v>
      </c>
      <c r="I53" s="1">
        <f t="shared" si="0"/>
        <v>1</v>
      </c>
      <c r="J53" t="str">
        <f t="shared" si="1"/>
        <v/>
      </c>
    </row>
    <row r="54" spans="1:10">
      <c r="A54" t="s">
        <v>32</v>
      </c>
      <c r="B54">
        <v>18</v>
      </c>
      <c r="C54">
        <v>1</v>
      </c>
      <c r="D54">
        <v>4</v>
      </c>
      <c r="E54">
        <v>0</v>
      </c>
      <c r="F54">
        <v>0</v>
      </c>
      <c r="G54">
        <v>0</v>
      </c>
      <c r="H54">
        <v>141</v>
      </c>
      <c r="I54" s="1">
        <f t="shared" si="0"/>
        <v>2.8368794326241134E-2</v>
      </c>
      <c r="J54" t="str">
        <f t="shared" si="1"/>
        <v/>
      </c>
    </row>
    <row r="55" spans="1:10">
      <c r="A55" t="s">
        <v>32</v>
      </c>
      <c r="B55">
        <v>18</v>
      </c>
      <c r="C55">
        <v>2</v>
      </c>
      <c r="D55">
        <v>7</v>
      </c>
      <c r="E55">
        <v>0</v>
      </c>
      <c r="F55">
        <v>0</v>
      </c>
      <c r="G55">
        <v>0</v>
      </c>
      <c r="H55">
        <v>141</v>
      </c>
      <c r="I55" s="1">
        <f t="shared" si="0"/>
        <v>4.9645390070921988E-2</v>
      </c>
      <c r="J55" t="str">
        <f t="shared" si="1"/>
        <v/>
      </c>
    </row>
    <row r="56" spans="1:10">
      <c r="A56" t="s">
        <v>32</v>
      </c>
      <c r="B56">
        <v>18</v>
      </c>
      <c r="C56">
        <v>3</v>
      </c>
      <c r="D56">
        <v>18</v>
      </c>
      <c r="E56">
        <v>0</v>
      </c>
      <c r="F56">
        <v>0</v>
      </c>
      <c r="G56">
        <v>0</v>
      </c>
      <c r="H56">
        <v>141</v>
      </c>
      <c r="I56" s="1">
        <f t="shared" si="0"/>
        <v>0.1276595744680851</v>
      </c>
      <c r="J56" t="str">
        <f t="shared" si="1"/>
        <v/>
      </c>
    </row>
    <row r="57" spans="1:10">
      <c r="A57" t="s">
        <v>32</v>
      </c>
      <c r="B57">
        <v>18</v>
      </c>
      <c r="C57">
        <v>4</v>
      </c>
      <c r="D57">
        <v>24</v>
      </c>
      <c r="E57">
        <v>0</v>
      </c>
      <c r="F57">
        <v>0</v>
      </c>
      <c r="G57">
        <v>0</v>
      </c>
      <c r="H57">
        <v>141</v>
      </c>
      <c r="I57" s="1">
        <f t="shared" si="0"/>
        <v>0.1702127659574468</v>
      </c>
      <c r="J57" t="str">
        <f t="shared" si="1"/>
        <v/>
      </c>
    </row>
    <row r="58" spans="1:10">
      <c r="A58" t="s">
        <v>32</v>
      </c>
      <c r="B58">
        <v>18</v>
      </c>
      <c r="C58">
        <v>5</v>
      </c>
      <c r="D58">
        <v>41</v>
      </c>
      <c r="E58">
        <v>0</v>
      </c>
      <c r="F58">
        <v>2</v>
      </c>
      <c r="G58">
        <v>0</v>
      </c>
      <c r="H58">
        <v>141</v>
      </c>
      <c r="I58" s="1">
        <f t="shared" si="0"/>
        <v>0.29078014184397161</v>
      </c>
      <c r="J58" t="str">
        <f t="shared" si="1"/>
        <v/>
      </c>
    </row>
    <row r="59" spans="1:10">
      <c r="A59" t="s">
        <v>32</v>
      </c>
      <c r="B59">
        <v>18</v>
      </c>
      <c r="C59">
        <v>6</v>
      </c>
      <c r="D59">
        <v>44</v>
      </c>
      <c r="E59">
        <v>0</v>
      </c>
      <c r="F59">
        <v>1</v>
      </c>
      <c r="G59">
        <v>0</v>
      </c>
      <c r="H59">
        <v>141</v>
      </c>
      <c r="I59" s="1">
        <f t="shared" si="0"/>
        <v>0.31205673758865249</v>
      </c>
      <c r="J59" t="str">
        <f t="shared" si="1"/>
        <v/>
      </c>
    </row>
    <row r="60" spans="1:10">
      <c r="A60" t="s">
        <v>32</v>
      </c>
      <c r="B60">
        <v>18</v>
      </c>
      <c r="C60">
        <v>7</v>
      </c>
      <c r="D60">
        <v>47</v>
      </c>
      <c r="E60">
        <v>0</v>
      </c>
      <c r="F60">
        <v>1</v>
      </c>
      <c r="G60">
        <v>0</v>
      </c>
      <c r="H60">
        <v>141</v>
      </c>
      <c r="I60" s="1">
        <f t="shared" si="0"/>
        <v>0.33333333333333331</v>
      </c>
      <c r="J60" t="str">
        <f t="shared" si="1"/>
        <v/>
      </c>
    </row>
    <row r="61" spans="1:10">
      <c r="A61" t="s">
        <v>32</v>
      </c>
      <c r="B61">
        <v>18</v>
      </c>
      <c r="C61">
        <v>8</v>
      </c>
      <c r="D61">
        <v>50</v>
      </c>
      <c r="E61">
        <v>0</v>
      </c>
      <c r="F61">
        <v>1</v>
      </c>
      <c r="G61">
        <v>0</v>
      </c>
      <c r="H61">
        <v>141</v>
      </c>
      <c r="I61" s="1">
        <f t="shared" si="0"/>
        <v>0.3546099290780142</v>
      </c>
      <c r="J61" t="str">
        <f t="shared" si="1"/>
        <v/>
      </c>
    </row>
    <row r="62" spans="1:10">
      <c r="A62" t="s">
        <v>32</v>
      </c>
      <c r="B62">
        <v>18</v>
      </c>
      <c r="C62">
        <v>9</v>
      </c>
      <c r="D62">
        <v>50</v>
      </c>
      <c r="E62">
        <v>0</v>
      </c>
      <c r="F62">
        <v>1</v>
      </c>
      <c r="G62">
        <v>0</v>
      </c>
      <c r="H62">
        <v>141</v>
      </c>
      <c r="I62" s="1">
        <f t="shared" si="0"/>
        <v>0.3546099290780142</v>
      </c>
      <c r="J62" t="str">
        <f t="shared" si="1"/>
        <v/>
      </c>
    </row>
    <row r="63" spans="1:10">
      <c r="A63" t="s">
        <v>32</v>
      </c>
      <c r="B63">
        <v>18</v>
      </c>
      <c r="C63">
        <v>10</v>
      </c>
      <c r="D63">
        <v>50</v>
      </c>
      <c r="E63">
        <v>0</v>
      </c>
      <c r="F63">
        <v>1</v>
      </c>
      <c r="G63">
        <v>0</v>
      </c>
      <c r="H63">
        <v>141</v>
      </c>
      <c r="I63" s="1">
        <f t="shared" si="0"/>
        <v>0.3546099290780142</v>
      </c>
      <c r="J63" t="str">
        <f t="shared" si="1"/>
        <v/>
      </c>
    </row>
    <row r="64" spans="1:10">
      <c r="A64" t="s">
        <v>32</v>
      </c>
      <c r="B64">
        <v>18</v>
      </c>
      <c r="C64">
        <v>11</v>
      </c>
      <c r="D64">
        <v>50</v>
      </c>
      <c r="E64">
        <v>0</v>
      </c>
      <c r="F64">
        <v>1</v>
      </c>
      <c r="G64">
        <v>0</v>
      </c>
      <c r="H64">
        <v>141</v>
      </c>
      <c r="I64" s="1">
        <f t="shared" si="0"/>
        <v>0.3546099290780142</v>
      </c>
      <c r="J64" t="str">
        <f t="shared" si="1"/>
        <v/>
      </c>
    </row>
    <row r="65" spans="1:10">
      <c r="A65" t="s">
        <v>32</v>
      </c>
      <c r="B65">
        <v>18</v>
      </c>
      <c r="C65">
        <v>12</v>
      </c>
      <c r="D65">
        <v>50</v>
      </c>
      <c r="E65">
        <v>0</v>
      </c>
      <c r="F65">
        <v>1</v>
      </c>
      <c r="G65">
        <v>0</v>
      </c>
      <c r="H65">
        <v>141</v>
      </c>
      <c r="I65" s="1">
        <f t="shared" si="0"/>
        <v>0.3546099290780142</v>
      </c>
      <c r="J65" t="str">
        <f t="shared" si="1"/>
        <v/>
      </c>
    </row>
    <row r="66" spans="1:10">
      <c r="A66" t="s">
        <v>32</v>
      </c>
      <c r="B66">
        <v>18</v>
      </c>
      <c r="C66">
        <v>13</v>
      </c>
      <c r="D66">
        <v>50</v>
      </c>
      <c r="E66">
        <v>0</v>
      </c>
      <c r="F66">
        <v>1</v>
      </c>
      <c r="G66">
        <v>0</v>
      </c>
      <c r="H66">
        <v>141</v>
      </c>
      <c r="I66" s="1">
        <f t="shared" si="0"/>
        <v>0.3546099290780142</v>
      </c>
      <c r="J66" t="str">
        <f t="shared" si="1"/>
        <v/>
      </c>
    </row>
    <row r="67" spans="1:10">
      <c r="A67" t="s">
        <v>32</v>
      </c>
      <c r="B67">
        <v>18</v>
      </c>
      <c r="C67">
        <v>14</v>
      </c>
      <c r="D67">
        <v>54</v>
      </c>
      <c r="E67">
        <v>0</v>
      </c>
      <c r="F67">
        <v>1</v>
      </c>
      <c r="G67">
        <v>0</v>
      </c>
      <c r="H67">
        <v>141</v>
      </c>
      <c r="I67" s="1">
        <f t="shared" ref="I67:I130" si="2">D67/H67</f>
        <v>0.38297872340425532</v>
      </c>
      <c r="J67" t="str">
        <f t="shared" ref="J67:J130" si="3">IF(I67&gt;1,"!","")</f>
        <v/>
      </c>
    </row>
    <row r="68" spans="1:10">
      <c r="A68" t="s">
        <v>32</v>
      </c>
      <c r="B68">
        <v>18</v>
      </c>
      <c r="C68">
        <v>15</v>
      </c>
      <c r="D68">
        <v>54</v>
      </c>
      <c r="E68">
        <v>0</v>
      </c>
      <c r="F68">
        <v>1</v>
      </c>
      <c r="G68">
        <v>0</v>
      </c>
      <c r="H68">
        <v>141</v>
      </c>
      <c r="I68" s="1">
        <f t="shared" si="2"/>
        <v>0.38297872340425532</v>
      </c>
      <c r="J68" t="str">
        <f t="shared" si="3"/>
        <v/>
      </c>
    </row>
    <row r="69" spans="1:10">
      <c r="A69" t="s">
        <v>32</v>
      </c>
      <c r="B69">
        <v>18</v>
      </c>
      <c r="C69">
        <v>16</v>
      </c>
      <c r="D69">
        <v>54</v>
      </c>
      <c r="E69">
        <v>0</v>
      </c>
      <c r="F69">
        <v>1</v>
      </c>
      <c r="G69">
        <v>0</v>
      </c>
      <c r="H69">
        <v>141</v>
      </c>
      <c r="I69" s="1">
        <f t="shared" si="2"/>
        <v>0.38297872340425532</v>
      </c>
      <c r="J69" t="str">
        <f t="shared" si="3"/>
        <v/>
      </c>
    </row>
    <row r="70" spans="1:10">
      <c r="A70" t="s">
        <v>32</v>
      </c>
      <c r="B70">
        <v>18</v>
      </c>
      <c r="C70">
        <v>17</v>
      </c>
      <c r="D70">
        <v>54</v>
      </c>
      <c r="E70">
        <v>0</v>
      </c>
      <c r="F70">
        <v>1</v>
      </c>
      <c r="G70">
        <v>0</v>
      </c>
      <c r="H70">
        <v>141</v>
      </c>
      <c r="I70" s="1">
        <f t="shared" si="2"/>
        <v>0.38297872340425532</v>
      </c>
      <c r="J70" t="str">
        <f t="shared" si="3"/>
        <v/>
      </c>
    </row>
    <row r="71" spans="1:10">
      <c r="A71" t="s">
        <v>32</v>
      </c>
      <c r="B71">
        <v>18</v>
      </c>
      <c r="C71">
        <v>18</v>
      </c>
      <c r="D71">
        <v>54</v>
      </c>
      <c r="E71">
        <v>0</v>
      </c>
      <c r="F71">
        <v>1</v>
      </c>
      <c r="G71">
        <v>0</v>
      </c>
      <c r="H71">
        <v>141</v>
      </c>
      <c r="I71" s="1">
        <f t="shared" si="2"/>
        <v>0.38297872340425532</v>
      </c>
      <c r="J71" t="str">
        <f t="shared" si="3"/>
        <v/>
      </c>
    </row>
    <row r="72" spans="1:10">
      <c r="A72" t="s">
        <v>32</v>
      </c>
      <c r="B72">
        <v>18</v>
      </c>
      <c r="C72">
        <v>19</v>
      </c>
      <c r="D72">
        <v>111</v>
      </c>
      <c r="E72">
        <v>0</v>
      </c>
      <c r="F72">
        <v>1</v>
      </c>
      <c r="G72">
        <v>0</v>
      </c>
      <c r="H72">
        <v>141</v>
      </c>
      <c r="I72" s="1">
        <f t="shared" si="2"/>
        <v>0.78723404255319152</v>
      </c>
      <c r="J72" t="str">
        <f t="shared" si="3"/>
        <v/>
      </c>
    </row>
    <row r="73" spans="1:10">
      <c r="A73" t="s">
        <v>32</v>
      </c>
      <c r="B73">
        <v>18</v>
      </c>
      <c r="C73">
        <v>20</v>
      </c>
      <c r="D73">
        <v>111</v>
      </c>
      <c r="E73">
        <v>0</v>
      </c>
      <c r="F73">
        <v>1</v>
      </c>
      <c r="G73">
        <v>0</v>
      </c>
      <c r="H73">
        <v>141</v>
      </c>
      <c r="I73" s="1">
        <f t="shared" si="2"/>
        <v>0.78723404255319152</v>
      </c>
      <c r="J73" t="str">
        <f t="shared" si="3"/>
        <v/>
      </c>
    </row>
    <row r="74" spans="1:10">
      <c r="A74" t="s">
        <v>32</v>
      </c>
      <c r="B74">
        <v>18</v>
      </c>
      <c r="C74">
        <v>21</v>
      </c>
      <c r="D74">
        <v>129</v>
      </c>
      <c r="E74">
        <v>0</v>
      </c>
      <c r="F74">
        <v>1</v>
      </c>
      <c r="G74">
        <v>0</v>
      </c>
      <c r="H74">
        <v>141</v>
      </c>
      <c r="I74" s="1">
        <f t="shared" si="2"/>
        <v>0.91489361702127658</v>
      </c>
      <c r="J74" t="str">
        <f t="shared" si="3"/>
        <v/>
      </c>
    </row>
    <row r="75" spans="1:10">
      <c r="A75" t="s">
        <v>32</v>
      </c>
      <c r="B75">
        <v>18</v>
      </c>
      <c r="C75">
        <v>22</v>
      </c>
      <c r="D75">
        <v>141</v>
      </c>
      <c r="E75">
        <v>0</v>
      </c>
      <c r="F75">
        <v>0</v>
      </c>
      <c r="G75">
        <v>0</v>
      </c>
      <c r="H75">
        <v>141</v>
      </c>
      <c r="I75" s="1">
        <f t="shared" si="2"/>
        <v>1</v>
      </c>
      <c r="J75" t="str">
        <f t="shared" si="3"/>
        <v/>
      </c>
    </row>
    <row r="76" spans="1:10">
      <c r="A76" t="s">
        <v>32</v>
      </c>
      <c r="B76">
        <v>18</v>
      </c>
      <c r="C76">
        <v>23</v>
      </c>
      <c r="D76">
        <v>141</v>
      </c>
      <c r="E76">
        <v>0</v>
      </c>
      <c r="F76">
        <v>0</v>
      </c>
      <c r="G76">
        <v>0</v>
      </c>
      <c r="H76">
        <v>141</v>
      </c>
      <c r="I76" s="1">
        <f t="shared" si="2"/>
        <v>1</v>
      </c>
      <c r="J76" t="str">
        <f t="shared" si="3"/>
        <v/>
      </c>
    </row>
    <row r="77" spans="1:10">
      <c r="A77" t="s">
        <v>32</v>
      </c>
      <c r="B77">
        <v>18</v>
      </c>
      <c r="C77">
        <v>24</v>
      </c>
      <c r="D77">
        <v>141</v>
      </c>
      <c r="E77">
        <v>0</v>
      </c>
      <c r="F77">
        <v>0</v>
      </c>
      <c r="G77">
        <v>0</v>
      </c>
      <c r="H77">
        <v>141</v>
      </c>
      <c r="I77" s="1">
        <f t="shared" si="2"/>
        <v>1</v>
      </c>
      <c r="J77" t="str">
        <f t="shared" si="3"/>
        <v/>
      </c>
    </row>
    <row r="78" spans="1:10">
      <c r="A78" t="s">
        <v>32</v>
      </c>
      <c r="B78">
        <v>18</v>
      </c>
      <c r="C78">
        <v>25</v>
      </c>
      <c r="D78">
        <v>141</v>
      </c>
      <c r="E78">
        <v>0</v>
      </c>
      <c r="F78">
        <v>0</v>
      </c>
      <c r="G78">
        <v>0</v>
      </c>
      <c r="H78">
        <v>141</v>
      </c>
      <c r="I78" s="1">
        <f t="shared" si="2"/>
        <v>1</v>
      </c>
      <c r="J78" t="str">
        <f t="shared" si="3"/>
        <v/>
      </c>
    </row>
    <row r="79" spans="1:10">
      <c r="A79" t="s">
        <v>32</v>
      </c>
      <c r="B79">
        <v>19</v>
      </c>
      <c r="C79">
        <v>1</v>
      </c>
      <c r="D79">
        <v>4</v>
      </c>
      <c r="E79">
        <v>0</v>
      </c>
      <c r="F79">
        <v>0</v>
      </c>
      <c r="G79">
        <v>0</v>
      </c>
      <c r="H79">
        <v>127</v>
      </c>
      <c r="I79" s="1">
        <f t="shared" si="2"/>
        <v>3.1496062992125984E-2</v>
      </c>
      <c r="J79" t="str">
        <f t="shared" si="3"/>
        <v/>
      </c>
    </row>
    <row r="80" spans="1:10">
      <c r="A80" t="s">
        <v>32</v>
      </c>
      <c r="B80">
        <v>19</v>
      </c>
      <c r="C80">
        <v>2</v>
      </c>
      <c r="D80">
        <v>7</v>
      </c>
      <c r="E80">
        <v>0</v>
      </c>
      <c r="F80">
        <v>0</v>
      </c>
      <c r="G80">
        <v>0</v>
      </c>
      <c r="H80">
        <v>127</v>
      </c>
      <c r="I80" s="1">
        <f t="shared" si="2"/>
        <v>5.5118110236220472E-2</v>
      </c>
      <c r="J80" t="str">
        <f t="shared" si="3"/>
        <v/>
      </c>
    </row>
    <row r="81" spans="1:10">
      <c r="A81" t="s">
        <v>32</v>
      </c>
      <c r="B81">
        <v>19</v>
      </c>
      <c r="C81">
        <v>3</v>
      </c>
      <c r="D81">
        <v>62</v>
      </c>
      <c r="E81">
        <v>0</v>
      </c>
      <c r="F81">
        <v>0</v>
      </c>
      <c r="G81">
        <v>0</v>
      </c>
      <c r="H81">
        <v>127</v>
      </c>
      <c r="I81" s="1">
        <f t="shared" si="2"/>
        <v>0.48818897637795278</v>
      </c>
      <c r="J81" t="str">
        <f t="shared" si="3"/>
        <v/>
      </c>
    </row>
    <row r="82" spans="1:10">
      <c r="A82" t="s">
        <v>32</v>
      </c>
      <c r="B82">
        <v>19</v>
      </c>
      <c r="C82">
        <v>4</v>
      </c>
      <c r="D82">
        <v>68</v>
      </c>
      <c r="E82">
        <v>0</v>
      </c>
      <c r="F82">
        <v>0</v>
      </c>
      <c r="G82">
        <v>0</v>
      </c>
      <c r="H82">
        <v>127</v>
      </c>
      <c r="I82" s="1">
        <f t="shared" si="2"/>
        <v>0.53543307086614178</v>
      </c>
      <c r="J82" t="str">
        <f t="shared" si="3"/>
        <v/>
      </c>
    </row>
    <row r="83" spans="1:10">
      <c r="A83" t="s">
        <v>32</v>
      </c>
      <c r="B83">
        <v>19</v>
      </c>
      <c r="C83">
        <v>5</v>
      </c>
      <c r="D83">
        <v>88</v>
      </c>
      <c r="E83">
        <v>0</v>
      </c>
      <c r="F83">
        <v>2</v>
      </c>
      <c r="G83">
        <v>0</v>
      </c>
      <c r="H83">
        <v>127</v>
      </c>
      <c r="I83" s="1">
        <f t="shared" si="2"/>
        <v>0.69291338582677164</v>
      </c>
      <c r="J83" t="str">
        <f t="shared" si="3"/>
        <v/>
      </c>
    </row>
    <row r="84" spans="1:10">
      <c r="A84" t="s">
        <v>32</v>
      </c>
      <c r="B84">
        <v>19</v>
      </c>
      <c r="C84">
        <v>6</v>
      </c>
      <c r="D84">
        <v>88</v>
      </c>
      <c r="E84">
        <v>0</v>
      </c>
      <c r="F84">
        <v>2</v>
      </c>
      <c r="G84">
        <v>0</v>
      </c>
      <c r="H84">
        <v>127</v>
      </c>
      <c r="I84" s="1">
        <f t="shared" si="2"/>
        <v>0.69291338582677164</v>
      </c>
      <c r="J84" t="str">
        <f t="shared" si="3"/>
        <v/>
      </c>
    </row>
    <row r="85" spans="1:10">
      <c r="A85" t="s">
        <v>32</v>
      </c>
      <c r="B85">
        <v>19</v>
      </c>
      <c r="C85">
        <v>7</v>
      </c>
      <c r="D85">
        <v>94</v>
      </c>
      <c r="E85">
        <v>0</v>
      </c>
      <c r="F85">
        <v>1</v>
      </c>
      <c r="G85">
        <v>0</v>
      </c>
      <c r="H85">
        <v>127</v>
      </c>
      <c r="I85" s="1">
        <f t="shared" si="2"/>
        <v>0.74015748031496065</v>
      </c>
      <c r="J85" t="str">
        <f t="shared" si="3"/>
        <v/>
      </c>
    </row>
    <row r="86" spans="1:10">
      <c r="A86" t="s">
        <v>32</v>
      </c>
      <c r="B86">
        <v>19</v>
      </c>
      <c r="C86">
        <v>8</v>
      </c>
      <c r="D86">
        <v>98</v>
      </c>
      <c r="E86">
        <v>0</v>
      </c>
      <c r="F86">
        <v>0</v>
      </c>
      <c r="G86">
        <v>0</v>
      </c>
      <c r="H86">
        <v>127</v>
      </c>
      <c r="I86" s="1">
        <f t="shared" si="2"/>
        <v>0.77165354330708658</v>
      </c>
      <c r="J86" t="str">
        <f t="shared" si="3"/>
        <v/>
      </c>
    </row>
    <row r="87" spans="1:10">
      <c r="A87" t="s">
        <v>32</v>
      </c>
      <c r="B87">
        <v>19</v>
      </c>
      <c r="C87">
        <v>9</v>
      </c>
      <c r="D87">
        <v>102</v>
      </c>
      <c r="E87">
        <v>0</v>
      </c>
      <c r="F87">
        <v>0</v>
      </c>
      <c r="G87">
        <v>0</v>
      </c>
      <c r="H87">
        <v>127</v>
      </c>
      <c r="I87" s="1">
        <f t="shared" si="2"/>
        <v>0.80314960629921262</v>
      </c>
      <c r="J87" t="str">
        <f t="shared" si="3"/>
        <v/>
      </c>
    </row>
    <row r="88" spans="1:10">
      <c r="A88" t="s">
        <v>32</v>
      </c>
      <c r="B88">
        <v>19</v>
      </c>
      <c r="C88">
        <v>10</v>
      </c>
      <c r="D88">
        <v>102</v>
      </c>
      <c r="E88">
        <v>0</v>
      </c>
      <c r="F88">
        <v>0</v>
      </c>
      <c r="G88">
        <v>0</v>
      </c>
      <c r="H88">
        <v>127</v>
      </c>
      <c r="I88" s="1">
        <f t="shared" si="2"/>
        <v>0.80314960629921262</v>
      </c>
      <c r="J88" t="str">
        <f t="shared" si="3"/>
        <v/>
      </c>
    </row>
    <row r="89" spans="1:10">
      <c r="A89" t="s">
        <v>32</v>
      </c>
      <c r="B89">
        <v>19</v>
      </c>
      <c r="C89">
        <v>11</v>
      </c>
      <c r="D89">
        <v>102</v>
      </c>
      <c r="E89">
        <v>0</v>
      </c>
      <c r="F89">
        <v>0</v>
      </c>
      <c r="G89">
        <v>0</v>
      </c>
      <c r="H89">
        <v>127</v>
      </c>
      <c r="I89" s="1">
        <f t="shared" si="2"/>
        <v>0.80314960629921262</v>
      </c>
      <c r="J89" t="str">
        <f t="shared" si="3"/>
        <v/>
      </c>
    </row>
    <row r="90" spans="1:10">
      <c r="A90" t="s">
        <v>32</v>
      </c>
      <c r="B90">
        <v>19</v>
      </c>
      <c r="C90">
        <v>12</v>
      </c>
      <c r="D90">
        <v>112</v>
      </c>
      <c r="E90">
        <v>0</v>
      </c>
      <c r="F90">
        <v>0</v>
      </c>
      <c r="G90">
        <v>0</v>
      </c>
      <c r="H90">
        <v>127</v>
      </c>
      <c r="I90" s="1">
        <f t="shared" si="2"/>
        <v>0.88188976377952755</v>
      </c>
      <c r="J90" t="str">
        <f t="shared" si="3"/>
        <v/>
      </c>
    </row>
    <row r="91" spans="1:10">
      <c r="A91" t="s">
        <v>32</v>
      </c>
      <c r="B91">
        <v>19</v>
      </c>
      <c r="C91">
        <v>13</v>
      </c>
      <c r="D91">
        <v>112</v>
      </c>
      <c r="E91">
        <v>0</v>
      </c>
      <c r="F91">
        <v>0</v>
      </c>
      <c r="G91">
        <v>0</v>
      </c>
      <c r="H91">
        <v>127</v>
      </c>
      <c r="I91" s="1">
        <f t="shared" si="2"/>
        <v>0.88188976377952755</v>
      </c>
      <c r="J91" t="str">
        <f t="shared" si="3"/>
        <v/>
      </c>
    </row>
    <row r="92" spans="1:10">
      <c r="A92" t="s">
        <v>32</v>
      </c>
      <c r="B92">
        <v>19</v>
      </c>
      <c r="C92">
        <v>14</v>
      </c>
      <c r="D92">
        <v>112</v>
      </c>
      <c r="E92">
        <v>0</v>
      </c>
      <c r="F92">
        <v>0</v>
      </c>
      <c r="G92">
        <v>0</v>
      </c>
      <c r="H92">
        <v>127</v>
      </c>
      <c r="I92" s="1">
        <f t="shared" si="2"/>
        <v>0.88188976377952755</v>
      </c>
      <c r="J92" t="str">
        <f t="shared" si="3"/>
        <v/>
      </c>
    </row>
    <row r="93" spans="1:10">
      <c r="A93" t="s">
        <v>32</v>
      </c>
      <c r="B93">
        <v>19</v>
      </c>
      <c r="C93">
        <v>15</v>
      </c>
      <c r="D93">
        <v>112</v>
      </c>
      <c r="E93">
        <v>0</v>
      </c>
      <c r="F93">
        <v>0</v>
      </c>
      <c r="G93">
        <v>0</v>
      </c>
      <c r="H93">
        <v>127</v>
      </c>
      <c r="I93" s="1">
        <f t="shared" si="2"/>
        <v>0.88188976377952755</v>
      </c>
      <c r="J93" t="str">
        <f t="shared" si="3"/>
        <v/>
      </c>
    </row>
    <row r="94" spans="1:10">
      <c r="A94" t="s">
        <v>32</v>
      </c>
      <c r="B94">
        <v>19</v>
      </c>
      <c r="C94">
        <v>16</v>
      </c>
      <c r="D94">
        <v>112</v>
      </c>
      <c r="E94">
        <v>0</v>
      </c>
      <c r="F94">
        <v>0</v>
      </c>
      <c r="G94">
        <v>0</v>
      </c>
      <c r="H94">
        <v>127</v>
      </c>
      <c r="I94" s="1">
        <f t="shared" si="2"/>
        <v>0.88188976377952755</v>
      </c>
      <c r="J94" t="str">
        <f t="shared" si="3"/>
        <v/>
      </c>
    </row>
    <row r="95" spans="1:10">
      <c r="A95" t="s">
        <v>32</v>
      </c>
      <c r="B95">
        <v>19</v>
      </c>
      <c r="C95">
        <v>17</v>
      </c>
      <c r="D95">
        <v>112</v>
      </c>
      <c r="E95">
        <v>0</v>
      </c>
      <c r="F95">
        <v>0</v>
      </c>
      <c r="G95">
        <v>0</v>
      </c>
      <c r="H95">
        <v>127</v>
      </c>
      <c r="I95" s="1">
        <f t="shared" si="2"/>
        <v>0.88188976377952755</v>
      </c>
      <c r="J95" t="str">
        <f t="shared" si="3"/>
        <v/>
      </c>
    </row>
    <row r="96" spans="1:10">
      <c r="A96" t="s">
        <v>32</v>
      </c>
      <c r="B96">
        <v>19</v>
      </c>
      <c r="C96">
        <v>18</v>
      </c>
      <c r="D96">
        <v>112</v>
      </c>
      <c r="E96">
        <v>0</v>
      </c>
      <c r="F96">
        <v>0</v>
      </c>
      <c r="G96">
        <v>0</v>
      </c>
      <c r="H96">
        <v>127</v>
      </c>
      <c r="I96" s="1">
        <f t="shared" si="2"/>
        <v>0.88188976377952755</v>
      </c>
      <c r="J96" t="str">
        <f t="shared" si="3"/>
        <v/>
      </c>
    </row>
    <row r="97" spans="1:10">
      <c r="A97" t="s">
        <v>32</v>
      </c>
      <c r="B97">
        <v>19</v>
      </c>
      <c r="C97">
        <v>19</v>
      </c>
      <c r="D97">
        <v>112</v>
      </c>
      <c r="E97">
        <v>0</v>
      </c>
      <c r="F97">
        <v>0</v>
      </c>
      <c r="G97">
        <v>0</v>
      </c>
      <c r="H97">
        <v>127</v>
      </c>
      <c r="I97" s="1">
        <f t="shared" si="2"/>
        <v>0.88188976377952755</v>
      </c>
      <c r="J97" t="str">
        <f t="shared" si="3"/>
        <v/>
      </c>
    </row>
    <row r="98" spans="1:10">
      <c r="A98" t="s">
        <v>32</v>
      </c>
      <c r="B98">
        <v>19</v>
      </c>
      <c r="C98">
        <v>20</v>
      </c>
      <c r="D98">
        <v>112</v>
      </c>
      <c r="E98">
        <v>0</v>
      </c>
      <c r="F98">
        <v>0</v>
      </c>
      <c r="G98">
        <v>0</v>
      </c>
      <c r="H98">
        <v>127</v>
      </c>
      <c r="I98" s="1">
        <f t="shared" si="2"/>
        <v>0.88188976377952755</v>
      </c>
      <c r="J98" t="str">
        <f t="shared" si="3"/>
        <v/>
      </c>
    </row>
    <row r="99" spans="1:10">
      <c r="A99" t="s">
        <v>32</v>
      </c>
      <c r="B99">
        <v>19</v>
      </c>
      <c r="C99">
        <v>21</v>
      </c>
      <c r="D99">
        <v>112</v>
      </c>
      <c r="E99">
        <v>0</v>
      </c>
      <c r="F99">
        <v>0</v>
      </c>
      <c r="G99">
        <v>0</v>
      </c>
      <c r="H99">
        <v>127</v>
      </c>
      <c r="I99" s="1">
        <f t="shared" si="2"/>
        <v>0.88188976377952755</v>
      </c>
      <c r="J99" t="str">
        <f t="shared" si="3"/>
        <v/>
      </c>
    </row>
    <row r="100" spans="1:10">
      <c r="A100" t="s">
        <v>32</v>
      </c>
      <c r="B100">
        <v>19</v>
      </c>
      <c r="C100">
        <v>22</v>
      </c>
      <c r="D100">
        <v>127</v>
      </c>
      <c r="E100">
        <v>0</v>
      </c>
      <c r="F100">
        <v>0</v>
      </c>
      <c r="G100">
        <v>0</v>
      </c>
      <c r="H100">
        <v>127</v>
      </c>
      <c r="I100" s="1">
        <f t="shared" si="2"/>
        <v>1</v>
      </c>
      <c r="J100" t="str">
        <f t="shared" si="3"/>
        <v/>
      </c>
    </row>
    <row r="101" spans="1:10">
      <c r="A101" t="s">
        <v>32</v>
      </c>
      <c r="B101">
        <v>19</v>
      </c>
      <c r="C101">
        <v>23</v>
      </c>
      <c r="D101">
        <v>127</v>
      </c>
      <c r="E101">
        <v>0</v>
      </c>
      <c r="F101">
        <v>0</v>
      </c>
      <c r="G101">
        <v>0</v>
      </c>
      <c r="H101">
        <v>127</v>
      </c>
      <c r="I101" s="1">
        <f t="shared" si="2"/>
        <v>1</v>
      </c>
      <c r="J101" t="str">
        <f t="shared" si="3"/>
        <v/>
      </c>
    </row>
    <row r="102" spans="1:10">
      <c r="A102" t="s">
        <v>32</v>
      </c>
      <c r="B102">
        <v>19</v>
      </c>
      <c r="C102">
        <v>24</v>
      </c>
      <c r="D102">
        <v>127</v>
      </c>
      <c r="E102">
        <v>0</v>
      </c>
      <c r="F102">
        <v>0</v>
      </c>
      <c r="G102">
        <v>0</v>
      </c>
      <c r="H102">
        <v>127</v>
      </c>
      <c r="I102" s="1">
        <f t="shared" si="2"/>
        <v>1</v>
      </c>
      <c r="J102" t="str">
        <f t="shared" si="3"/>
        <v/>
      </c>
    </row>
    <row r="103" spans="1:10">
      <c r="A103" t="s">
        <v>32</v>
      </c>
      <c r="B103">
        <v>19</v>
      </c>
      <c r="C103">
        <v>25</v>
      </c>
      <c r="D103">
        <v>127</v>
      </c>
      <c r="E103">
        <v>0</v>
      </c>
      <c r="F103">
        <v>0</v>
      </c>
      <c r="G103">
        <v>0</v>
      </c>
      <c r="H103">
        <v>127</v>
      </c>
      <c r="I103" s="1">
        <f t="shared" si="2"/>
        <v>1</v>
      </c>
      <c r="J103" t="str">
        <f t="shared" si="3"/>
        <v/>
      </c>
    </row>
    <row r="104" spans="1:10">
      <c r="A104" t="s">
        <v>32</v>
      </c>
      <c r="B104">
        <v>20</v>
      </c>
      <c r="C104">
        <v>1</v>
      </c>
      <c r="D104">
        <v>64</v>
      </c>
      <c r="E104">
        <v>0</v>
      </c>
      <c r="F104">
        <v>2</v>
      </c>
      <c r="G104">
        <v>0</v>
      </c>
      <c r="H104">
        <v>106</v>
      </c>
      <c r="I104" s="1">
        <f t="shared" si="2"/>
        <v>0.60377358490566035</v>
      </c>
      <c r="J104" t="str">
        <f t="shared" si="3"/>
        <v/>
      </c>
    </row>
    <row r="105" spans="1:10">
      <c r="A105" t="s">
        <v>32</v>
      </c>
      <c r="B105">
        <v>20</v>
      </c>
      <c r="C105">
        <v>2</v>
      </c>
      <c r="D105">
        <v>67</v>
      </c>
      <c r="E105">
        <v>0</v>
      </c>
      <c r="F105">
        <v>2</v>
      </c>
      <c r="G105">
        <v>0</v>
      </c>
      <c r="H105">
        <v>106</v>
      </c>
      <c r="I105" s="1">
        <f t="shared" si="2"/>
        <v>0.63207547169811318</v>
      </c>
      <c r="J105" t="str">
        <f t="shared" si="3"/>
        <v/>
      </c>
    </row>
    <row r="106" spans="1:10">
      <c r="A106" t="s">
        <v>32</v>
      </c>
      <c r="B106">
        <v>20</v>
      </c>
      <c r="C106">
        <v>3</v>
      </c>
      <c r="D106">
        <v>67</v>
      </c>
      <c r="E106">
        <v>0</v>
      </c>
      <c r="F106">
        <v>2</v>
      </c>
      <c r="G106">
        <v>0</v>
      </c>
      <c r="H106">
        <v>106</v>
      </c>
      <c r="I106" s="1">
        <f t="shared" si="2"/>
        <v>0.63207547169811318</v>
      </c>
      <c r="J106" t="str">
        <f t="shared" si="3"/>
        <v/>
      </c>
    </row>
    <row r="107" spans="1:10">
      <c r="A107" t="s">
        <v>32</v>
      </c>
      <c r="B107">
        <v>20</v>
      </c>
      <c r="C107">
        <v>4</v>
      </c>
      <c r="D107">
        <v>67</v>
      </c>
      <c r="E107">
        <v>0</v>
      </c>
      <c r="F107">
        <v>2</v>
      </c>
      <c r="G107">
        <v>0</v>
      </c>
      <c r="H107">
        <v>106</v>
      </c>
      <c r="I107" s="1">
        <f t="shared" si="2"/>
        <v>0.63207547169811318</v>
      </c>
      <c r="J107" t="str">
        <f t="shared" si="3"/>
        <v/>
      </c>
    </row>
    <row r="108" spans="1:10">
      <c r="A108" t="s">
        <v>32</v>
      </c>
      <c r="B108">
        <v>20</v>
      </c>
      <c r="C108">
        <v>5</v>
      </c>
      <c r="D108">
        <v>70</v>
      </c>
      <c r="E108">
        <v>0</v>
      </c>
      <c r="F108">
        <v>1</v>
      </c>
      <c r="G108">
        <v>0</v>
      </c>
      <c r="H108">
        <v>106</v>
      </c>
      <c r="I108" s="1">
        <f t="shared" si="2"/>
        <v>0.660377358490566</v>
      </c>
      <c r="J108" t="str">
        <f t="shared" si="3"/>
        <v/>
      </c>
    </row>
    <row r="109" spans="1:10">
      <c r="A109" t="s">
        <v>32</v>
      </c>
      <c r="B109">
        <v>20</v>
      </c>
      <c r="C109">
        <v>6</v>
      </c>
      <c r="D109">
        <v>73</v>
      </c>
      <c r="E109">
        <v>0</v>
      </c>
      <c r="F109">
        <v>1</v>
      </c>
      <c r="G109">
        <v>0</v>
      </c>
      <c r="H109">
        <v>106</v>
      </c>
      <c r="I109" s="1">
        <f t="shared" si="2"/>
        <v>0.68867924528301883</v>
      </c>
      <c r="J109" t="str">
        <f t="shared" si="3"/>
        <v/>
      </c>
    </row>
    <row r="110" spans="1:10">
      <c r="A110" t="s">
        <v>32</v>
      </c>
      <c r="B110">
        <v>20</v>
      </c>
      <c r="C110">
        <v>7</v>
      </c>
      <c r="D110">
        <v>88</v>
      </c>
      <c r="E110">
        <v>0</v>
      </c>
      <c r="F110">
        <v>2</v>
      </c>
      <c r="G110">
        <v>0</v>
      </c>
      <c r="H110">
        <v>106</v>
      </c>
      <c r="I110" s="1">
        <f t="shared" si="2"/>
        <v>0.83018867924528306</v>
      </c>
      <c r="J110" t="str">
        <f t="shared" si="3"/>
        <v/>
      </c>
    </row>
    <row r="111" spans="1:10">
      <c r="A111" t="s">
        <v>32</v>
      </c>
      <c r="B111">
        <v>20</v>
      </c>
      <c r="C111">
        <v>8</v>
      </c>
      <c r="D111">
        <v>88</v>
      </c>
      <c r="E111">
        <v>0</v>
      </c>
      <c r="F111">
        <v>2</v>
      </c>
      <c r="G111">
        <v>0</v>
      </c>
      <c r="H111">
        <v>106</v>
      </c>
      <c r="I111" s="1">
        <f t="shared" si="2"/>
        <v>0.83018867924528306</v>
      </c>
      <c r="J111" t="str">
        <f t="shared" si="3"/>
        <v/>
      </c>
    </row>
    <row r="112" spans="1:10">
      <c r="A112" t="s">
        <v>32</v>
      </c>
      <c r="B112">
        <v>20</v>
      </c>
      <c r="C112">
        <v>9</v>
      </c>
      <c r="D112">
        <v>88</v>
      </c>
      <c r="E112">
        <v>0</v>
      </c>
      <c r="F112">
        <v>2</v>
      </c>
      <c r="G112">
        <v>0</v>
      </c>
      <c r="H112">
        <v>106</v>
      </c>
      <c r="I112" s="1">
        <f t="shared" si="2"/>
        <v>0.83018867924528306</v>
      </c>
      <c r="J112" t="str">
        <f t="shared" si="3"/>
        <v/>
      </c>
    </row>
    <row r="113" spans="1:10">
      <c r="A113" t="s">
        <v>32</v>
      </c>
      <c r="B113">
        <v>20</v>
      </c>
      <c r="C113">
        <v>10</v>
      </c>
      <c r="D113">
        <v>88</v>
      </c>
      <c r="E113">
        <v>0</v>
      </c>
      <c r="F113">
        <v>2</v>
      </c>
      <c r="G113">
        <v>0</v>
      </c>
      <c r="H113">
        <v>106</v>
      </c>
      <c r="I113" s="1">
        <f t="shared" si="2"/>
        <v>0.83018867924528306</v>
      </c>
      <c r="J113" t="str">
        <f t="shared" si="3"/>
        <v/>
      </c>
    </row>
    <row r="114" spans="1:10">
      <c r="A114" t="s">
        <v>32</v>
      </c>
      <c r="B114">
        <v>20</v>
      </c>
      <c r="C114">
        <v>11</v>
      </c>
      <c r="D114">
        <v>92</v>
      </c>
      <c r="E114">
        <v>0</v>
      </c>
      <c r="F114">
        <v>1</v>
      </c>
      <c r="G114">
        <v>0</v>
      </c>
      <c r="H114">
        <v>106</v>
      </c>
      <c r="I114" s="1">
        <f t="shared" si="2"/>
        <v>0.86792452830188682</v>
      </c>
      <c r="J114" t="str">
        <f t="shared" si="3"/>
        <v/>
      </c>
    </row>
    <row r="115" spans="1:10">
      <c r="A115" t="s">
        <v>32</v>
      </c>
      <c r="B115">
        <v>20</v>
      </c>
      <c r="C115">
        <v>12</v>
      </c>
      <c r="D115">
        <v>96</v>
      </c>
      <c r="E115">
        <v>0</v>
      </c>
      <c r="F115">
        <v>1</v>
      </c>
      <c r="G115">
        <v>0</v>
      </c>
      <c r="H115">
        <v>106</v>
      </c>
      <c r="I115" s="1">
        <f t="shared" si="2"/>
        <v>0.90566037735849059</v>
      </c>
      <c r="J115" t="str">
        <f t="shared" si="3"/>
        <v/>
      </c>
    </row>
    <row r="116" spans="1:10">
      <c r="A116" t="s">
        <v>32</v>
      </c>
      <c r="B116">
        <v>20</v>
      </c>
      <c r="C116">
        <v>13</v>
      </c>
      <c r="D116">
        <v>96</v>
      </c>
      <c r="E116">
        <v>0</v>
      </c>
      <c r="F116">
        <v>1</v>
      </c>
      <c r="G116">
        <v>0</v>
      </c>
      <c r="H116">
        <v>106</v>
      </c>
      <c r="I116" s="1">
        <f t="shared" si="2"/>
        <v>0.90566037735849059</v>
      </c>
      <c r="J116" t="str">
        <f t="shared" si="3"/>
        <v/>
      </c>
    </row>
    <row r="117" spans="1:10">
      <c r="A117" t="s">
        <v>32</v>
      </c>
      <c r="B117">
        <v>20</v>
      </c>
      <c r="C117">
        <v>14</v>
      </c>
      <c r="D117">
        <v>96</v>
      </c>
      <c r="E117">
        <v>0</v>
      </c>
      <c r="F117">
        <v>1</v>
      </c>
      <c r="G117">
        <v>0</v>
      </c>
      <c r="H117">
        <v>106</v>
      </c>
      <c r="I117" s="1">
        <f t="shared" si="2"/>
        <v>0.90566037735849059</v>
      </c>
      <c r="J117" t="str">
        <f t="shared" si="3"/>
        <v/>
      </c>
    </row>
    <row r="118" spans="1:10">
      <c r="A118" t="s">
        <v>32</v>
      </c>
      <c r="B118">
        <v>20</v>
      </c>
      <c r="C118">
        <v>15</v>
      </c>
      <c r="D118">
        <v>106</v>
      </c>
      <c r="E118">
        <v>0</v>
      </c>
      <c r="F118">
        <v>0</v>
      </c>
      <c r="G118">
        <v>0</v>
      </c>
      <c r="H118">
        <v>106</v>
      </c>
      <c r="I118" s="1">
        <f t="shared" si="2"/>
        <v>1</v>
      </c>
      <c r="J118" t="str">
        <f t="shared" si="3"/>
        <v/>
      </c>
    </row>
    <row r="119" spans="1:10">
      <c r="A119" t="s">
        <v>32</v>
      </c>
      <c r="B119">
        <v>20</v>
      </c>
      <c r="C119">
        <v>16</v>
      </c>
      <c r="D119">
        <v>106</v>
      </c>
      <c r="E119">
        <v>0</v>
      </c>
      <c r="F119">
        <v>0</v>
      </c>
      <c r="G119">
        <v>0</v>
      </c>
      <c r="H119">
        <v>106</v>
      </c>
      <c r="I119" s="1">
        <f t="shared" si="2"/>
        <v>1</v>
      </c>
      <c r="J119" t="str">
        <f t="shared" si="3"/>
        <v/>
      </c>
    </row>
    <row r="120" spans="1:10">
      <c r="A120" t="s">
        <v>32</v>
      </c>
      <c r="B120">
        <v>20</v>
      </c>
      <c r="C120">
        <v>17</v>
      </c>
      <c r="D120">
        <v>106</v>
      </c>
      <c r="E120">
        <v>0</v>
      </c>
      <c r="F120">
        <v>0</v>
      </c>
      <c r="G120">
        <v>0</v>
      </c>
      <c r="H120">
        <v>106</v>
      </c>
      <c r="I120" s="1">
        <f t="shared" si="2"/>
        <v>1</v>
      </c>
      <c r="J120" t="str">
        <f t="shared" si="3"/>
        <v/>
      </c>
    </row>
    <row r="121" spans="1:10">
      <c r="A121" t="s">
        <v>32</v>
      </c>
      <c r="B121">
        <v>20</v>
      </c>
      <c r="C121">
        <v>18</v>
      </c>
      <c r="D121">
        <v>106</v>
      </c>
      <c r="E121">
        <v>0</v>
      </c>
      <c r="F121">
        <v>0</v>
      </c>
      <c r="G121">
        <v>0</v>
      </c>
      <c r="H121">
        <v>106</v>
      </c>
      <c r="I121" s="1">
        <f t="shared" si="2"/>
        <v>1</v>
      </c>
      <c r="J121" t="str">
        <f t="shared" si="3"/>
        <v/>
      </c>
    </row>
    <row r="122" spans="1:10">
      <c r="A122" t="s">
        <v>32</v>
      </c>
      <c r="B122">
        <v>20</v>
      </c>
      <c r="C122">
        <v>19</v>
      </c>
      <c r="D122">
        <v>106</v>
      </c>
      <c r="E122">
        <v>0</v>
      </c>
      <c r="F122">
        <v>0</v>
      </c>
      <c r="G122">
        <v>0</v>
      </c>
      <c r="H122">
        <v>106</v>
      </c>
      <c r="I122" s="1">
        <f t="shared" si="2"/>
        <v>1</v>
      </c>
      <c r="J122" t="str">
        <f t="shared" si="3"/>
        <v/>
      </c>
    </row>
    <row r="123" spans="1:10">
      <c r="A123" t="s">
        <v>32</v>
      </c>
      <c r="B123">
        <v>20</v>
      </c>
      <c r="C123">
        <v>20</v>
      </c>
      <c r="D123">
        <v>106</v>
      </c>
      <c r="E123">
        <v>0</v>
      </c>
      <c r="F123">
        <v>0</v>
      </c>
      <c r="G123">
        <v>0</v>
      </c>
      <c r="H123">
        <v>106</v>
      </c>
      <c r="I123" s="1">
        <f t="shared" si="2"/>
        <v>1</v>
      </c>
      <c r="J123" t="str">
        <f t="shared" si="3"/>
        <v/>
      </c>
    </row>
    <row r="124" spans="1:10">
      <c r="A124" t="s">
        <v>32</v>
      </c>
      <c r="B124">
        <v>20</v>
      </c>
      <c r="C124">
        <v>21</v>
      </c>
      <c r="D124">
        <v>106</v>
      </c>
      <c r="E124">
        <v>0</v>
      </c>
      <c r="F124">
        <v>0</v>
      </c>
      <c r="G124">
        <v>0</v>
      </c>
      <c r="H124">
        <v>106</v>
      </c>
      <c r="I124" s="1">
        <f t="shared" si="2"/>
        <v>1</v>
      </c>
      <c r="J124" t="str">
        <f t="shared" si="3"/>
        <v/>
      </c>
    </row>
    <row r="125" spans="1:10">
      <c r="A125" t="s">
        <v>56</v>
      </c>
      <c r="B125">
        <v>10</v>
      </c>
      <c r="C125">
        <v>1</v>
      </c>
      <c r="D125">
        <v>44</v>
      </c>
      <c r="E125">
        <v>0</v>
      </c>
      <c r="F125">
        <v>6</v>
      </c>
      <c r="G125">
        <v>0</v>
      </c>
      <c r="H125">
        <v>406</v>
      </c>
      <c r="I125" s="1">
        <f t="shared" si="2"/>
        <v>0.10837438423645321</v>
      </c>
      <c r="J125" t="str">
        <f t="shared" si="3"/>
        <v/>
      </c>
    </row>
    <row r="126" spans="1:10">
      <c r="A126" t="s">
        <v>56</v>
      </c>
      <c r="B126">
        <v>10</v>
      </c>
      <c r="C126">
        <v>2</v>
      </c>
      <c r="D126">
        <v>71</v>
      </c>
      <c r="E126">
        <v>0</v>
      </c>
      <c r="F126">
        <v>10</v>
      </c>
      <c r="G126">
        <v>0</v>
      </c>
      <c r="H126">
        <v>406</v>
      </c>
      <c r="I126" s="1">
        <f t="shared" si="2"/>
        <v>0.1748768472906404</v>
      </c>
      <c r="J126" t="str">
        <f t="shared" si="3"/>
        <v/>
      </c>
    </row>
    <row r="127" spans="1:10">
      <c r="A127" t="s">
        <v>56</v>
      </c>
      <c r="B127">
        <v>10</v>
      </c>
      <c r="C127">
        <v>3</v>
      </c>
      <c r="D127">
        <v>96</v>
      </c>
      <c r="E127">
        <v>0</v>
      </c>
      <c r="F127">
        <v>13</v>
      </c>
      <c r="G127">
        <v>0</v>
      </c>
      <c r="H127">
        <v>406</v>
      </c>
      <c r="I127" s="1">
        <f t="shared" si="2"/>
        <v>0.23645320197044334</v>
      </c>
      <c r="J127" t="str">
        <f t="shared" si="3"/>
        <v/>
      </c>
    </row>
    <row r="128" spans="1:10">
      <c r="A128" t="s">
        <v>56</v>
      </c>
      <c r="B128">
        <v>10</v>
      </c>
      <c r="C128">
        <v>4</v>
      </c>
      <c r="D128">
        <v>123</v>
      </c>
      <c r="E128">
        <v>0</v>
      </c>
      <c r="F128">
        <v>15</v>
      </c>
      <c r="G128">
        <v>0</v>
      </c>
      <c r="H128">
        <v>406</v>
      </c>
      <c r="I128" s="1">
        <f t="shared" si="2"/>
        <v>0.30295566502463056</v>
      </c>
      <c r="J128" t="str">
        <f t="shared" si="3"/>
        <v/>
      </c>
    </row>
    <row r="129" spans="1:10">
      <c r="A129" t="s">
        <v>56</v>
      </c>
      <c r="B129">
        <v>10</v>
      </c>
      <c r="C129">
        <v>5</v>
      </c>
      <c r="D129">
        <v>176</v>
      </c>
      <c r="E129">
        <v>0</v>
      </c>
      <c r="F129">
        <v>16</v>
      </c>
      <c r="G129">
        <v>0</v>
      </c>
      <c r="H129">
        <v>406</v>
      </c>
      <c r="I129" s="1">
        <f t="shared" si="2"/>
        <v>0.43349753694581283</v>
      </c>
      <c r="J129" t="str">
        <f t="shared" si="3"/>
        <v/>
      </c>
    </row>
    <row r="130" spans="1:10">
      <c r="A130" t="s">
        <v>56</v>
      </c>
      <c r="B130">
        <v>10</v>
      </c>
      <c r="C130">
        <v>6</v>
      </c>
      <c r="D130">
        <v>176</v>
      </c>
      <c r="E130">
        <v>0</v>
      </c>
      <c r="F130">
        <v>16</v>
      </c>
      <c r="G130">
        <v>0</v>
      </c>
      <c r="H130">
        <v>406</v>
      </c>
      <c r="I130" s="1">
        <f t="shared" si="2"/>
        <v>0.43349753694581283</v>
      </c>
      <c r="J130" t="str">
        <f t="shared" si="3"/>
        <v/>
      </c>
    </row>
    <row r="131" spans="1:10">
      <c r="A131" t="s">
        <v>56</v>
      </c>
      <c r="B131">
        <v>10</v>
      </c>
      <c r="C131">
        <v>7</v>
      </c>
      <c r="D131">
        <v>176</v>
      </c>
      <c r="E131">
        <v>0</v>
      </c>
      <c r="F131">
        <v>16</v>
      </c>
      <c r="G131">
        <v>0</v>
      </c>
      <c r="H131">
        <v>406</v>
      </c>
      <c r="I131" s="1">
        <f t="shared" ref="I131:I194" si="4">D131/H131</f>
        <v>0.43349753694581283</v>
      </c>
      <c r="J131" t="str">
        <f t="shared" ref="J131:J194" si="5">IF(I131&gt;1,"!","")</f>
        <v/>
      </c>
    </row>
    <row r="132" spans="1:10">
      <c r="A132" t="s">
        <v>56</v>
      </c>
      <c r="B132">
        <v>10</v>
      </c>
      <c r="C132">
        <v>8</v>
      </c>
      <c r="D132">
        <v>176</v>
      </c>
      <c r="E132">
        <v>0</v>
      </c>
      <c r="F132">
        <v>16</v>
      </c>
      <c r="G132">
        <v>0</v>
      </c>
      <c r="H132">
        <v>406</v>
      </c>
      <c r="I132" s="1">
        <f t="shared" si="4"/>
        <v>0.43349753694581283</v>
      </c>
      <c r="J132" t="str">
        <f t="shared" si="5"/>
        <v/>
      </c>
    </row>
    <row r="133" spans="1:10">
      <c r="A133" t="s">
        <v>56</v>
      </c>
      <c r="B133">
        <v>10</v>
      </c>
      <c r="C133">
        <v>9</v>
      </c>
      <c r="D133">
        <v>176</v>
      </c>
      <c r="E133">
        <v>0</v>
      </c>
      <c r="F133">
        <v>16</v>
      </c>
      <c r="G133">
        <v>0</v>
      </c>
      <c r="H133">
        <v>406</v>
      </c>
      <c r="I133" s="1">
        <f t="shared" si="4"/>
        <v>0.43349753694581283</v>
      </c>
      <c r="J133" t="str">
        <f t="shared" si="5"/>
        <v/>
      </c>
    </row>
    <row r="134" spans="1:10">
      <c r="A134" t="s">
        <v>56</v>
      </c>
      <c r="B134">
        <v>10</v>
      </c>
      <c r="C134">
        <v>10</v>
      </c>
      <c r="D134">
        <v>176</v>
      </c>
      <c r="E134">
        <v>0</v>
      </c>
      <c r="F134">
        <v>16</v>
      </c>
      <c r="G134">
        <v>0</v>
      </c>
      <c r="H134">
        <v>406</v>
      </c>
      <c r="I134" s="1">
        <f t="shared" si="4"/>
        <v>0.43349753694581283</v>
      </c>
      <c r="J134" t="str">
        <f t="shared" si="5"/>
        <v/>
      </c>
    </row>
    <row r="135" spans="1:10">
      <c r="A135" t="s">
        <v>56</v>
      </c>
      <c r="B135">
        <v>10</v>
      </c>
      <c r="C135">
        <v>11</v>
      </c>
      <c r="D135">
        <v>176</v>
      </c>
      <c r="E135">
        <v>0</v>
      </c>
      <c r="F135">
        <v>16</v>
      </c>
      <c r="G135">
        <v>0</v>
      </c>
      <c r="H135">
        <v>406</v>
      </c>
      <c r="I135" s="1">
        <f t="shared" si="4"/>
        <v>0.43349753694581283</v>
      </c>
      <c r="J135" t="str">
        <f t="shared" si="5"/>
        <v/>
      </c>
    </row>
    <row r="136" spans="1:10">
      <c r="A136" t="s">
        <v>56</v>
      </c>
      <c r="B136">
        <v>10</v>
      </c>
      <c r="C136">
        <v>12</v>
      </c>
      <c r="D136">
        <v>176</v>
      </c>
      <c r="E136">
        <v>0</v>
      </c>
      <c r="F136">
        <v>16</v>
      </c>
      <c r="G136">
        <v>0</v>
      </c>
      <c r="H136">
        <v>406</v>
      </c>
      <c r="I136" s="1">
        <f t="shared" si="4"/>
        <v>0.43349753694581283</v>
      </c>
      <c r="J136" t="str">
        <f t="shared" si="5"/>
        <v/>
      </c>
    </row>
    <row r="137" spans="1:10">
      <c r="A137" t="s">
        <v>56</v>
      </c>
      <c r="B137">
        <v>10</v>
      </c>
      <c r="C137">
        <v>13</v>
      </c>
      <c r="D137">
        <v>176</v>
      </c>
      <c r="E137">
        <v>0</v>
      </c>
      <c r="F137">
        <v>16</v>
      </c>
      <c r="G137">
        <v>0</v>
      </c>
      <c r="H137">
        <v>406</v>
      </c>
      <c r="I137" s="1">
        <f t="shared" si="4"/>
        <v>0.43349753694581283</v>
      </c>
      <c r="J137" t="str">
        <f t="shared" si="5"/>
        <v/>
      </c>
    </row>
    <row r="138" spans="1:10">
      <c r="A138" t="s">
        <v>56</v>
      </c>
      <c r="B138">
        <v>10</v>
      </c>
      <c r="C138">
        <v>14</v>
      </c>
      <c r="D138">
        <v>176</v>
      </c>
      <c r="E138">
        <v>0</v>
      </c>
      <c r="F138">
        <v>16</v>
      </c>
      <c r="G138">
        <v>0</v>
      </c>
      <c r="H138">
        <v>406</v>
      </c>
      <c r="I138" s="1">
        <f t="shared" si="4"/>
        <v>0.43349753694581283</v>
      </c>
      <c r="J138" t="str">
        <f t="shared" si="5"/>
        <v/>
      </c>
    </row>
    <row r="139" spans="1:10">
      <c r="A139" t="s">
        <v>56</v>
      </c>
      <c r="B139">
        <v>10</v>
      </c>
      <c r="C139">
        <v>15</v>
      </c>
      <c r="D139">
        <v>176</v>
      </c>
      <c r="E139">
        <v>0</v>
      </c>
      <c r="F139">
        <v>16</v>
      </c>
      <c r="G139">
        <v>0</v>
      </c>
      <c r="H139">
        <v>406</v>
      </c>
      <c r="I139" s="1">
        <f t="shared" si="4"/>
        <v>0.43349753694581283</v>
      </c>
      <c r="J139" t="str">
        <f t="shared" si="5"/>
        <v/>
      </c>
    </row>
    <row r="140" spans="1:10">
      <c r="A140" t="s">
        <v>56</v>
      </c>
      <c r="B140">
        <v>10</v>
      </c>
      <c r="C140">
        <v>16</v>
      </c>
      <c r="D140">
        <v>184</v>
      </c>
      <c r="E140">
        <v>0</v>
      </c>
      <c r="F140">
        <v>15</v>
      </c>
      <c r="G140">
        <v>0</v>
      </c>
      <c r="H140">
        <v>406</v>
      </c>
      <c r="I140" s="1">
        <f t="shared" si="4"/>
        <v>0.45320197044334976</v>
      </c>
      <c r="J140" t="str">
        <f t="shared" si="5"/>
        <v/>
      </c>
    </row>
    <row r="141" spans="1:10">
      <c r="A141" t="s">
        <v>56</v>
      </c>
      <c r="B141">
        <v>10</v>
      </c>
      <c r="C141">
        <v>17</v>
      </c>
      <c r="D141">
        <v>188</v>
      </c>
      <c r="E141">
        <v>0</v>
      </c>
      <c r="F141">
        <v>14</v>
      </c>
      <c r="G141">
        <v>0</v>
      </c>
      <c r="H141">
        <v>406</v>
      </c>
      <c r="I141" s="1">
        <f t="shared" si="4"/>
        <v>0.46305418719211822</v>
      </c>
      <c r="J141" t="str">
        <f t="shared" si="5"/>
        <v/>
      </c>
    </row>
    <row r="142" spans="1:10">
      <c r="A142" t="s">
        <v>56</v>
      </c>
      <c r="B142">
        <v>10</v>
      </c>
      <c r="C142">
        <v>18</v>
      </c>
      <c r="D142">
        <v>192</v>
      </c>
      <c r="E142">
        <v>0</v>
      </c>
      <c r="F142">
        <v>13</v>
      </c>
      <c r="G142">
        <v>0</v>
      </c>
      <c r="H142">
        <v>406</v>
      </c>
      <c r="I142" s="1">
        <f t="shared" si="4"/>
        <v>0.47290640394088668</v>
      </c>
      <c r="J142" t="str">
        <f t="shared" si="5"/>
        <v/>
      </c>
    </row>
    <row r="143" spans="1:10">
      <c r="A143" t="s">
        <v>56</v>
      </c>
      <c r="B143">
        <v>10</v>
      </c>
      <c r="C143">
        <v>19</v>
      </c>
      <c r="D143">
        <v>192</v>
      </c>
      <c r="E143">
        <v>0</v>
      </c>
      <c r="F143">
        <v>13</v>
      </c>
      <c r="G143">
        <v>0</v>
      </c>
      <c r="H143">
        <v>406</v>
      </c>
      <c r="I143" s="1">
        <f t="shared" si="4"/>
        <v>0.47290640394088668</v>
      </c>
      <c r="J143" t="str">
        <f t="shared" si="5"/>
        <v/>
      </c>
    </row>
    <row r="144" spans="1:10">
      <c r="A144" t="s">
        <v>56</v>
      </c>
      <c r="B144">
        <v>10</v>
      </c>
      <c r="C144">
        <v>20</v>
      </c>
      <c r="D144">
        <v>200</v>
      </c>
      <c r="E144">
        <v>0</v>
      </c>
      <c r="F144">
        <v>12</v>
      </c>
      <c r="G144">
        <v>0</v>
      </c>
      <c r="H144">
        <v>406</v>
      </c>
      <c r="I144" s="1">
        <f t="shared" si="4"/>
        <v>0.49261083743842365</v>
      </c>
      <c r="J144" t="str">
        <f t="shared" si="5"/>
        <v/>
      </c>
    </row>
    <row r="145" spans="1:10">
      <c r="A145" t="s">
        <v>56</v>
      </c>
      <c r="B145">
        <v>10</v>
      </c>
      <c r="C145">
        <v>21</v>
      </c>
      <c r="D145">
        <v>205</v>
      </c>
      <c r="E145">
        <v>0</v>
      </c>
      <c r="F145">
        <v>11</v>
      </c>
      <c r="G145">
        <v>0</v>
      </c>
      <c r="H145">
        <v>406</v>
      </c>
      <c r="I145" s="1">
        <f t="shared" si="4"/>
        <v>0.50492610837438423</v>
      </c>
      <c r="J145" t="str">
        <f t="shared" si="5"/>
        <v/>
      </c>
    </row>
    <row r="146" spans="1:10">
      <c r="A146" t="s">
        <v>56</v>
      </c>
      <c r="B146">
        <v>10</v>
      </c>
      <c r="C146">
        <v>22</v>
      </c>
      <c r="D146">
        <v>214</v>
      </c>
      <c r="E146">
        <v>0</v>
      </c>
      <c r="F146">
        <v>10</v>
      </c>
      <c r="G146">
        <v>0</v>
      </c>
      <c r="H146">
        <v>406</v>
      </c>
      <c r="I146" s="1">
        <f t="shared" si="4"/>
        <v>0.52709359605911332</v>
      </c>
      <c r="J146" t="str">
        <f t="shared" si="5"/>
        <v/>
      </c>
    </row>
    <row r="147" spans="1:10">
      <c r="A147" t="s">
        <v>56</v>
      </c>
      <c r="B147">
        <v>10</v>
      </c>
      <c r="C147">
        <v>23</v>
      </c>
      <c r="D147">
        <v>219</v>
      </c>
      <c r="E147">
        <v>0</v>
      </c>
      <c r="F147">
        <v>9</v>
      </c>
      <c r="G147">
        <v>0</v>
      </c>
      <c r="H147">
        <v>406</v>
      </c>
      <c r="I147" s="1">
        <f t="shared" si="4"/>
        <v>0.53940886699507384</v>
      </c>
      <c r="J147" t="str">
        <f t="shared" si="5"/>
        <v/>
      </c>
    </row>
    <row r="148" spans="1:10">
      <c r="A148" t="s">
        <v>56</v>
      </c>
      <c r="B148">
        <v>10</v>
      </c>
      <c r="C148">
        <v>24</v>
      </c>
      <c r="D148">
        <v>228</v>
      </c>
      <c r="E148">
        <v>0</v>
      </c>
      <c r="F148">
        <v>8</v>
      </c>
      <c r="G148">
        <v>0</v>
      </c>
      <c r="H148">
        <v>406</v>
      </c>
      <c r="I148" s="1">
        <f t="shared" si="4"/>
        <v>0.56157635467980294</v>
      </c>
      <c r="J148" t="str">
        <f t="shared" si="5"/>
        <v/>
      </c>
    </row>
    <row r="149" spans="1:10">
      <c r="A149" t="s">
        <v>56</v>
      </c>
      <c r="B149">
        <v>10</v>
      </c>
      <c r="C149">
        <v>25</v>
      </c>
      <c r="D149">
        <v>232</v>
      </c>
      <c r="E149">
        <v>0</v>
      </c>
      <c r="F149">
        <v>7</v>
      </c>
      <c r="G149">
        <v>0</v>
      </c>
      <c r="H149">
        <v>406</v>
      </c>
      <c r="I149" s="1">
        <f t="shared" si="4"/>
        <v>0.5714285714285714</v>
      </c>
      <c r="J149" t="str">
        <f t="shared" si="5"/>
        <v/>
      </c>
    </row>
    <row r="150" spans="1:10">
      <c r="A150" t="s">
        <v>56</v>
      </c>
      <c r="B150">
        <v>10</v>
      </c>
      <c r="C150">
        <v>26</v>
      </c>
      <c r="D150">
        <v>240</v>
      </c>
      <c r="E150">
        <v>0</v>
      </c>
      <c r="F150">
        <v>6</v>
      </c>
      <c r="G150">
        <v>0</v>
      </c>
      <c r="H150">
        <v>406</v>
      </c>
      <c r="I150" s="1">
        <f t="shared" si="4"/>
        <v>0.59113300492610843</v>
      </c>
      <c r="J150" t="str">
        <f t="shared" si="5"/>
        <v/>
      </c>
    </row>
    <row r="151" spans="1:10">
      <c r="A151" t="s">
        <v>56</v>
      </c>
      <c r="B151">
        <v>10</v>
      </c>
      <c r="C151">
        <v>27</v>
      </c>
      <c r="D151">
        <v>248</v>
      </c>
      <c r="E151">
        <v>0</v>
      </c>
      <c r="F151">
        <v>5</v>
      </c>
      <c r="G151">
        <v>0</v>
      </c>
      <c r="H151">
        <v>406</v>
      </c>
      <c r="I151" s="1">
        <f t="shared" si="4"/>
        <v>0.61083743842364535</v>
      </c>
      <c r="J151" t="str">
        <f t="shared" si="5"/>
        <v/>
      </c>
    </row>
    <row r="152" spans="1:10">
      <c r="A152" t="s">
        <v>56</v>
      </c>
      <c r="B152">
        <v>10</v>
      </c>
      <c r="C152">
        <v>28</v>
      </c>
      <c r="D152">
        <v>252</v>
      </c>
      <c r="E152">
        <v>0</v>
      </c>
      <c r="F152">
        <v>4</v>
      </c>
      <c r="G152">
        <v>0</v>
      </c>
      <c r="H152">
        <v>406</v>
      </c>
      <c r="I152" s="1">
        <f t="shared" si="4"/>
        <v>0.62068965517241381</v>
      </c>
      <c r="J152" t="str">
        <f t="shared" si="5"/>
        <v/>
      </c>
    </row>
    <row r="153" spans="1:10">
      <c r="A153" t="s">
        <v>56</v>
      </c>
      <c r="B153">
        <v>10</v>
      </c>
      <c r="C153">
        <v>29</v>
      </c>
      <c r="D153">
        <v>291</v>
      </c>
      <c r="E153">
        <v>0</v>
      </c>
      <c r="F153">
        <v>2</v>
      </c>
      <c r="G153">
        <v>0</v>
      </c>
      <c r="H153">
        <v>406</v>
      </c>
      <c r="I153" s="1">
        <f t="shared" si="4"/>
        <v>0.71674876847290636</v>
      </c>
      <c r="J153" t="str">
        <f t="shared" si="5"/>
        <v/>
      </c>
    </row>
    <row r="154" spans="1:10">
      <c r="A154" t="s">
        <v>56</v>
      </c>
      <c r="B154">
        <v>10</v>
      </c>
      <c r="C154">
        <v>30</v>
      </c>
      <c r="D154">
        <v>328</v>
      </c>
      <c r="E154">
        <v>0</v>
      </c>
      <c r="F154">
        <v>2</v>
      </c>
      <c r="G154">
        <v>0</v>
      </c>
      <c r="H154">
        <v>406</v>
      </c>
      <c r="I154" s="1">
        <f t="shared" si="4"/>
        <v>0.80788177339901479</v>
      </c>
      <c r="J154" t="str">
        <f t="shared" si="5"/>
        <v/>
      </c>
    </row>
    <row r="155" spans="1:10">
      <c r="A155" t="s">
        <v>56</v>
      </c>
      <c r="B155">
        <v>10</v>
      </c>
      <c r="C155">
        <v>31</v>
      </c>
      <c r="D155">
        <v>402</v>
      </c>
      <c r="E155">
        <v>0</v>
      </c>
      <c r="F155">
        <v>1</v>
      </c>
      <c r="G155">
        <v>0</v>
      </c>
      <c r="H155">
        <v>406</v>
      </c>
      <c r="I155" s="1">
        <f t="shared" si="4"/>
        <v>0.99014778325123154</v>
      </c>
      <c r="J155" t="str">
        <f t="shared" si="5"/>
        <v/>
      </c>
    </row>
    <row r="156" spans="1:10">
      <c r="A156" t="s">
        <v>56</v>
      </c>
      <c r="B156">
        <v>10</v>
      </c>
      <c r="C156">
        <v>32</v>
      </c>
      <c r="D156">
        <v>406</v>
      </c>
      <c r="E156">
        <v>0</v>
      </c>
      <c r="F156">
        <v>0</v>
      </c>
      <c r="G156">
        <v>0</v>
      </c>
      <c r="H156">
        <v>406</v>
      </c>
      <c r="I156" s="1">
        <f t="shared" si="4"/>
        <v>1</v>
      </c>
      <c r="J156" t="str">
        <f t="shared" si="5"/>
        <v/>
      </c>
    </row>
    <row r="157" spans="1:10">
      <c r="A157" t="s">
        <v>56</v>
      </c>
      <c r="B157">
        <v>11</v>
      </c>
      <c r="C157">
        <v>1</v>
      </c>
      <c r="D157">
        <v>2</v>
      </c>
      <c r="E157">
        <v>0</v>
      </c>
      <c r="F157">
        <v>0</v>
      </c>
      <c r="G157">
        <v>0</v>
      </c>
      <c r="H157">
        <v>192</v>
      </c>
      <c r="I157" s="1">
        <f t="shared" si="4"/>
        <v>1.0416666666666666E-2</v>
      </c>
      <c r="J157" t="str">
        <f t="shared" si="5"/>
        <v/>
      </c>
    </row>
    <row r="158" spans="1:10">
      <c r="A158" t="s">
        <v>56</v>
      </c>
      <c r="B158">
        <v>11</v>
      </c>
      <c r="C158">
        <v>2</v>
      </c>
      <c r="D158">
        <v>81</v>
      </c>
      <c r="E158">
        <v>0</v>
      </c>
      <c r="F158">
        <v>7</v>
      </c>
      <c r="G158">
        <v>0</v>
      </c>
      <c r="H158">
        <v>192</v>
      </c>
      <c r="I158" s="1">
        <f t="shared" si="4"/>
        <v>0.421875</v>
      </c>
      <c r="J158" t="str">
        <f t="shared" si="5"/>
        <v/>
      </c>
    </row>
    <row r="159" spans="1:10">
      <c r="A159" t="s">
        <v>56</v>
      </c>
      <c r="B159">
        <v>11</v>
      </c>
      <c r="C159">
        <v>3</v>
      </c>
      <c r="D159">
        <v>84</v>
      </c>
      <c r="E159">
        <v>0</v>
      </c>
      <c r="F159">
        <v>5</v>
      </c>
      <c r="G159">
        <v>0</v>
      </c>
      <c r="H159">
        <v>192</v>
      </c>
      <c r="I159" s="1">
        <f t="shared" si="4"/>
        <v>0.4375</v>
      </c>
      <c r="J159" t="str">
        <f t="shared" si="5"/>
        <v/>
      </c>
    </row>
    <row r="160" spans="1:10">
      <c r="A160" t="s">
        <v>56</v>
      </c>
      <c r="B160">
        <v>11</v>
      </c>
      <c r="C160">
        <v>4</v>
      </c>
      <c r="D160">
        <v>110</v>
      </c>
      <c r="E160">
        <v>0</v>
      </c>
      <c r="F160">
        <v>4</v>
      </c>
      <c r="G160">
        <v>0</v>
      </c>
      <c r="H160">
        <v>192</v>
      </c>
      <c r="I160" s="1">
        <f t="shared" si="4"/>
        <v>0.57291666666666663</v>
      </c>
      <c r="J160" t="str">
        <f t="shared" si="5"/>
        <v/>
      </c>
    </row>
    <row r="161" spans="1:10">
      <c r="A161" t="s">
        <v>56</v>
      </c>
      <c r="B161">
        <v>11</v>
      </c>
      <c r="C161">
        <v>5</v>
      </c>
      <c r="D161">
        <v>136</v>
      </c>
      <c r="E161">
        <v>0</v>
      </c>
      <c r="F161">
        <v>3</v>
      </c>
      <c r="G161">
        <v>0</v>
      </c>
      <c r="H161">
        <v>192</v>
      </c>
      <c r="I161" s="1">
        <f t="shared" si="4"/>
        <v>0.70833333333333337</v>
      </c>
      <c r="J161" t="str">
        <f t="shared" si="5"/>
        <v/>
      </c>
    </row>
    <row r="162" spans="1:10">
      <c r="A162" t="s">
        <v>56</v>
      </c>
      <c r="B162">
        <v>11</v>
      </c>
      <c r="C162">
        <v>6</v>
      </c>
      <c r="D162">
        <v>136</v>
      </c>
      <c r="E162">
        <v>0</v>
      </c>
      <c r="F162">
        <v>3</v>
      </c>
      <c r="G162">
        <v>0</v>
      </c>
      <c r="H162">
        <v>192</v>
      </c>
      <c r="I162" s="1">
        <f t="shared" si="4"/>
        <v>0.70833333333333337</v>
      </c>
      <c r="J162" t="str">
        <f t="shared" si="5"/>
        <v/>
      </c>
    </row>
    <row r="163" spans="1:10">
      <c r="A163" t="s">
        <v>56</v>
      </c>
      <c r="B163">
        <v>11</v>
      </c>
      <c r="C163">
        <v>7</v>
      </c>
      <c r="D163">
        <v>162</v>
      </c>
      <c r="E163">
        <v>0</v>
      </c>
      <c r="F163">
        <v>2</v>
      </c>
      <c r="G163">
        <v>0</v>
      </c>
      <c r="H163">
        <v>192</v>
      </c>
      <c r="I163" s="1">
        <f t="shared" si="4"/>
        <v>0.84375</v>
      </c>
      <c r="J163" t="str">
        <f t="shared" si="5"/>
        <v/>
      </c>
    </row>
    <row r="164" spans="1:10">
      <c r="A164" t="s">
        <v>56</v>
      </c>
      <c r="B164">
        <v>11</v>
      </c>
      <c r="C164">
        <v>8</v>
      </c>
      <c r="D164">
        <v>188</v>
      </c>
      <c r="E164">
        <v>0</v>
      </c>
      <c r="F164">
        <v>1</v>
      </c>
      <c r="G164">
        <v>0</v>
      </c>
      <c r="H164">
        <v>192</v>
      </c>
      <c r="I164" s="1">
        <f t="shared" si="4"/>
        <v>0.97916666666666663</v>
      </c>
      <c r="J164" t="str">
        <f t="shared" si="5"/>
        <v/>
      </c>
    </row>
    <row r="165" spans="1:10">
      <c r="A165" t="s">
        <v>56</v>
      </c>
      <c r="B165">
        <v>11</v>
      </c>
      <c r="C165">
        <v>9</v>
      </c>
      <c r="D165">
        <v>188</v>
      </c>
      <c r="E165">
        <v>0</v>
      </c>
      <c r="F165">
        <v>1</v>
      </c>
      <c r="G165">
        <v>0</v>
      </c>
      <c r="H165">
        <v>192</v>
      </c>
      <c r="I165" s="1">
        <f t="shared" si="4"/>
        <v>0.97916666666666663</v>
      </c>
      <c r="J165" t="str">
        <f t="shared" si="5"/>
        <v/>
      </c>
    </row>
    <row r="166" spans="1:10">
      <c r="A166" t="s">
        <v>56</v>
      </c>
      <c r="B166">
        <v>11</v>
      </c>
      <c r="C166">
        <v>10</v>
      </c>
      <c r="D166">
        <v>188</v>
      </c>
      <c r="E166">
        <v>0</v>
      </c>
      <c r="F166">
        <v>1</v>
      </c>
      <c r="G166">
        <v>0</v>
      </c>
      <c r="H166">
        <v>192</v>
      </c>
      <c r="I166" s="1">
        <f t="shared" si="4"/>
        <v>0.97916666666666663</v>
      </c>
      <c r="J166" t="str">
        <f t="shared" si="5"/>
        <v/>
      </c>
    </row>
    <row r="167" spans="1:10">
      <c r="A167" t="s">
        <v>56</v>
      </c>
      <c r="B167">
        <v>11</v>
      </c>
      <c r="C167">
        <v>11</v>
      </c>
      <c r="D167">
        <v>188</v>
      </c>
      <c r="E167">
        <v>0</v>
      </c>
      <c r="F167">
        <v>1</v>
      </c>
      <c r="G167">
        <v>0</v>
      </c>
      <c r="H167">
        <v>192</v>
      </c>
      <c r="I167" s="1">
        <f t="shared" si="4"/>
        <v>0.97916666666666663</v>
      </c>
      <c r="J167" t="str">
        <f t="shared" si="5"/>
        <v/>
      </c>
    </row>
    <row r="168" spans="1:10">
      <c r="A168" t="s">
        <v>56</v>
      </c>
      <c r="B168">
        <v>11</v>
      </c>
      <c r="C168">
        <v>12</v>
      </c>
      <c r="D168">
        <v>192</v>
      </c>
      <c r="E168">
        <v>0</v>
      </c>
      <c r="F168">
        <v>0</v>
      </c>
      <c r="G168">
        <v>0</v>
      </c>
      <c r="H168">
        <v>192</v>
      </c>
      <c r="I168" s="1">
        <f t="shared" si="4"/>
        <v>1</v>
      </c>
      <c r="J168" t="str">
        <f t="shared" si="5"/>
        <v/>
      </c>
    </row>
    <row r="169" spans="1:10">
      <c r="A169" t="s">
        <v>56</v>
      </c>
      <c r="B169">
        <v>12</v>
      </c>
      <c r="C169">
        <v>1</v>
      </c>
      <c r="D169">
        <v>2</v>
      </c>
      <c r="E169">
        <v>0</v>
      </c>
      <c r="F169">
        <v>0</v>
      </c>
      <c r="G169">
        <v>0</v>
      </c>
      <c r="H169">
        <v>118</v>
      </c>
      <c r="I169" s="1">
        <f t="shared" si="4"/>
        <v>1.6949152542372881E-2</v>
      </c>
      <c r="J169" t="str">
        <f t="shared" si="5"/>
        <v/>
      </c>
    </row>
    <row r="170" spans="1:10">
      <c r="A170" t="s">
        <v>56</v>
      </c>
      <c r="B170">
        <v>12</v>
      </c>
      <c r="C170">
        <v>2</v>
      </c>
      <c r="D170">
        <v>57</v>
      </c>
      <c r="E170">
        <v>0</v>
      </c>
      <c r="F170">
        <v>4</v>
      </c>
      <c r="G170">
        <v>0</v>
      </c>
      <c r="H170">
        <v>118</v>
      </c>
      <c r="I170" s="1">
        <f t="shared" si="4"/>
        <v>0.48305084745762711</v>
      </c>
      <c r="J170" t="str">
        <f t="shared" si="5"/>
        <v/>
      </c>
    </row>
    <row r="171" spans="1:10">
      <c r="A171" t="s">
        <v>56</v>
      </c>
      <c r="B171">
        <v>12</v>
      </c>
      <c r="C171">
        <v>3</v>
      </c>
      <c r="D171">
        <v>65</v>
      </c>
      <c r="E171">
        <v>0</v>
      </c>
      <c r="F171">
        <v>4</v>
      </c>
      <c r="G171">
        <v>0</v>
      </c>
      <c r="H171">
        <v>118</v>
      </c>
      <c r="I171" s="1">
        <f t="shared" si="4"/>
        <v>0.55084745762711862</v>
      </c>
      <c r="J171" t="str">
        <f t="shared" si="5"/>
        <v/>
      </c>
    </row>
    <row r="172" spans="1:10">
      <c r="A172" t="s">
        <v>56</v>
      </c>
      <c r="B172">
        <v>12</v>
      </c>
      <c r="C172">
        <v>4</v>
      </c>
      <c r="D172">
        <v>68</v>
      </c>
      <c r="E172">
        <v>0</v>
      </c>
      <c r="F172">
        <v>3</v>
      </c>
      <c r="G172">
        <v>0</v>
      </c>
      <c r="H172">
        <v>118</v>
      </c>
      <c r="I172" s="1">
        <f t="shared" si="4"/>
        <v>0.57627118644067798</v>
      </c>
      <c r="J172" t="str">
        <f t="shared" si="5"/>
        <v/>
      </c>
    </row>
    <row r="173" spans="1:10">
      <c r="A173" t="s">
        <v>56</v>
      </c>
      <c r="B173">
        <v>12</v>
      </c>
      <c r="C173">
        <v>5</v>
      </c>
      <c r="D173">
        <v>68</v>
      </c>
      <c r="E173">
        <v>0</v>
      </c>
      <c r="F173">
        <v>3</v>
      </c>
      <c r="G173">
        <v>0</v>
      </c>
      <c r="H173">
        <v>118</v>
      </c>
      <c r="I173" s="1">
        <f t="shared" si="4"/>
        <v>0.57627118644067798</v>
      </c>
      <c r="J173" t="str">
        <f t="shared" si="5"/>
        <v/>
      </c>
    </row>
    <row r="174" spans="1:10">
      <c r="A174" t="s">
        <v>56</v>
      </c>
      <c r="B174">
        <v>12</v>
      </c>
      <c r="C174">
        <v>6</v>
      </c>
      <c r="D174">
        <v>76</v>
      </c>
      <c r="E174">
        <v>0</v>
      </c>
      <c r="F174">
        <v>3</v>
      </c>
      <c r="G174">
        <v>0</v>
      </c>
      <c r="H174">
        <v>118</v>
      </c>
      <c r="I174" s="1">
        <f t="shared" si="4"/>
        <v>0.64406779661016944</v>
      </c>
      <c r="J174" t="str">
        <f t="shared" si="5"/>
        <v/>
      </c>
    </row>
    <row r="175" spans="1:10">
      <c r="A175" t="s">
        <v>56</v>
      </c>
      <c r="B175">
        <v>12</v>
      </c>
      <c r="C175">
        <v>7</v>
      </c>
      <c r="D175">
        <v>76</v>
      </c>
      <c r="E175">
        <v>0</v>
      </c>
      <c r="F175">
        <v>3</v>
      </c>
      <c r="G175">
        <v>0</v>
      </c>
      <c r="H175">
        <v>118</v>
      </c>
      <c r="I175" s="1">
        <f t="shared" si="4"/>
        <v>0.64406779661016944</v>
      </c>
      <c r="J175" t="str">
        <f t="shared" si="5"/>
        <v/>
      </c>
    </row>
    <row r="176" spans="1:10">
      <c r="A176" t="s">
        <v>56</v>
      </c>
      <c r="B176">
        <v>12</v>
      </c>
      <c r="C176">
        <v>8</v>
      </c>
      <c r="D176">
        <v>76</v>
      </c>
      <c r="E176">
        <v>0</v>
      </c>
      <c r="F176">
        <v>3</v>
      </c>
      <c r="G176">
        <v>0</v>
      </c>
      <c r="H176">
        <v>118</v>
      </c>
      <c r="I176" s="1">
        <f t="shared" si="4"/>
        <v>0.64406779661016944</v>
      </c>
      <c r="J176" t="str">
        <f t="shared" si="5"/>
        <v/>
      </c>
    </row>
    <row r="177" spans="1:10">
      <c r="A177" t="s">
        <v>56</v>
      </c>
      <c r="B177">
        <v>12</v>
      </c>
      <c r="C177">
        <v>9</v>
      </c>
      <c r="D177">
        <v>76</v>
      </c>
      <c r="E177">
        <v>0</v>
      </c>
      <c r="F177">
        <v>3</v>
      </c>
      <c r="G177">
        <v>0</v>
      </c>
      <c r="H177">
        <v>118</v>
      </c>
      <c r="I177" s="1">
        <f t="shared" si="4"/>
        <v>0.64406779661016944</v>
      </c>
      <c r="J177" t="str">
        <f t="shared" si="5"/>
        <v/>
      </c>
    </row>
    <row r="178" spans="1:10">
      <c r="A178" t="s">
        <v>56</v>
      </c>
      <c r="B178">
        <v>12</v>
      </c>
      <c r="C178">
        <v>10</v>
      </c>
      <c r="D178">
        <v>87</v>
      </c>
      <c r="E178">
        <v>0</v>
      </c>
      <c r="F178">
        <v>2</v>
      </c>
      <c r="G178">
        <v>0</v>
      </c>
      <c r="H178">
        <v>118</v>
      </c>
      <c r="I178" s="1">
        <f t="shared" si="4"/>
        <v>0.73728813559322037</v>
      </c>
      <c r="J178" t="str">
        <f t="shared" si="5"/>
        <v/>
      </c>
    </row>
    <row r="179" spans="1:10">
      <c r="A179" t="s">
        <v>56</v>
      </c>
      <c r="B179">
        <v>12</v>
      </c>
      <c r="C179">
        <v>11</v>
      </c>
      <c r="D179">
        <v>106</v>
      </c>
      <c r="E179">
        <v>0</v>
      </c>
      <c r="F179">
        <v>1</v>
      </c>
      <c r="G179">
        <v>0</v>
      </c>
      <c r="H179">
        <v>118</v>
      </c>
      <c r="I179" s="1">
        <f t="shared" si="4"/>
        <v>0.89830508474576276</v>
      </c>
      <c r="J179" t="str">
        <f t="shared" si="5"/>
        <v/>
      </c>
    </row>
    <row r="180" spans="1:10">
      <c r="A180" t="s">
        <v>56</v>
      </c>
      <c r="B180">
        <v>12</v>
      </c>
      <c r="C180">
        <v>12</v>
      </c>
      <c r="D180">
        <v>118</v>
      </c>
      <c r="E180">
        <v>0</v>
      </c>
      <c r="F180">
        <v>0</v>
      </c>
      <c r="G180">
        <v>0</v>
      </c>
      <c r="H180">
        <v>118</v>
      </c>
      <c r="I180" s="1">
        <f t="shared" si="4"/>
        <v>1</v>
      </c>
      <c r="J180" t="str">
        <f t="shared" si="5"/>
        <v/>
      </c>
    </row>
    <row r="181" spans="1:10">
      <c r="A181" t="s">
        <v>65</v>
      </c>
      <c r="B181">
        <v>1</v>
      </c>
      <c r="C181">
        <v>1</v>
      </c>
      <c r="D181">
        <v>17</v>
      </c>
      <c r="E181">
        <v>0</v>
      </c>
      <c r="F181">
        <v>1</v>
      </c>
      <c r="G181">
        <v>0</v>
      </c>
      <c r="H181">
        <v>168</v>
      </c>
      <c r="I181" s="1">
        <f t="shared" si="4"/>
        <v>0.10119047619047619</v>
      </c>
      <c r="J181" t="str">
        <f t="shared" si="5"/>
        <v/>
      </c>
    </row>
    <row r="182" spans="1:10">
      <c r="A182" t="s">
        <v>65</v>
      </c>
      <c r="B182">
        <v>1</v>
      </c>
      <c r="C182">
        <v>2</v>
      </c>
      <c r="D182">
        <v>45</v>
      </c>
      <c r="E182">
        <v>0</v>
      </c>
      <c r="F182">
        <v>1</v>
      </c>
      <c r="G182">
        <v>0</v>
      </c>
      <c r="H182">
        <v>168</v>
      </c>
      <c r="I182" s="1">
        <f t="shared" si="4"/>
        <v>0.26785714285714285</v>
      </c>
      <c r="J182" t="str">
        <f t="shared" si="5"/>
        <v/>
      </c>
    </row>
    <row r="183" spans="1:10">
      <c r="A183" t="s">
        <v>65</v>
      </c>
      <c r="B183">
        <v>1</v>
      </c>
      <c r="C183">
        <v>3</v>
      </c>
      <c r="D183">
        <v>45</v>
      </c>
      <c r="E183">
        <v>0</v>
      </c>
      <c r="F183">
        <v>1</v>
      </c>
      <c r="G183">
        <v>0</v>
      </c>
      <c r="H183">
        <v>168</v>
      </c>
      <c r="I183" s="1">
        <f t="shared" si="4"/>
        <v>0.26785714285714285</v>
      </c>
      <c r="J183" t="str">
        <f t="shared" si="5"/>
        <v/>
      </c>
    </row>
    <row r="184" spans="1:10">
      <c r="A184" t="s">
        <v>65</v>
      </c>
      <c r="B184">
        <v>1</v>
      </c>
      <c r="C184">
        <v>4</v>
      </c>
      <c r="D184">
        <v>151</v>
      </c>
      <c r="E184">
        <v>0</v>
      </c>
      <c r="F184">
        <v>1</v>
      </c>
      <c r="G184">
        <v>0</v>
      </c>
      <c r="H184">
        <v>168</v>
      </c>
      <c r="I184" s="1">
        <f t="shared" si="4"/>
        <v>0.89880952380952384</v>
      </c>
      <c r="J184" t="str">
        <f t="shared" si="5"/>
        <v/>
      </c>
    </row>
    <row r="185" spans="1:10">
      <c r="A185" t="s">
        <v>65</v>
      </c>
      <c r="B185">
        <v>1</v>
      </c>
      <c r="C185">
        <v>5</v>
      </c>
      <c r="D185">
        <v>168</v>
      </c>
      <c r="E185">
        <v>0</v>
      </c>
      <c r="F185">
        <v>0</v>
      </c>
      <c r="G185">
        <v>0</v>
      </c>
      <c r="H185">
        <v>168</v>
      </c>
      <c r="I185" s="1">
        <f t="shared" si="4"/>
        <v>1</v>
      </c>
      <c r="J185" t="str">
        <f t="shared" si="5"/>
        <v/>
      </c>
    </row>
    <row r="186" spans="1:10">
      <c r="A186" t="s">
        <v>65</v>
      </c>
      <c r="B186">
        <v>1</v>
      </c>
      <c r="C186">
        <v>6</v>
      </c>
      <c r="D186">
        <v>168</v>
      </c>
      <c r="E186">
        <v>0</v>
      </c>
      <c r="F186">
        <v>0</v>
      </c>
      <c r="G186">
        <v>0</v>
      </c>
      <c r="H186">
        <v>168</v>
      </c>
      <c r="I186" s="1">
        <f t="shared" si="4"/>
        <v>1</v>
      </c>
      <c r="J186" t="str">
        <f t="shared" si="5"/>
        <v/>
      </c>
    </row>
    <row r="187" spans="1:10">
      <c r="A187" t="s">
        <v>65</v>
      </c>
      <c r="B187">
        <v>1</v>
      </c>
      <c r="C187">
        <v>7</v>
      </c>
      <c r="D187">
        <v>168</v>
      </c>
      <c r="E187">
        <v>0</v>
      </c>
      <c r="F187">
        <v>0</v>
      </c>
      <c r="G187">
        <v>0</v>
      </c>
      <c r="H187">
        <v>168</v>
      </c>
      <c r="I187" s="1">
        <f t="shared" si="4"/>
        <v>1</v>
      </c>
      <c r="J187" t="str">
        <f t="shared" si="5"/>
        <v/>
      </c>
    </row>
    <row r="188" spans="1:10">
      <c r="A188" t="s">
        <v>65</v>
      </c>
      <c r="B188">
        <v>3</v>
      </c>
      <c r="C188">
        <v>1</v>
      </c>
      <c r="D188">
        <v>281</v>
      </c>
      <c r="E188">
        <v>0</v>
      </c>
      <c r="F188">
        <v>0</v>
      </c>
      <c r="G188">
        <v>0</v>
      </c>
      <c r="H188">
        <v>332</v>
      </c>
      <c r="I188" s="1">
        <f t="shared" si="4"/>
        <v>0.84638554216867468</v>
      </c>
      <c r="J188" t="str">
        <f t="shared" si="5"/>
        <v/>
      </c>
    </row>
    <row r="189" spans="1:10">
      <c r="A189" t="s">
        <v>65</v>
      </c>
      <c r="B189">
        <v>3</v>
      </c>
      <c r="C189">
        <v>2</v>
      </c>
      <c r="D189">
        <v>332</v>
      </c>
      <c r="E189">
        <v>0</v>
      </c>
      <c r="F189">
        <v>0</v>
      </c>
      <c r="G189">
        <v>0</v>
      </c>
      <c r="H189">
        <v>332</v>
      </c>
      <c r="I189" s="1">
        <f t="shared" si="4"/>
        <v>1</v>
      </c>
      <c r="J189" t="str">
        <f t="shared" si="5"/>
        <v/>
      </c>
    </row>
    <row r="190" spans="1:10">
      <c r="A190" t="s">
        <v>65</v>
      </c>
      <c r="B190">
        <v>3</v>
      </c>
      <c r="C190">
        <v>3</v>
      </c>
      <c r="D190">
        <v>332</v>
      </c>
      <c r="E190">
        <v>0</v>
      </c>
      <c r="F190">
        <v>0</v>
      </c>
      <c r="G190">
        <v>0</v>
      </c>
      <c r="H190">
        <v>332</v>
      </c>
      <c r="I190" s="1">
        <f t="shared" si="4"/>
        <v>1</v>
      </c>
      <c r="J190" t="str">
        <f t="shared" si="5"/>
        <v/>
      </c>
    </row>
    <row r="191" spans="1:10">
      <c r="A191" t="s">
        <v>65</v>
      </c>
      <c r="B191">
        <v>4</v>
      </c>
      <c r="C191">
        <v>1</v>
      </c>
      <c r="D191">
        <v>100</v>
      </c>
      <c r="E191">
        <v>0</v>
      </c>
      <c r="F191">
        <v>3</v>
      </c>
      <c r="G191">
        <v>0</v>
      </c>
      <c r="H191">
        <f>129</f>
        <v>129</v>
      </c>
      <c r="I191" s="1">
        <f t="shared" si="4"/>
        <v>0.77519379844961245</v>
      </c>
      <c r="J191" t="str">
        <f t="shared" si="5"/>
        <v/>
      </c>
    </row>
    <row r="192" spans="1:10">
      <c r="A192" t="s">
        <v>65</v>
      </c>
      <c r="B192">
        <v>4</v>
      </c>
      <c r="C192">
        <v>2</v>
      </c>
      <c r="D192">
        <v>107</v>
      </c>
      <c r="E192">
        <v>0</v>
      </c>
      <c r="F192">
        <v>2</v>
      </c>
      <c r="G192">
        <v>0</v>
      </c>
      <c r="H192">
        <f>129</f>
        <v>129</v>
      </c>
      <c r="I192" s="1">
        <f t="shared" si="4"/>
        <v>0.8294573643410853</v>
      </c>
      <c r="J192" t="str">
        <f t="shared" si="5"/>
        <v/>
      </c>
    </row>
    <row r="193" spans="1:10">
      <c r="A193" t="s">
        <v>65</v>
      </c>
      <c r="B193">
        <v>4</v>
      </c>
      <c r="C193">
        <v>3</v>
      </c>
      <c r="D193">
        <v>120</v>
      </c>
      <c r="E193">
        <v>0</v>
      </c>
      <c r="F193">
        <v>1</v>
      </c>
      <c r="G193">
        <v>0</v>
      </c>
      <c r="H193">
        <f>129</f>
        <v>129</v>
      </c>
      <c r="I193" s="1">
        <f t="shared" si="4"/>
        <v>0.93023255813953487</v>
      </c>
      <c r="J193" t="str">
        <f t="shared" si="5"/>
        <v/>
      </c>
    </row>
    <row r="194" spans="1:10">
      <c r="A194" t="s">
        <v>65</v>
      </c>
      <c r="B194">
        <v>4</v>
      </c>
      <c r="C194">
        <v>4</v>
      </c>
      <c r="D194">
        <v>120</v>
      </c>
      <c r="E194">
        <v>0</v>
      </c>
      <c r="F194">
        <v>1</v>
      </c>
      <c r="G194">
        <v>0</v>
      </c>
      <c r="H194">
        <f>129</f>
        <v>129</v>
      </c>
      <c r="I194" s="1">
        <f t="shared" si="4"/>
        <v>0.93023255813953487</v>
      </c>
      <c r="J194" t="str">
        <f t="shared" si="5"/>
        <v/>
      </c>
    </row>
    <row r="195" spans="1:10">
      <c r="A195" t="s">
        <v>65</v>
      </c>
      <c r="B195">
        <v>4</v>
      </c>
      <c r="C195">
        <v>5</v>
      </c>
      <c r="D195">
        <v>120</v>
      </c>
      <c r="E195">
        <v>0</v>
      </c>
      <c r="F195">
        <v>1</v>
      </c>
      <c r="G195">
        <v>0</v>
      </c>
      <c r="H195">
        <f>129</f>
        <v>129</v>
      </c>
      <c r="I195" s="1">
        <f t="shared" ref="I195:I258" si="6">D195/H195</f>
        <v>0.93023255813953487</v>
      </c>
      <c r="J195" t="str">
        <f t="shared" ref="J195:J258" si="7">IF(I195&gt;1,"!","")</f>
        <v/>
      </c>
    </row>
    <row r="196" spans="1:10">
      <c r="A196" t="s">
        <v>65</v>
      </c>
      <c r="B196">
        <v>4</v>
      </c>
      <c r="C196">
        <v>6</v>
      </c>
      <c r="D196">
        <v>120</v>
      </c>
      <c r="E196">
        <v>0</v>
      </c>
      <c r="F196">
        <v>1</v>
      </c>
      <c r="G196">
        <v>0</v>
      </c>
      <c r="H196">
        <f>129</f>
        <v>129</v>
      </c>
      <c r="I196" s="1">
        <f t="shared" si="6"/>
        <v>0.93023255813953487</v>
      </c>
      <c r="J196" t="str">
        <f t="shared" si="7"/>
        <v/>
      </c>
    </row>
    <row r="197" spans="1:10">
      <c r="A197" t="s">
        <v>65</v>
      </c>
      <c r="B197">
        <v>4</v>
      </c>
      <c r="C197">
        <v>7</v>
      </c>
      <c r="D197">
        <v>129</v>
      </c>
      <c r="E197">
        <v>0</v>
      </c>
      <c r="F197">
        <v>0</v>
      </c>
      <c r="G197">
        <v>0</v>
      </c>
      <c r="H197">
        <f>129</f>
        <v>129</v>
      </c>
      <c r="I197" s="1">
        <f t="shared" si="6"/>
        <v>1</v>
      </c>
      <c r="J197" t="str">
        <f t="shared" si="7"/>
        <v/>
      </c>
    </row>
    <row r="198" spans="1:10">
      <c r="A198" t="s">
        <v>65</v>
      </c>
      <c r="B198">
        <v>4</v>
      </c>
      <c r="C198">
        <v>8</v>
      </c>
      <c r="D198">
        <v>129</v>
      </c>
      <c r="E198">
        <v>0</v>
      </c>
      <c r="F198">
        <v>0</v>
      </c>
      <c r="G198">
        <v>0</v>
      </c>
      <c r="H198">
        <f>129</f>
        <v>129</v>
      </c>
      <c r="I198" s="1">
        <f t="shared" si="6"/>
        <v>1</v>
      </c>
      <c r="J198" t="str">
        <f t="shared" si="7"/>
        <v/>
      </c>
    </row>
    <row r="199" spans="1:10">
      <c r="A199" t="s">
        <v>65</v>
      </c>
      <c r="B199">
        <v>4</v>
      </c>
      <c r="C199">
        <v>9</v>
      </c>
      <c r="D199">
        <v>129</v>
      </c>
      <c r="E199">
        <v>0</v>
      </c>
      <c r="F199">
        <v>0</v>
      </c>
      <c r="G199">
        <v>0</v>
      </c>
      <c r="H199">
        <f>129</f>
        <v>129</v>
      </c>
      <c r="I199" s="1">
        <f t="shared" si="6"/>
        <v>1</v>
      </c>
      <c r="J199" t="str">
        <f t="shared" si="7"/>
        <v/>
      </c>
    </row>
    <row r="200" spans="1:10">
      <c r="A200" t="s">
        <v>65</v>
      </c>
      <c r="B200">
        <v>4</v>
      </c>
      <c r="C200">
        <v>10</v>
      </c>
      <c r="D200">
        <v>129</v>
      </c>
      <c r="E200">
        <v>0</v>
      </c>
      <c r="F200">
        <v>0</v>
      </c>
      <c r="G200">
        <v>0</v>
      </c>
      <c r="H200">
        <f>129</f>
        <v>129</v>
      </c>
      <c r="I200" s="1">
        <f t="shared" si="6"/>
        <v>1</v>
      </c>
      <c r="J200" t="str">
        <f t="shared" si="7"/>
        <v/>
      </c>
    </row>
    <row r="201" spans="1:10">
      <c r="A201" t="s">
        <v>65</v>
      </c>
      <c r="B201">
        <v>4</v>
      </c>
      <c r="C201">
        <v>11</v>
      </c>
      <c r="D201">
        <v>129</v>
      </c>
      <c r="E201">
        <v>0</v>
      </c>
      <c r="F201">
        <v>0</v>
      </c>
      <c r="G201">
        <v>0</v>
      </c>
      <c r="H201">
        <f>129</f>
        <v>129</v>
      </c>
      <c r="I201" s="1">
        <f t="shared" si="6"/>
        <v>1</v>
      </c>
      <c r="J201" t="str">
        <f t="shared" si="7"/>
        <v/>
      </c>
    </row>
    <row r="202" spans="1:10">
      <c r="A202" t="s">
        <v>65</v>
      </c>
      <c r="B202">
        <v>4</v>
      </c>
      <c r="C202">
        <v>12</v>
      </c>
      <c r="D202">
        <v>129</v>
      </c>
      <c r="E202">
        <v>0</v>
      </c>
      <c r="F202">
        <v>0</v>
      </c>
      <c r="G202">
        <v>0</v>
      </c>
      <c r="H202">
        <f>129</f>
        <v>129</v>
      </c>
      <c r="I202" s="1">
        <f t="shared" si="6"/>
        <v>1</v>
      </c>
      <c r="J202" t="str">
        <f t="shared" si="7"/>
        <v/>
      </c>
    </row>
    <row r="203" spans="1:10">
      <c r="A203" t="s">
        <v>65</v>
      </c>
      <c r="B203">
        <v>4</v>
      </c>
      <c r="C203">
        <v>13</v>
      </c>
      <c r="D203">
        <v>129</v>
      </c>
      <c r="E203">
        <v>0</v>
      </c>
      <c r="F203">
        <v>0</v>
      </c>
      <c r="G203">
        <v>0</v>
      </c>
      <c r="H203">
        <f>129</f>
        <v>129</v>
      </c>
      <c r="I203" s="1">
        <f t="shared" si="6"/>
        <v>1</v>
      </c>
      <c r="J203" t="str">
        <f t="shared" si="7"/>
        <v/>
      </c>
    </row>
    <row r="204" spans="1:10">
      <c r="A204" t="s">
        <v>65</v>
      </c>
      <c r="B204">
        <v>4</v>
      </c>
      <c r="C204">
        <v>14</v>
      </c>
      <c r="D204">
        <v>129</v>
      </c>
      <c r="E204">
        <v>0</v>
      </c>
      <c r="F204">
        <v>0</v>
      </c>
      <c r="G204">
        <v>0</v>
      </c>
      <c r="H204">
        <f>129</f>
        <v>129</v>
      </c>
      <c r="I204" s="1">
        <f t="shared" si="6"/>
        <v>1</v>
      </c>
      <c r="J204" t="str">
        <f t="shared" si="7"/>
        <v/>
      </c>
    </row>
    <row r="205" spans="1:10">
      <c r="A205" t="s">
        <v>65</v>
      </c>
      <c r="B205">
        <v>4</v>
      </c>
      <c r="C205">
        <v>15</v>
      </c>
      <c r="D205">
        <v>129</v>
      </c>
      <c r="E205">
        <v>0</v>
      </c>
      <c r="F205">
        <v>0</v>
      </c>
      <c r="G205">
        <v>0</v>
      </c>
      <c r="H205">
        <f>129</f>
        <v>129</v>
      </c>
      <c r="I205" s="1">
        <f t="shared" si="6"/>
        <v>1</v>
      </c>
      <c r="J205" t="str">
        <f t="shared" si="7"/>
        <v/>
      </c>
    </row>
    <row r="206" spans="1:10">
      <c r="A206" t="s">
        <v>65</v>
      </c>
      <c r="B206">
        <v>4</v>
      </c>
      <c r="C206">
        <v>16</v>
      </c>
      <c r="D206">
        <v>129</v>
      </c>
      <c r="E206">
        <v>0</v>
      </c>
      <c r="F206">
        <v>0</v>
      </c>
      <c r="G206">
        <v>0</v>
      </c>
      <c r="H206">
        <f>129</f>
        <v>129</v>
      </c>
      <c r="I206" s="1">
        <f t="shared" si="6"/>
        <v>1</v>
      </c>
      <c r="J206" t="str">
        <f t="shared" si="7"/>
        <v/>
      </c>
    </row>
    <row r="207" spans="1:10">
      <c r="A207" t="s">
        <v>65</v>
      </c>
      <c r="B207">
        <v>6</v>
      </c>
      <c r="C207">
        <v>1</v>
      </c>
      <c r="D207">
        <v>80</v>
      </c>
      <c r="E207">
        <v>0</v>
      </c>
      <c r="F207">
        <v>1</v>
      </c>
      <c r="G207">
        <v>0</v>
      </c>
      <c r="H207">
        <v>121</v>
      </c>
      <c r="I207" s="1">
        <f t="shared" si="6"/>
        <v>0.66115702479338845</v>
      </c>
      <c r="J207" t="str">
        <f t="shared" si="7"/>
        <v/>
      </c>
    </row>
    <row r="208" spans="1:10">
      <c r="A208" t="s">
        <v>65</v>
      </c>
      <c r="B208">
        <v>6</v>
      </c>
      <c r="C208">
        <v>2</v>
      </c>
      <c r="D208">
        <v>121</v>
      </c>
      <c r="E208">
        <v>0</v>
      </c>
      <c r="F208">
        <v>0</v>
      </c>
      <c r="G208">
        <v>0</v>
      </c>
      <c r="H208" s="5">
        <v>121</v>
      </c>
      <c r="I208" s="1">
        <f t="shared" si="6"/>
        <v>1</v>
      </c>
      <c r="J208" t="str">
        <f t="shared" si="7"/>
        <v/>
      </c>
    </row>
    <row r="209" spans="1:10">
      <c r="A209" t="s">
        <v>65</v>
      </c>
      <c r="B209">
        <v>7</v>
      </c>
      <c r="C209">
        <v>1</v>
      </c>
      <c r="D209">
        <v>2</v>
      </c>
      <c r="E209">
        <v>0</v>
      </c>
      <c r="F209">
        <v>0</v>
      </c>
      <c r="G209">
        <v>0</v>
      </c>
      <c r="H209">
        <v>43</v>
      </c>
      <c r="I209" s="1">
        <f t="shared" si="6"/>
        <v>4.6511627906976744E-2</v>
      </c>
      <c r="J209" t="str">
        <f t="shared" si="7"/>
        <v/>
      </c>
    </row>
    <row r="210" spans="1:10">
      <c r="A210" t="s">
        <v>65</v>
      </c>
      <c r="B210">
        <v>7</v>
      </c>
      <c r="C210">
        <v>2</v>
      </c>
      <c r="D210">
        <v>4</v>
      </c>
      <c r="E210">
        <v>0</v>
      </c>
      <c r="F210">
        <v>0</v>
      </c>
      <c r="G210">
        <v>0</v>
      </c>
      <c r="H210">
        <v>43</v>
      </c>
      <c r="I210" s="1">
        <f t="shared" si="6"/>
        <v>9.3023255813953487E-2</v>
      </c>
      <c r="J210" t="str">
        <f t="shared" si="7"/>
        <v/>
      </c>
    </row>
    <row r="211" spans="1:10">
      <c r="A211" t="s">
        <v>65</v>
      </c>
      <c r="B211">
        <v>7</v>
      </c>
      <c r="C211">
        <v>3</v>
      </c>
      <c r="D211">
        <v>6</v>
      </c>
      <c r="E211">
        <v>0</v>
      </c>
      <c r="F211">
        <v>0</v>
      </c>
      <c r="G211">
        <v>0</v>
      </c>
      <c r="H211">
        <v>43</v>
      </c>
      <c r="I211" s="1">
        <f t="shared" si="6"/>
        <v>0.13953488372093023</v>
      </c>
      <c r="J211" t="str">
        <f t="shared" si="7"/>
        <v/>
      </c>
    </row>
    <row r="212" spans="1:10">
      <c r="A212" t="s">
        <v>65</v>
      </c>
      <c r="B212">
        <v>7</v>
      </c>
      <c r="C212">
        <v>4</v>
      </c>
      <c r="D212">
        <v>8</v>
      </c>
      <c r="E212">
        <v>0</v>
      </c>
      <c r="F212">
        <v>0</v>
      </c>
      <c r="G212">
        <v>0</v>
      </c>
      <c r="H212">
        <v>43</v>
      </c>
      <c r="I212" s="1">
        <f t="shared" si="6"/>
        <v>0.18604651162790697</v>
      </c>
      <c r="J212" t="str">
        <f t="shared" si="7"/>
        <v/>
      </c>
    </row>
    <row r="213" spans="1:10">
      <c r="A213" t="s">
        <v>65</v>
      </c>
      <c r="B213">
        <v>7</v>
      </c>
      <c r="C213">
        <v>5</v>
      </c>
      <c r="D213">
        <v>43</v>
      </c>
      <c r="E213">
        <v>0</v>
      </c>
      <c r="F213">
        <v>0</v>
      </c>
      <c r="G213">
        <v>0</v>
      </c>
      <c r="H213">
        <v>43</v>
      </c>
      <c r="I213" s="1">
        <f t="shared" si="6"/>
        <v>1</v>
      </c>
      <c r="J213" t="str">
        <f t="shared" si="7"/>
        <v/>
      </c>
    </row>
    <row r="214" spans="1:10">
      <c r="A214" t="s">
        <v>65</v>
      </c>
      <c r="B214">
        <v>7</v>
      </c>
      <c r="C214">
        <v>6</v>
      </c>
      <c r="D214">
        <v>43</v>
      </c>
      <c r="E214">
        <v>0</v>
      </c>
      <c r="F214">
        <v>0</v>
      </c>
      <c r="G214">
        <v>0</v>
      </c>
      <c r="H214">
        <v>43</v>
      </c>
      <c r="I214" s="1">
        <f t="shared" si="6"/>
        <v>1</v>
      </c>
      <c r="J214" t="str">
        <f t="shared" si="7"/>
        <v/>
      </c>
    </row>
    <row r="215" spans="1:10">
      <c r="A215" t="s">
        <v>71</v>
      </c>
      <c r="B215">
        <v>3</v>
      </c>
      <c r="C215">
        <v>1</v>
      </c>
      <c r="D215">
        <v>7</v>
      </c>
      <c r="E215">
        <v>0</v>
      </c>
      <c r="F215">
        <v>0</v>
      </c>
      <c r="G215">
        <v>0</v>
      </c>
      <c r="H215">
        <v>62</v>
      </c>
      <c r="I215" s="1">
        <f t="shared" si="6"/>
        <v>0.11290322580645161</v>
      </c>
      <c r="J215" t="str">
        <f t="shared" si="7"/>
        <v/>
      </c>
    </row>
    <row r="216" spans="1:10">
      <c r="A216" t="s">
        <v>71</v>
      </c>
      <c r="B216">
        <v>3</v>
      </c>
      <c r="C216">
        <v>2</v>
      </c>
      <c r="D216">
        <v>48</v>
      </c>
      <c r="E216">
        <v>0</v>
      </c>
      <c r="F216">
        <v>1</v>
      </c>
      <c r="G216">
        <v>0</v>
      </c>
      <c r="H216">
        <v>62</v>
      </c>
      <c r="I216" s="1">
        <f t="shared" si="6"/>
        <v>0.77419354838709675</v>
      </c>
      <c r="J216" t="str">
        <f t="shared" si="7"/>
        <v/>
      </c>
    </row>
    <row r="217" spans="1:10">
      <c r="A217" t="s">
        <v>71</v>
      </c>
      <c r="B217">
        <v>3</v>
      </c>
      <c r="C217">
        <v>3</v>
      </c>
      <c r="D217">
        <v>62</v>
      </c>
      <c r="E217">
        <v>0</v>
      </c>
      <c r="F217">
        <v>0</v>
      </c>
      <c r="G217">
        <v>0</v>
      </c>
      <c r="H217">
        <v>62</v>
      </c>
      <c r="I217" s="1">
        <f t="shared" si="6"/>
        <v>1</v>
      </c>
      <c r="J217" t="str">
        <f t="shared" si="7"/>
        <v/>
      </c>
    </row>
    <row r="218" spans="1:10">
      <c r="A218" t="s">
        <v>71</v>
      </c>
      <c r="B218">
        <v>7</v>
      </c>
      <c r="C218">
        <v>1</v>
      </c>
      <c r="D218">
        <v>3</v>
      </c>
      <c r="E218">
        <v>0</v>
      </c>
      <c r="F218">
        <v>0</v>
      </c>
      <c r="G218">
        <v>0</v>
      </c>
      <c r="H218">
        <v>56</v>
      </c>
      <c r="I218" s="1">
        <f t="shared" si="6"/>
        <v>5.3571428571428568E-2</v>
      </c>
      <c r="J218" t="str">
        <f t="shared" si="7"/>
        <v/>
      </c>
    </row>
    <row r="219" spans="1:10">
      <c r="A219" t="s">
        <v>71</v>
      </c>
      <c r="B219">
        <v>7</v>
      </c>
      <c r="C219">
        <v>2</v>
      </c>
      <c r="D219">
        <v>3</v>
      </c>
      <c r="E219">
        <v>0</v>
      </c>
      <c r="F219">
        <v>0</v>
      </c>
      <c r="G219">
        <v>0</v>
      </c>
      <c r="H219">
        <v>56</v>
      </c>
      <c r="I219" s="1">
        <f t="shared" si="6"/>
        <v>5.3571428571428568E-2</v>
      </c>
      <c r="J219" t="str">
        <f t="shared" si="7"/>
        <v/>
      </c>
    </row>
    <row r="220" spans="1:10">
      <c r="A220" t="s">
        <v>71</v>
      </c>
      <c r="B220">
        <v>7</v>
      </c>
      <c r="C220">
        <v>3</v>
      </c>
      <c r="D220">
        <v>5</v>
      </c>
      <c r="E220">
        <v>0</v>
      </c>
      <c r="F220">
        <v>0</v>
      </c>
      <c r="G220">
        <v>0</v>
      </c>
      <c r="H220">
        <v>56</v>
      </c>
      <c r="I220" s="1">
        <f t="shared" si="6"/>
        <v>8.9285714285714288E-2</v>
      </c>
      <c r="J220" t="str">
        <f t="shared" si="7"/>
        <v/>
      </c>
    </row>
    <row r="221" spans="1:10">
      <c r="A221" t="s">
        <v>71</v>
      </c>
      <c r="B221">
        <v>7</v>
      </c>
      <c r="C221">
        <v>4</v>
      </c>
      <c r="D221">
        <v>5</v>
      </c>
      <c r="E221">
        <v>0</v>
      </c>
      <c r="F221">
        <v>0</v>
      </c>
      <c r="G221">
        <v>0</v>
      </c>
      <c r="H221">
        <v>56</v>
      </c>
      <c r="I221" s="1">
        <f t="shared" si="6"/>
        <v>8.9285714285714288E-2</v>
      </c>
      <c r="J221" t="str">
        <f t="shared" si="7"/>
        <v/>
      </c>
    </row>
    <row r="222" spans="1:10">
      <c r="A222" t="s">
        <v>71</v>
      </c>
      <c r="B222">
        <v>7</v>
      </c>
      <c r="C222">
        <v>5</v>
      </c>
      <c r="D222">
        <v>17</v>
      </c>
      <c r="E222">
        <v>0</v>
      </c>
      <c r="F222">
        <v>0</v>
      </c>
      <c r="G222">
        <v>0</v>
      </c>
      <c r="H222">
        <v>56</v>
      </c>
      <c r="I222" s="1">
        <f t="shared" si="6"/>
        <v>0.30357142857142855</v>
      </c>
      <c r="J222" t="str">
        <f t="shared" si="7"/>
        <v/>
      </c>
    </row>
    <row r="223" spans="1:10">
      <c r="A223" t="s">
        <v>71</v>
      </c>
      <c r="B223">
        <v>7</v>
      </c>
      <c r="C223">
        <v>6</v>
      </c>
      <c r="D223">
        <v>17</v>
      </c>
      <c r="E223">
        <v>0</v>
      </c>
      <c r="F223">
        <v>0</v>
      </c>
      <c r="G223">
        <v>0</v>
      </c>
      <c r="H223">
        <v>56</v>
      </c>
      <c r="I223" s="1">
        <f t="shared" si="6"/>
        <v>0.30357142857142855</v>
      </c>
      <c r="J223" t="str">
        <f t="shared" si="7"/>
        <v/>
      </c>
    </row>
    <row r="224" spans="1:10">
      <c r="A224" t="s">
        <v>71</v>
      </c>
      <c r="B224">
        <v>7</v>
      </c>
      <c r="C224">
        <v>7</v>
      </c>
      <c r="D224">
        <v>30</v>
      </c>
      <c r="E224">
        <v>0</v>
      </c>
      <c r="F224">
        <v>0</v>
      </c>
      <c r="G224">
        <v>0</v>
      </c>
      <c r="H224">
        <v>56</v>
      </c>
      <c r="I224" s="1">
        <f t="shared" si="6"/>
        <v>0.5357142857142857</v>
      </c>
      <c r="J224" t="str">
        <f t="shared" si="7"/>
        <v/>
      </c>
    </row>
    <row r="225" spans="1:10">
      <c r="A225" t="s">
        <v>71</v>
      </c>
      <c r="B225">
        <v>7</v>
      </c>
      <c r="C225">
        <v>8</v>
      </c>
      <c r="D225">
        <v>30</v>
      </c>
      <c r="E225">
        <v>0</v>
      </c>
      <c r="F225">
        <v>0</v>
      </c>
      <c r="G225">
        <v>0</v>
      </c>
      <c r="H225">
        <v>56</v>
      </c>
      <c r="I225" s="1">
        <f t="shared" si="6"/>
        <v>0.5357142857142857</v>
      </c>
      <c r="J225" t="str">
        <f t="shared" si="7"/>
        <v/>
      </c>
    </row>
    <row r="226" spans="1:10">
      <c r="A226" t="s">
        <v>71</v>
      </c>
      <c r="B226">
        <v>7</v>
      </c>
      <c r="C226">
        <v>9</v>
      </c>
      <c r="D226">
        <v>56</v>
      </c>
      <c r="E226">
        <v>0</v>
      </c>
      <c r="F226">
        <v>0</v>
      </c>
      <c r="G226">
        <v>0</v>
      </c>
      <c r="H226">
        <v>56</v>
      </c>
      <c r="I226" s="1">
        <f t="shared" si="6"/>
        <v>1</v>
      </c>
      <c r="J226" t="str">
        <f t="shared" si="7"/>
        <v/>
      </c>
    </row>
    <row r="227" spans="1:10">
      <c r="A227" t="s">
        <v>71</v>
      </c>
      <c r="B227">
        <v>7</v>
      </c>
      <c r="C227">
        <v>10</v>
      </c>
      <c r="D227">
        <v>56</v>
      </c>
      <c r="E227">
        <v>0</v>
      </c>
      <c r="F227">
        <v>0</v>
      </c>
      <c r="G227">
        <v>0</v>
      </c>
      <c r="H227">
        <v>56</v>
      </c>
      <c r="I227" s="1">
        <f t="shared" si="6"/>
        <v>1</v>
      </c>
      <c r="J227" t="str">
        <f t="shared" si="7"/>
        <v/>
      </c>
    </row>
    <row r="228" spans="1:10">
      <c r="A228" t="s">
        <v>71</v>
      </c>
      <c r="B228">
        <v>8</v>
      </c>
      <c r="C228">
        <v>1</v>
      </c>
      <c r="D228">
        <v>5</v>
      </c>
      <c r="E228">
        <v>0</v>
      </c>
      <c r="F228">
        <v>0</v>
      </c>
      <c r="G228">
        <v>0</v>
      </c>
      <c r="H228">
        <v>86</v>
      </c>
      <c r="I228" s="1">
        <f t="shared" si="6"/>
        <v>5.8139534883720929E-2</v>
      </c>
      <c r="J228" t="str">
        <f t="shared" si="7"/>
        <v/>
      </c>
    </row>
    <row r="229" spans="1:10">
      <c r="A229" t="s">
        <v>71</v>
      </c>
      <c r="B229">
        <v>8</v>
      </c>
      <c r="C229">
        <v>2</v>
      </c>
      <c r="D229">
        <v>17</v>
      </c>
      <c r="E229">
        <v>0</v>
      </c>
      <c r="F229">
        <v>0</v>
      </c>
      <c r="G229">
        <v>0</v>
      </c>
      <c r="H229">
        <v>86</v>
      </c>
      <c r="I229" s="1">
        <f t="shared" si="6"/>
        <v>0.19767441860465115</v>
      </c>
      <c r="J229" t="str">
        <f t="shared" si="7"/>
        <v/>
      </c>
    </row>
    <row r="230" spans="1:10">
      <c r="A230" t="s">
        <v>71</v>
      </c>
      <c r="B230">
        <v>8</v>
      </c>
      <c r="C230">
        <v>3</v>
      </c>
      <c r="D230">
        <v>20</v>
      </c>
      <c r="E230">
        <v>0</v>
      </c>
      <c r="F230">
        <v>1</v>
      </c>
      <c r="G230">
        <v>0</v>
      </c>
      <c r="H230">
        <v>86</v>
      </c>
      <c r="I230" s="1">
        <f t="shared" si="6"/>
        <v>0.23255813953488372</v>
      </c>
      <c r="J230" t="str">
        <f t="shared" si="7"/>
        <v/>
      </c>
    </row>
    <row r="231" spans="1:10">
      <c r="A231" t="s">
        <v>71</v>
      </c>
      <c r="B231">
        <v>8</v>
      </c>
      <c r="C231">
        <v>4</v>
      </c>
      <c r="D231">
        <v>32</v>
      </c>
      <c r="E231">
        <v>0</v>
      </c>
      <c r="F231">
        <v>1</v>
      </c>
      <c r="G231">
        <v>0</v>
      </c>
      <c r="H231">
        <v>86</v>
      </c>
      <c r="I231" s="1">
        <f t="shared" si="6"/>
        <v>0.37209302325581395</v>
      </c>
      <c r="J231" t="str">
        <f t="shared" si="7"/>
        <v/>
      </c>
    </row>
    <row r="232" spans="1:10">
      <c r="A232" t="s">
        <v>71</v>
      </c>
      <c r="B232">
        <v>8</v>
      </c>
      <c r="C232">
        <v>5</v>
      </c>
      <c r="D232">
        <v>32</v>
      </c>
      <c r="E232">
        <v>0</v>
      </c>
      <c r="F232">
        <v>1</v>
      </c>
      <c r="G232">
        <v>0</v>
      </c>
      <c r="H232">
        <v>86</v>
      </c>
      <c r="I232" s="1">
        <f t="shared" si="6"/>
        <v>0.37209302325581395</v>
      </c>
      <c r="J232" t="str">
        <f t="shared" si="7"/>
        <v/>
      </c>
    </row>
    <row r="233" spans="1:10">
      <c r="A233" t="s">
        <v>71</v>
      </c>
      <c r="B233">
        <v>8</v>
      </c>
      <c r="C233">
        <v>6</v>
      </c>
      <c r="D233">
        <v>69</v>
      </c>
      <c r="E233">
        <v>0</v>
      </c>
      <c r="F233">
        <v>1</v>
      </c>
      <c r="G233">
        <v>0</v>
      </c>
      <c r="H233">
        <v>86</v>
      </c>
      <c r="I233" s="1">
        <f t="shared" si="6"/>
        <v>0.80232558139534882</v>
      </c>
      <c r="J233" t="str">
        <f t="shared" si="7"/>
        <v/>
      </c>
    </row>
    <row r="234" spans="1:10">
      <c r="A234" t="s">
        <v>71</v>
      </c>
      <c r="B234">
        <v>8</v>
      </c>
      <c r="C234">
        <v>7</v>
      </c>
      <c r="D234">
        <v>69</v>
      </c>
      <c r="E234">
        <v>0</v>
      </c>
      <c r="F234">
        <v>1</v>
      </c>
      <c r="G234">
        <v>0</v>
      </c>
      <c r="H234">
        <v>86</v>
      </c>
      <c r="I234" s="1">
        <f t="shared" si="6"/>
        <v>0.80232558139534882</v>
      </c>
      <c r="J234" t="str">
        <f t="shared" si="7"/>
        <v/>
      </c>
    </row>
    <row r="235" spans="1:10">
      <c r="A235" t="s">
        <v>71</v>
      </c>
      <c r="B235">
        <v>8</v>
      </c>
      <c r="C235">
        <v>8</v>
      </c>
      <c r="D235">
        <v>71</v>
      </c>
      <c r="E235">
        <v>0</v>
      </c>
      <c r="F235">
        <v>1</v>
      </c>
      <c r="G235">
        <v>0</v>
      </c>
      <c r="H235">
        <v>86</v>
      </c>
      <c r="I235" s="1">
        <f t="shared" si="6"/>
        <v>0.82558139534883723</v>
      </c>
      <c r="J235" t="str">
        <f t="shared" si="7"/>
        <v/>
      </c>
    </row>
    <row r="236" spans="1:10">
      <c r="A236" t="s">
        <v>71</v>
      </c>
      <c r="B236">
        <v>8</v>
      </c>
      <c r="C236">
        <v>9</v>
      </c>
      <c r="D236">
        <v>76</v>
      </c>
      <c r="E236">
        <v>0</v>
      </c>
      <c r="F236">
        <v>1</v>
      </c>
      <c r="G236">
        <v>0</v>
      </c>
      <c r="H236">
        <v>86</v>
      </c>
      <c r="I236" s="1">
        <f t="shared" si="6"/>
        <v>0.88372093023255816</v>
      </c>
      <c r="J236" t="str">
        <f t="shared" si="7"/>
        <v/>
      </c>
    </row>
    <row r="237" spans="1:10">
      <c r="A237" t="s">
        <v>71</v>
      </c>
      <c r="B237">
        <v>8</v>
      </c>
      <c r="C237">
        <v>10</v>
      </c>
      <c r="D237">
        <v>80</v>
      </c>
      <c r="E237">
        <v>0</v>
      </c>
      <c r="F237">
        <v>1</v>
      </c>
      <c r="G237">
        <v>0</v>
      </c>
      <c r="H237">
        <v>86</v>
      </c>
      <c r="I237" s="1">
        <f t="shared" si="6"/>
        <v>0.93023255813953487</v>
      </c>
      <c r="J237" t="str">
        <f t="shared" si="7"/>
        <v/>
      </c>
    </row>
    <row r="238" spans="1:10">
      <c r="A238" t="s">
        <v>71</v>
      </c>
      <c r="B238">
        <v>8</v>
      </c>
      <c r="C238">
        <v>11</v>
      </c>
      <c r="D238">
        <v>83</v>
      </c>
      <c r="E238">
        <v>0</v>
      </c>
      <c r="F238">
        <v>1</v>
      </c>
      <c r="G238">
        <v>0</v>
      </c>
      <c r="H238">
        <v>86</v>
      </c>
      <c r="I238" s="1">
        <f t="shared" si="6"/>
        <v>0.96511627906976749</v>
      </c>
      <c r="J238" t="str">
        <f t="shared" si="7"/>
        <v/>
      </c>
    </row>
    <row r="239" spans="1:10">
      <c r="A239" t="s">
        <v>71</v>
      </c>
      <c r="B239">
        <v>8</v>
      </c>
      <c r="C239">
        <v>12</v>
      </c>
      <c r="D239">
        <v>86</v>
      </c>
      <c r="E239">
        <v>0</v>
      </c>
      <c r="F239">
        <v>0</v>
      </c>
      <c r="G239">
        <v>0</v>
      </c>
      <c r="H239">
        <v>86</v>
      </c>
      <c r="I239" s="1">
        <f t="shared" si="6"/>
        <v>1</v>
      </c>
      <c r="J239" t="str">
        <f t="shared" si="7"/>
        <v/>
      </c>
    </row>
    <row r="240" spans="1:10">
      <c r="A240" t="s">
        <v>71</v>
      </c>
      <c r="B240">
        <v>9</v>
      </c>
      <c r="C240">
        <v>1</v>
      </c>
      <c r="D240">
        <v>5</v>
      </c>
      <c r="E240">
        <v>0</v>
      </c>
      <c r="F240">
        <v>0</v>
      </c>
      <c r="G240">
        <v>0</v>
      </c>
      <c r="H240">
        <v>46</v>
      </c>
      <c r="I240" s="1">
        <f t="shared" si="6"/>
        <v>0.10869565217391304</v>
      </c>
      <c r="J240" t="str">
        <f t="shared" si="7"/>
        <v/>
      </c>
    </row>
    <row r="241" spans="1:10">
      <c r="A241" t="s">
        <v>71</v>
      </c>
      <c r="B241">
        <v>9</v>
      </c>
      <c r="C241">
        <v>2</v>
      </c>
      <c r="D241">
        <v>10</v>
      </c>
      <c r="E241">
        <v>0</v>
      </c>
      <c r="F241">
        <v>0</v>
      </c>
      <c r="G241">
        <v>0</v>
      </c>
      <c r="H241">
        <v>46</v>
      </c>
      <c r="I241" s="1">
        <f t="shared" si="6"/>
        <v>0.21739130434782608</v>
      </c>
      <c r="J241" t="str">
        <f t="shared" si="7"/>
        <v/>
      </c>
    </row>
    <row r="242" spans="1:10">
      <c r="A242" t="s">
        <v>71</v>
      </c>
      <c r="B242">
        <v>9</v>
      </c>
      <c r="C242">
        <v>3</v>
      </c>
      <c r="D242">
        <v>22</v>
      </c>
      <c r="E242">
        <v>0</v>
      </c>
      <c r="F242">
        <v>0</v>
      </c>
      <c r="G242">
        <v>0</v>
      </c>
      <c r="H242">
        <v>46</v>
      </c>
      <c r="I242" s="1">
        <f t="shared" si="6"/>
        <v>0.47826086956521741</v>
      </c>
      <c r="J242" t="str">
        <f t="shared" si="7"/>
        <v/>
      </c>
    </row>
    <row r="243" spans="1:10">
      <c r="A243" t="s">
        <v>71</v>
      </c>
      <c r="B243">
        <v>9</v>
      </c>
      <c r="C243">
        <v>4</v>
      </c>
      <c r="D243">
        <v>46</v>
      </c>
      <c r="E243">
        <v>0</v>
      </c>
      <c r="F243">
        <v>0</v>
      </c>
      <c r="G243">
        <v>0</v>
      </c>
      <c r="H243">
        <v>46</v>
      </c>
      <c r="I243" s="1">
        <f t="shared" si="6"/>
        <v>1</v>
      </c>
      <c r="J243" t="str">
        <f t="shared" si="7"/>
        <v/>
      </c>
    </row>
    <row r="244" spans="1:10">
      <c r="A244" t="s">
        <v>71</v>
      </c>
      <c r="B244">
        <v>10</v>
      </c>
      <c r="C244">
        <v>1</v>
      </c>
      <c r="D244">
        <v>2</v>
      </c>
      <c r="E244">
        <v>0</v>
      </c>
      <c r="F244">
        <v>0</v>
      </c>
      <c r="G244">
        <v>0</v>
      </c>
      <c r="H244">
        <v>30</v>
      </c>
      <c r="I244" s="1">
        <f t="shared" si="6"/>
        <v>6.6666666666666666E-2</v>
      </c>
      <c r="J244" t="str">
        <f t="shared" si="7"/>
        <v/>
      </c>
    </row>
    <row r="245" spans="1:10">
      <c r="A245" t="s">
        <v>71</v>
      </c>
      <c r="B245">
        <v>10</v>
      </c>
      <c r="C245">
        <v>2</v>
      </c>
      <c r="D245">
        <v>9</v>
      </c>
      <c r="E245">
        <v>0</v>
      </c>
      <c r="F245">
        <v>0</v>
      </c>
      <c r="G245">
        <v>0</v>
      </c>
      <c r="H245">
        <v>30</v>
      </c>
      <c r="I245" s="1">
        <f t="shared" si="6"/>
        <v>0.3</v>
      </c>
      <c r="J245" t="str">
        <f t="shared" si="7"/>
        <v/>
      </c>
    </row>
    <row r="246" spans="1:10">
      <c r="A246" t="s">
        <v>71</v>
      </c>
      <c r="B246">
        <v>10</v>
      </c>
      <c r="C246">
        <v>3</v>
      </c>
      <c r="D246">
        <v>16</v>
      </c>
      <c r="E246">
        <v>0</v>
      </c>
      <c r="F246">
        <v>0</v>
      </c>
      <c r="G246">
        <v>0</v>
      </c>
      <c r="H246">
        <v>30</v>
      </c>
      <c r="I246" s="1">
        <f t="shared" si="6"/>
        <v>0.53333333333333333</v>
      </c>
      <c r="J246" t="str">
        <f t="shared" si="7"/>
        <v/>
      </c>
    </row>
    <row r="247" spans="1:10">
      <c r="A247" t="s">
        <v>71</v>
      </c>
      <c r="B247">
        <v>10</v>
      </c>
      <c r="C247">
        <v>4</v>
      </c>
      <c r="D247">
        <v>16</v>
      </c>
      <c r="E247">
        <v>0</v>
      </c>
      <c r="F247">
        <v>0</v>
      </c>
      <c r="G247">
        <v>0</v>
      </c>
      <c r="H247">
        <v>30</v>
      </c>
      <c r="I247" s="1">
        <f t="shared" si="6"/>
        <v>0.53333333333333333</v>
      </c>
      <c r="J247" t="str">
        <f t="shared" si="7"/>
        <v/>
      </c>
    </row>
    <row r="248" spans="1:10">
      <c r="A248" t="s">
        <v>71</v>
      </c>
      <c r="B248">
        <v>10</v>
      </c>
      <c r="C248">
        <v>5</v>
      </c>
      <c r="D248">
        <v>23</v>
      </c>
      <c r="E248">
        <v>0</v>
      </c>
      <c r="F248">
        <v>0</v>
      </c>
      <c r="G248">
        <v>0</v>
      </c>
      <c r="H248">
        <v>30</v>
      </c>
      <c r="I248" s="1">
        <f t="shared" si="6"/>
        <v>0.76666666666666672</v>
      </c>
      <c r="J248" t="str">
        <f t="shared" si="7"/>
        <v/>
      </c>
    </row>
    <row r="249" spans="1:10">
      <c r="A249" t="s">
        <v>71</v>
      </c>
      <c r="B249">
        <v>10</v>
      </c>
      <c r="C249">
        <v>6</v>
      </c>
      <c r="D249">
        <v>23</v>
      </c>
      <c r="E249">
        <v>0</v>
      </c>
      <c r="F249">
        <v>0</v>
      </c>
      <c r="G249">
        <v>0</v>
      </c>
      <c r="H249">
        <v>30</v>
      </c>
      <c r="I249" s="1">
        <f t="shared" si="6"/>
        <v>0.76666666666666672</v>
      </c>
      <c r="J249" t="str">
        <f t="shared" si="7"/>
        <v/>
      </c>
    </row>
    <row r="250" spans="1:10">
      <c r="A250" t="s">
        <v>71</v>
      </c>
      <c r="B250">
        <v>10</v>
      </c>
      <c r="C250">
        <v>7</v>
      </c>
      <c r="D250">
        <v>23</v>
      </c>
      <c r="E250">
        <v>0</v>
      </c>
      <c r="F250">
        <v>0</v>
      </c>
      <c r="G250">
        <v>0</v>
      </c>
      <c r="H250">
        <v>30</v>
      </c>
      <c r="I250" s="1">
        <f t="shared" si="6"/>
        <v>0.76666666666666672</v>
      </c>
      <c r="J250" t="str">
        <f t="shared" si="7"/>
        <v/>
      </c>
    </row>
    <row r="251" spans="1:10">
      <c r="A251" t="s">
        <v>71</v>
      </c>
      <c r="B251">
        <v>10</v>
      </c>
      <c r="C251">
        <v>8</v>
      </c>
      <c r="D251">
        <v>27</v>
      </c>
      <c r="E251">
        <v>0</v>
      </c>
      <c r="F251">
        <v>0</v>
      </c>
      <c r="G251">
        <v>0</v>
      </c>
      <c r="H251">
        <v>30</v>
      </c>
      <c r="I251" s="1">
        <f t="shared" si="6"/>
        <v>0.9</v>
      </c>
      <c r="J251" t="str">
        <f t="shared" si="7"/>
        <v/>
      </c>
    </row>
    <row r="252" spans="1:10">
      <c r="A252" t="s">
        <v>71</v>
      </c>
      <c r="B252">
        <v>10</v>
      </c>
      <c r="C252">
        <v>9</v>
      </c>
      <c r="D252">
        <v>27</v>
      </c>
      <c r="E252">
        <v>0</v>
      </c>
      <c r="F252">
        <v>0</v>
      </c>
      <c r="G252">
        <v>0</v>
      </c>
      <c r="H252">
        <v>30</v>
      </c>
      <c r="I252" s="1">
        <f t="shared" si="6"/>
        <v>0.9</v>
      </c>
      <c r="J252" t="str">
        <f t="shared" si="7"/>
        <v/>
      </c>
    </row>
    <row r="253" spans="1:10">
      <c r="A253" t="s">
        <v>71</v>
      </c>
      <c r="B253">
        <v>10</v>
      </c>
      <c r="C253">
        <v>10</v>
      </c>
      <c r="D253">
        <v>27</v>
      </c>
      <c r="E253">
        <v>0</v>
      </c>
      <c r="F253">
        <v>0</v>
      </c>
      <c r="G253">
        <v>0</v>
      </c>
      <c r="H253">
        <v>30</v>
      </c>
      <c r="I253" s="1">
        <f t="shared" si="6"/>
        <v>0.9</v>
      </c>
      <c r="J253" t="str">
        <f t="shared" si="7"/>
        <v/>
      </c>
    </row>
    <row r="254" spans="1:10">
      <c r="A254" t="s">
        <v>71</v>
      </c>
      <c r="B254">
        <v>10</v>
      </c>
      <c r="C254">
        <v>11</v>
      </c>
      <c r="D254">
        <v>27</v>
      </c>
      <c r="E254">
        <v>0</v>
      </c>
      <c r="F254">
        <v>0</v>
      </c>
      <c r="G254">
        <v>0</v>
      </c>
      <c r="H254">
        <v>30</v>
      </c>
      <c r="I254" s="1">
        <f t="shared" si="6"/>
        <v>0.9</v>
      </c>
      <c r="J254" t="str">
        <f t="shared" si="7"/>
        <v/>
      </c>
    </row>
    <row r="255" spans="1:10">
      <c r="A255" t="s">
        <v>71</v>
      </c>
      <c r="B255">
        <v>10</v>
      </c>
      <c r="C255">
        <v>12</v>
      </c>
      <c r="D255">
        <v>30</v>
      </c>
      <c r="E255">
        <v>0</v>
      </c>
      <c r="F255">
        <v>0</v>
      </c>
      <c r="G255">
        <v>0</v>
      </c>
      <c r="H255">
        <v>30</v>
      </c>
      <c r="I255" s="1">
        <f t="shared" si="6"/>
        <v>1</v>
      </c>
      <c r="J255" t="str">
        <f t="shared" si="7"/>
        <v/>
      </c>
    </row>
    <row r="256" spans="1:10">
      <c r="A256" t="s">
        <v>71</v>
      </c>
      <c r="B256">
        <v>10</v>
      </c>
      <c r="C256">
        <v>13</v>
      </c>
      <c r="D256">
        <v>30</v>
      </c>
      <c r="E256">
        <v>0</v>
      </c>
      <c r="F256">
        <v>0</v>
      </c>
      <c r="G256">
        <v>0</v>
      </c>
      <c r="H256">
        <v>30</v>
      </c>
      <c r="I256" s="1">
        <f t="shared" si="6"/>
        <v>1</v>
      </c>
      <c r="J256" t="str">
        <f t="shared" si="7"/>
        <v/>
      </c>
    </row>
    <row r="257" spans="1:10">
      <c r="A257" t="s">
        <v>71</v>
      </c>
      <c r="B257">
        <v>10</v>
      </c>
      <c r="C257">
        <v>14</v>
      </c>
      <c r="D257">
        <v>30</v>
      </c>
      <c r="E257">
        <v>0</v>
      </c>
      <c r="F257">
        <v>0</v>
      </c>
      <c r="G257">
        <v>0</v>
      </c>
      <c r="H257">
        <v>30</v>
      </c>
      <c r="I257" s="1">
        <f t="shared" si="6"/>
        <v>1</v>
      </c>
      <c r="J257" t="str">
        <f t="shared" si="7"/>
        <v/>
      </c>
    </row>
    <row r="258" spans="1:10">
      <c r="A258" t="s">
        <v>71</v>
      </c>
      <c r="B258">
        <v>10</v>
      </c>
      <c r="C258">
        <v>15</v>
      </c>
      <c r="D258">
        <v>30</v>
      </c>
      <c r="E258">
        <v>0</v>
      </c>
      <c r="F258">
        <v>0</v>
      </c>
      <c r="G258">
        <v>0</v>
      </c>
      <c r="H258">
        <v>30</v>
      </c>
      <c r="I258" s="1">
        <f t="shared" si="6"/>
        <v>1</v>
      </c>
      <c r="J258" t="str">
        <f t="shared" si="7"/>
        <v/>
      </c>
    </row>
    <row r="259" spans="1:10">
      <c r="A259" t="s">
        <v>71</v>
      </c>
      <c r="B259">
        <v>10</v>
      </c>
      <c r="C259">
        <v>16</v>
      </c>
      <c r="D259">
        <v>30</v>
      </c>
      <c r="E259">
        <v>0</v>
      </c>
      <c r="F259">
        <v>0</v>
      </c>
      <c r="G259">
        <v>0</v>
      </c>
      <c r="H259">
        <v>30</v>
      </c>
      <c r="I259" s="1">
        <f t="shared" ref="I259:I322" si="8">D259/H259</f>
        <v>1</v>
      </c>
      <c r="J259" t="str">
        <f t="shared" ref="J259:J322" si="9">IF(I259&gt;1,"!","")</f>
        <v/>
      </c>
    </row>
    <row r="260" spans="1:10">
      <c r="A260" t="s">
        <v>71</v>
      </c>
      <c r="B260">
        <v>10</v>
      </c>
      <c r="C260">
        <v>17</v>
      </c>
      <c r="D260">
        <v>30</v>
      </c>
      <c r="E260">
        <v>0</v>
      </c>
      <c r="F260">
        <v>0</v>
      </c>
      <c r="G260">
        <v>0</v>
      </c>
      <c r="H260">
        <v>30</v>
      </c>
      <c r="I260" s="1">
        <f t="shared" si="8"/>
        <v>1</v>
      </c>
      <c r="J260" t="str">
        <f t="shared" si="9"/>
        <v/>
      </c>
    </row>
    <row r="261" spans="1:10">
      <c r="A261" t="s">
        <v>71</v>
      </c>
      <c r="B261">
        <v>10</v>
      </c>
      <c r="C261">
        <v>18</v>
      </c>
      <c r="D261">
        <v>30</v>
      </c>
      <c r="E261">
        <v>0</v>
      </c>
      <c r="F261">
        <v>0</v>
      </c>
      <c r="G261">
        <v>0</v>
      </c>
      <c r="H261">
        <v>30</v>
      </c>
      <c r="I261" s="1">
        <f t="shared" si="8"/>
        <v>1</v>
      </c>
      <c r="J261" t="str">
        <f t="shared" si="9"/>
        <v/>
      </c>
    </row>
    <row r="262" spans="1:10">
      <c r="A262" t="s">
        <v>71</v>
      </c>
      <c r="B262">
        <v>10</v>
      </c>
      <c r="C262">
        <v>19</v>
      </c>
      <c r="D262">
        <v>30</v>
      </c>
      <c r="E262">
        <v>0</v>
      </c>
      <c r="F262">
        <v>0</v>
      </c>
      <c r="G262">
        <v>0</v>
      </c>
      <c r="H262">
        <v>30</v>
      </c>
      <c r="I262" s="1">
        <f t="shared" si="8"/>
        <v>1</v>
      </c>
      <c r="J262" t="str">
        <f t="shared" si="9"/>
        <v/>
      </c>
    </row>
    <row r="263" spans="1:10">
      <c r="A263" t="s">
        <v>71</v>
      </c>
      <c r="B263">
        <v>10</v>
      </c>
      <c r="C263">
        <v>20</v>
      </c>
      <c r="D263">
        <v>30</v>
      </c>
      <c r="E263">
        <v>0</v>
      </c>
      <c r="F263">
        <v>0</v>
      </c>
      <c r="G263">
        <v>0</v>
      </c>
      <c r="H263">
        <v>30</v>
      </c>
      <c r="I263" s="1">
        <f t="shared" si="8"/>
        <v>1</v>
      </c>
      <c r="J263" t="str">
        <f t="shared" si="9"/>
        <v/>
      </c>
    </row>
    <row r="264" spans="1:10">
      <c r="A264" t="s">
        <v>71</v>
      </c>
      <c r="B264">
        <v>10</v>
      </c>
      <c r="C264">
        <v>21</v>
      </c>
      <c r="D264">
        <v>30</v>
      </c>
      <c r="E264">
        <v>0</v>
      </c>
      <c r="F264">
        <v>0</v>
      </c>
      <c r="G264">
        <v>0</v>
      </c>
      <c r="H264">
        <v>30</v>
      </c>
      <c r="I264" s="1">
        <f t="shared" si="8"/>
        <v>1</v>
      </c>
      <c r="J264" t="str">
        <f t="shared" si="9"/>
        <v/>
      </c>
    </row>
    <row r="265" spans="1:10">
      <c r="A265" t="s">
        <v>71</v>
      </c>
      <c r="B265">
        <v>10</v>
      </c>
      <c r="C265">
        <v>22</v>
      </c>
      <c r="D265">
        <v>30</v>
      </c>
      <c r="E265">
        <v>0</v>
      </c>
      <c r="F265">
        <v>0</v>
      </c>
      <c r="G265">
        <v>0</v>
      </c>
      <c r="H265">
        <v>30</v>
      </c>
      <c r="I265" s="1">
        <f t="shared" si="8"/>
        <v>1</v>
      </c>
      <c r="J265" t="str">
        <f t="shared" si="9"/>
        <v/>
      </c>
    </row>
    <row r="266" spans="1:10">
      <c r="A266" t="s">
        <v>71</v>
      </c>
      <c r="B266">
        <v>10</v>
      </c>
      <c r="C266">
        <v>23</v>
      </c>
      <c r="D266">
        <v>30</v>
      </c>
      <c r="E266">
        <v>0</v>
      </c>
      <c r="F266">
        <v>0</v>
      </c>
      <c r="G266">
        <v>0</v>
      </c>
      <c r="H266">
        <v>30</v>
      </c>
      <c r="I266" s="1">
        <f t="shared" si="8"/>
        <v>1</v>
      </c>
      <c r="J266" t="str">
        <f t="shared" si="9"/>
        <v/>
      </c>
    </row>
    <row r="267" spans="1:10">
      <c r="A267" t="s">
        <v>71</v>
      </c>
      <c r="B267">
        <v>10</v>
      </c>
      <c r="C267">
        <v>24</v>
      </c>
      <c r="D267">
        <v>30</v>
      </c>
      <c r="E267">
        <v>0</v>
      </c>
      <c r="F267">
        <v>0</v>
      </c>
      <c r="G267">
        <v>0</v>
      </c>
      <c r="H267">
        <v>30</v>
      </c>
      <c r="I267" s="1">
        <f t="shared" si="8"/>
        <v>1</v>
      </c>
      <c r="J267" t="str">
        <f t="shared" si="9"/>
        <v/>
      </c>
    </row>
    <row r="268" spans="1:10">
      <c r="A268" t="s">
        <v>71</v>
      </c>
      <c r="B268">
        <v>10</v>
      </c>
      <c r="C268">
        <v>25</v>
      </c>
      <c r="D268">
        <v>30</v>
      </c>
      <c r="E268">
        <v>0</v>
      </c>
      <c r="F268">
        <v>0</v>
      </c>
      <c r="G268">
        <v>0</v>
      </c>
      <c r="H268">
        <v>30</v>
      </c>
      <c r="I268" s="1">
        <f t="shared" si="8"/>
        <v>1</v>
      </c>
      <c r="J268" t="str">
        <f t="shared" si="9"/>
        <v/>
      </c>
    </row>
    <row r="269" spans="1:10">
      <c r="A269" t="s">
        <v>71</v>
      </c>
      <c r="B269">
        <v>10</v>
      </c>
      <c r="C269">
        <v>26</v>
      </c>
      <c r="D269">
        <v>30</v>
      </c>
      <c r="E269">
        <v>0</v>
      </c>
      <c r="F269">
        <v>0</v>
      </c>
      <c r="G269">
        <v>0</v>
      </c>
      <c r="H269">
        <v>30</v>
      </c>
      <c r="I269" s="1">
        <f t="shared" si="8"/>
        <v>1</v>
      </c>
      <c r="J269" t="str">
        <f t="shared" si="9"/>
        <v/>
      </c>
    </row>
    <row r="270" spans="1:10">
      <c r="A270" t="s">
        <v>71</v>
      </c>
      <c r="B270">
        <v>10</v>
      </c>
      <c r="C270">
        <v>27</v>
      </c>
      <c r="D270">
        <v>30</v>
      </c>
      <c r="E270">
        <v>0</v>
      </c>
      <c r="F270">
        <v>0</v>
      </c>
      <c r="G270">
        <v>0</v>
      </c>
      <c r="H270">
        <v>30</v>
      </c>
      <c r="I270" s="1">
        <f t="shared" si="8"/>
        <v>1</v>
      </c>
      <c r="J270" t="str">
        <f t="shared" si="9"/>
        <v/>
      </c>
    </row>
    <row r="271" spans="1:10">
      <c r="A271" t="s">
        <v>71</v>
      </c>
      <c r="B271">
        <v>10</v>
      </c>
      <c r="C271">
        <v>28</v>
      </c>
      <c r="D271">
        <v>30</v>
      </c>
      <c r="E271">
        <v>0</v>
      </c>
      <c r="F271">
        <v>0</v>
      </c>
      <c r="G271">
        <v>0</v>
      </c>
      <c r="H271">
        <v>30</v>
      </c>
      <c r="I271" s="1">
        <f t="shared" si="8"/>
        <v>1</v>
      </c>
      <c r="J271" t="str">
        <f t="shared" si="9"/>
        <v/>
      </c>
    </row>
    <row r="272" spans="1:10">
      <c r="A272" t="s">
        <v>71</v>
      </c>
      <c r="B272">
        <v>10</v>
      </c>
      <c r="C272">
        <v>29</v>
      </c>
      <c r="D272">
        <v>30</v>
      </c>
      <c r="E272">
        <v>0</v>
      </c>
      <c r="F272">
        <v>0</v>
      </c>
      <c r="G272">
        <v>0</v>
      </c>
      <c r="H272">
        <v>30</v>
      </c>
      <c r="I272" s="1">
        <f t="shared" si="8"/>
        <v>1</v>
      </c>
      <c r="J272" t="str">
        <f t="shared" si="9"/>
        <v/>
      </c>
    </row>
    <row r="273" spans="1:10">
      <c r="A273" t="s">
        <v>71</v>
      </c>
      <c r="B273">
        <v>10</v>
      </c>
      <c r="C273">
        <v>30</v>
      </c>
      <c r="D273">
        <v>30</v>
      </c>
      <c r="E273">
        <v>0</v>
      </c>
      <c r="F273">
        <v>0</v>
      </c>
      <c r="G273">
        <v>0</v>
      </c>
      <c r="H273">
        <v>30</v>
      </c>
      <c r="I273" s="1">
        <f t="shared" si="8"/>
        <v>1</v>
      </c>
      <c r="J273" t="str">
        <f t="shared" si="9"/>
        <v/>
      </c>
    </row>
    <row r="274" spans="1:10">
      <c r="A274" t="s">
        <v>71</v>
      </c>
      <c r="B274">
        <v>10</v>
      </c>
      <c r="C274">
        <v>31</v>
      </c>
      <c r="D274">
        <v>30</v>
      </c>
      <c r="E274">
        <v>0</v>
      </c>
      <c r="F274">
        <v>0</v>
      </c>
      <c r="G274">
        <v>0</v>
      </c>
      <c r="H274">
        <v>30</v>
      </c>
      <c r="I274" s="1">
        <f t="shared" si="8"/>
        <v>1</v>
      </c>
      <c r="J274" t="str">
        <f t="shared" si="9"/>
        <v/>
      </c>
    </row>
    <row r="275" spans="1:10">
      <c r="A275" t="s">
        <v>71</v>
      </c>
      <c r="B275">
        <v>10</v>
      </c>
      <c r="C275">
        <v>32</v>
      </c>
      <c r="D275">
        <v>30</v>
      </c>
      <c r="E275">
        <v>0</v>
      </c>
      <c r="F275">
        <v>0</v>
      </c>
      <c r="G275">
        <v>0</v>
      </c>
      <c r="H275">
        <v>30</v>
      </c>
      <c r="I275" s="1">
        <f t="shared" si="8"/>
        <v>1</v>
      </c>
      <c r="J275" t="str">
        <f t="shared" si="9"/>
        <v/>
      </c>
    </row>
    <row r="276" spans="1:10">
      <c r="A276" t="s">
        <v>112</v>
      </c>
      <c r="B276">
        <v>3</v>
      </c>
      <c r="C276">
        <v>1</v>
      </c>
      <c r="D276">
        <v>125</v>
      </c>
      <c r="E276">
        <v>0</v>
      </c>
      <c r="F276">
        <v>1</v>
      </c>
      <c r="G276">
        <v>0</v>
      </c>
      <c r="H276">
        <v>139</v>
      </c>
      <c r="I276" s="1">
        <f t="shared" si="8"/>
        <v>0.89928057553956831</v>
      </c>
      <c r="J276" t="str">
        <f t="shared" si="9"/>
        <v/>
      </c>
    </row>
    <row r="277" spans="1:10">
      <c r="A277" t="s">
        <v>112</v>
      </c>
      <c r="B277">
        <v>3</v>
      </c>
      <c r="C277">
        <v>2</v>
      </c>
      <c r="D277">
        <v>139</v>
      </c>
      <c r="E277">
        <v>0</v>
      </c>
      <c r="F277">
        <v>0</v>
      </c>
      <c r="G277">
        <v>0</v>
      </c>
      <c r="H277">
        <v>139</v>
      </c>
      <c r="I277" s="1">
        <f t="shared" si="8"/>
        <v>1</v>
      </c>
      <c r="J277" t="str">
        <f t="shared" si="9"/>
        <v/>
      </c>
    </row>
    <row r="278" spans="1:10">
      <c r="A278" t="s">
        <v>303</v>
      </c>
      <c r="B278">
        <v>2</v>
      </c>
      <c r="C278">
        <v>1</v>
      </c>
      <c r="D278">
        <v>15</v>
      </c>
      <c r="E278">
        <v>0</v>
      </c>
      <c r="F278">
        <v>0</v>
      </c>
      <c r="G278">
        <v>0</v>
      </c>
      <c r="H278">
        <v>240</v>
      </c>
      <c r="I278" s="1">
        <f t="shared" si="8"/>
        <v>6.25E-2</v>
      </c>
      <c r="J278" t="str">
        <f t="shared" si="9"/>
        <v/>
      </c>
    </row>
    <row r="279" spans="1:10">
      <c r="A279" t="s">
        <v>303</v>
      </c>
      <c r="B279">
        <v>2</v>
      </c>
      <c r="C279">
        <v>2</v>
      </c>
      <c r="D279">
        <v>59</v>
      </c>
      <c r="E279">
        <v>0</v>
      </c>
      <c r="F279">
        <v>0</v>
      </c>
      <c r="G279">
        <v>0</v>
      </c>
      <c r="H279">
        <v>240</v>
      </c>
      <c r="I279" s="1">
        <f t="shared" si="8"/>
        <v>0.24583333333333332</v>
      </c>
      <c r="J279" t="str">
        <f t="shared" si="9"/>
        <v/>
      </c>
    </row>
    <row r="280" spans="1:10">
      <c r="A280" t="s">
        <v>303</v>
      </c>
      <c r="B280">
        <v>2</v>
      </c>
      <c r="C280">
        <v>3</v>
      </c>
      <c r="D280">
        <v>240</v>
      </c>
      <c r="E280">
        <v>0</v>
      </c>
      <c r="F280">
        <v>0</v>
      </c>
      <c r="G280">
        <v>0</v>
      </c>
      <c r="H280">
        <v>240</v>
      </c>
      <c r="I280" s="1">
        <f t="shared" si="8"/>
        <v>1</v>
      </c>
      <c r="J280" t="str">
        <f t="shared" si="9"/>
        <v/>
      </c>
    </row>
    <row r="281" spans="1:10">
      <c r="A281" t="s">
        <v>113</v>
      </c>
      <c r="B281">
        <v>2</v>
      </c>
      <c r="C281">
        <v>1</v>
      </c>
      <c r="D281">
        <v>29</v>
      </c>
      <c r="E281">
        <v>0</v>
      </c>
      <c r="F281">
        <v>0</v>
      </c>
      <c r="G281">
        <v>0</v>
      </c>
      <c r="H281">
        <v>112</v>
      </c>
      <c r="I281" s="1">
        <f t="shared" si="8"/>
        <v>0.25892857142857145</v>
      </c>
      <c r="J281" t="str">
        <f t="shared" si="9"/>
        <v/>
      </c>
    </row>
    <row r="282" spans="1:10">
      <c r="A282" t="s">
        <v>113</v>
      </c>
      <c r="B282">
        <v>2</v>
      </c>
      <c r="C282">
        <v>2</v>
      </c>
      <c r="D282">
        <v>39</v>
      </c>
      <c r="E282">
        <v>0</v>
      </c>
      <c r="F282">
        <v>2</v>
      </c>
      <c r="G282">
        <v>0</v>
      </c>
      <c r="H282">
        <v>112</v>
      </c>
      <c r="I282" s="1">
        <f t="shared" si="8"/>
        <v>0.3482142857142857</v>
      </c>
      <c r="J282" t="str">
        <f t="shared" si="9"/>
        <v/>
      </c>
    </row>
    <row r="283" spans="1:10">
      <c r="A283" t="s">
        <v>113</v>
      </c>
      <c r="B283">
        <v>2</v>
      </c>
      <c r="C283">
        <v>3</v>
      </c>
      <c r="D283">
        <v>51</v>
      </c>
      <c r="E283">
        <v>0</v>
      </c>
      <c r="F283">
        <v>1</v>
      </c>
      <c r="G283">
        <v>0</v>
      </c>
      <c r="H283">
        <v>112</v>
      </c>
      <c r="I283" s="1">
        <f t="shared" si="8"/>
        <v>0.45535714285714285</v>
      </c>
      <c r="J283" t="str">
        <f t="shared" si="9"/>
        <v/>
      </c>
    </row>
    <row r="284" spans="1:10">
      <c r="A284" t="s">
        <v>113</v>
      </c>
      <c r="B284">
        <v>2</v>
      </c>
      <c r="C284">
        <v>4</v>
      </c>
      <c r="D284">
        <v>57</v>
      </c>
      <c r="E284">
        <v>0</v>
      </c>
      <c r="F284">
        <v>3</v>
      </c>
      <c r="G284">
        <v>0</v>
      </c>
      <c r="H284">
        <v>112</v>
      </c>
      <c r="I284" s="1">
        <f t="shared" si="8"/>
        <v>0.5089285714285714</v>
      </c>
      <c r="J284" t="str">
        <f t="shared" si="9"/>
        <v/>
      </c>
    </row>
    <row r="285" spans="1:10">
      <c r="A285" t="s">
        <v>113</v>
      </c>
      <c r="B285">
        <v>2</v>
      </c>
      <c r="C285">
        <v>5</v>
      </c>
      <c r="D285">
        <v>67</v>
      </c>
      <c r="E285">
        <v>0</v>
      </c>
      <c r="F285">
        <v>2</v>
      </c>
      <c r="G285">
        <v>0</v>
      </c>
      <c r="H285">
        <v>112</v>
      </c>
      <c r="I285" s="1">
        <f t="shared" si="8"/>
        <v>0.5982142857142857</v>
      </c>
      <c r="J285" t="str">
        <f t="shared" si="9"/>
        <v/>
      </c>
    </row>
    <row r="286" spans="1:10">
      <c r="A286" t="s">
        <v>113</v>
      </c>
      <c r="B286">
        <v>2</v>
      </c>
      <c r="C286">
        <v>6</v>
      </c>
      <c r="D286">
        <v>77</v>
      </c>
      <c r="E286">
        <v>0</v>
      </c>
      <c r="F286">
        <v>1</v>
      </c>
      <c r="G286">
        <v>0</v>
      </c>
      <c r="H286">
        <v>112</v>
      </c>
      <c r="I286" s="1">
        <f t="shared" si="8"/>
        <v>0.6875</v>
      </c>
      <c r="J286" t="str">
        <f t="shared" si="9"/>
        <v/>
      </c>
    </row>
    <row r="287" spans="1:10">
      <c r="A287" t="s">
        <v>113</v>
      </c>
      <c r="B287">
        <v>2</v>
      </c>
      <c r="C287">
        <v>7</v>
      </c>
      <c r="D287">
        <v>92</v>
      </c>
      <c r="E287">
        <v>0</v>
      </c>
      <c r="F287">
        <v>0</v>
      </c>
      <c r="G287">
        <v>0</v>
      </c>
      <c r="H287">
        <v>112</v>
      </c>
      <c r="I287" s="1">
        <f t="shared" si="8"/>
        <v>0.8214285714285714</v>
      </c>
      <c r="J287" t="str">
        <f t="shared" si="9"/>
        <v/>
      </c>
    </row>
    <row r="288" spans="1:10">
      <c r="A288" t="s">
        <v>113</v>
      </c>
      <c r="B288">
        <v>2</v>
      </c>
      <c r="C288">
        <v>8</v>
      </c>
      <c r="D288">
        <v>112</v>
      </c>
      <c r="E288">
        <v>0</v>
      </c>
      <c r="F288">
        <v>0</v>
      </c>
      <c r="G288">
        <v>0</v>
      </c>
      <c r="H288">
        <v>112</v>
      </c>
      <c r="I288" s="1">
        <f t="shared" si="8"/>
        <v>1</v>
      </c>
      <c r="J288" t="str">
        <f t="shared" si="9"/>
        <v/>
      </c>
    </row>
    <row r="289" spans="1:10">
      <c r="A289" t="s">
        <v>113</v>
      </c>
      <c r="B289">
        <v>3</v>
      </c>
      <c r="C289">
        <v>1</v>
      </c>
      <c r="D289">
        <v>20</v>
      </c>
      <c r="E289">
        <v>0</v>
      </c>
      <c r="F289">
        <v>0</v>
      </c>
      <c r="G289">
        <v>0</v>
      </c>
      <c r="H289">
        <v>175</v>
      </c>
      <c r="I289" s="1">
        <f t="shared" si="8"/>
        <v>0.11428571428571428</v>
      </c>
      <c r="J289" t="str">
        <f t="shared" si="9"/>
        <v/>
      </c>
    </row>
    <row r="290" spans="1:10">
      <c r="A290" t="s">
        <v>113</v>
      </c>
      <c r="B290">
        <v>3</v>
      </c>
      <c r="C290">
        <v>2</v>
      </c>
      <c r="D290">
        <v>32</v>
      </c>
      <c r="E290">
        <v>0</v>
      </c>
      <c r="F290">
        <v>3</v>
      </c>
      <c r="G290">
        <v>0</v>
      </c>
      <c r="H290">
        <v>175</v>
      </c>
      <c r="I290" s="1">
        <f t="shared" si="8"/>
        <v>0.18285714285714286</v>
      </c>
      <c r="J290" t="str">
        <f t="shared" si="9"/>
        <v/>
      </c>
    </row>
    <row r="291" spans="1:10">
      <c r="A291" t="s">
        <v>113</v>
      </c>
      <c r="B291">
        <v>3</v>
      </c>
      <c r="C291">
        <v>3</v>
      </c>
      <c r="D291">
        <v>66</v>
      </c>
      <c r="E291">
        <v>0</v>
      </c>
      <c r="F291">
        <v>2</v>
      </c>
      <c r="G291">
        <v>0</v>
      </c>
      <c r="H291">
        <v>175</v>
      </c>
      <c r="I291" s="1">
        <f t="shared" si="8"/>
        <v>0.37714285714285717</v>
      </c>
      <c r="J291" t="str">
        <f t="shared" si="9"/>
        <v/>
      </c>
    </row>
    <row r="292" spans="1:10">
      <c r="A292" t="s">
        <v>113</v>
      </c>
      <c r="B292">
        <v>3</v>
      </c>
      <c r="C292">
        <v>4</v>
      </c>
      <c r="D292">
        <v>100</v>
      </c>
      <c r="E292">
        <v>0</v>
      </c>
      <c r="F292">
        <v>1</v>
      </c>
      <c r="G292">
        <v>0</v>
      </c>
      <c r="H292">
        <v>175</v>
      </c>
      <c r="I292" s="1">
        <f t="shared" si="8"/>
        <v>0.5714285714285714</v>
      </c>
      <c r="J292" t="str">
        <f t="shared" si="9"/>
        <v/>
      </c>
    </row>
    <row r="293" spans="1:10">
      <c r="A293" t="s">
        <v>113</v>
      </c>
      <c r="B293">
        <v>3</v>
      </c>
      <c r="C293">
        <v>5</v>
      </c>
      <c r="D293">
        <v>156</v>
      </c>
      <c r="E293">
        <v>0</v>
      </c>
      <c r="F293">
        <v>0</v>
      </c>
      <c r="G293">
        <v>0</v>
      </c>
      <c r="H293">
        <v>175</v>
      </c>
      <c r="I293" s="1">
        <f t="shared" si="8"/>
        <v>0.89142857142857146</v>
      </c>
      <c r="J293" t="str">
        <f t="shared" si="9"/>
        <v/>
      </c>
    </row>
    <row r="294" spans="1:10">
      <c r="A294" t="s">
        <v>113</v>
      </c>
      <c r="B294">
        <v>3</v>
      </c>
      <c r="C294">
        <v>6</v>
      </c>
      <c r="D294">
        <v>175</v>
      </c>
      <c r="E294">
        <v>0</v>
      </c>
      <c r="F294">
        <v>0</v>
      </c>
      <c r="G294">
        <v>0</v>
      </c>
      <c r="H294">
        <v>175</v>
      </c>
      <c r="I294" s="1">
        <f t="shared" si="8"/>
        <v>1</v>
      </c>
      <c r="J294" t="str">
        <f t="shared" si="9"/>
        <v/>
      </c>
    </row>
    <row r="295" spans="1:10">
      <c r="A295" t="s">
        <v>113</v>
      </c>
      <c r="B295">
        <v>4</v>
      </c>
      <c r="C295">
        <v>1</v>
      </c>
      <c r="D295">
        <v>20</v>
      </c>
      <c r="E295">
        <v>0</v>
      </c>
      <c r="F295">
        <v>0</v>
      </c>
      <c r="G295">
        <v>0</v>
      </c>
      <c r="H295">
        <v>272</v>
      </c>
      <c r="I295" s="1">
        <f t="shared" si="8"/>
        <v>7.3529411764705885E-2</v>
      </c>
      <c r="J295" t="str">
        <f t="shared" si="9"/>
        <v/>
      </c>
    </row>
    <row r="296" spans="1:10">
      <c r="A296" t="s">
        <v>113</v>
      </c>
      <c r="B296">
        <v>4</v>
      </c>
      <c r="C296">
        <v>2</v>
      </c>
      <c r="D296">
        <v>38</v>
      </c>
      <c r="E296">
        <v>0</v>
      </c>
      <c r="F296">
        <v>6</v>
      </c>
      <c r="G296">
        <v>0</v>
      </c>
      <c r="H296">
        <v>272</v>
      </c>
      <c r="I296" s="1">
        <f t="shared" si="8"/>
        <v>0.13970588235294118</v>
      </c>
      <c r="J296" t="str">
        <f t="shared" si="9"/>
        <v/>
      </c>
    </row>
    <row r="297" spans="1:10">
      <c r="A297" t="s">
        <v>113</v>
      </c>
      <c r="B297">
        <v>4</v>
      </c>
      <c r="C297">
        <v>3</v>
      </c>
      <c r="D297">
        <v>72</v>
      </c>
      <c r="E297">
        <v>0</v>
      </c>
      <c r="F297">
        <v>5</v>
      </c>
      <c r="G297">
        <v>0</v>
      </c>
      <c r="H297">
        <v>272</v>
      </c>
      <c r="I297" s="1">
        <f t="shared" si="8"/>
        <v>0.26470588235294118</v>
      </c>
      <c r="J297" t="str">
        <f t="shared" si="9"/>
        <v/>
      </c>
    </row>
    <row r="298" spans="1:10">
      <c r="A298" t="s">
        <v>113</v>
      </c>
      <c r="B298">
        <v>4</v>
      </c>
      <c r="C298">
        <v>4</v>
      </c>
      <c r="D298">
        <v>106</v>
      </c>
      <c r="E298">
        <v>0</v>
      </c>
      <c r="F298">
        <v>4</v>
      </c>
      <c r="G298">
        <v>0</v>
      </c>
      <c r="H298">
        <v>272</v>
      </c>
      <c r="I298" s="1">
        <f t="shared" si="8"/>
        <v>0.38970588235294118</v>
      </c>
      <c r="J298" t="str">
        <f t="shared" si="9"/>
        <v/>
      </c>
    </row>
    <row r="299" spans="1:10">
      <c r="A299" t="s">
        <v>113</v>
      </c>
      <c r="B299">
        <v>4</v>
      </c>
      <c r="C299">
        <v>5</v>
      </c>
      <c r="D299">
        <v>158</v>
      </c>
      <c r="E299">
        <v>0</v>
      </c>
      <c r="F299">
        <v>3</v>
      </c>
      <c r="G299">
        <v>0</v>
      </c>
      <c r="H299">
        <v>272</v>
      </c>
      <c r="I299" s="1">
        <f t="shared" si="8"/>
        <v>0.58088235294117652</v>
      </c>
      <c r="J299" t="str">
        <f t="shared" si="9"/>
        <v/>
      </c>
    </row>
    <row r="300" spans="1:10">
      <c r="A300" t="s">
        <v>113</v>
      </c>
      <c r="B300">
        <v>4</v>
      </c>
      <c r="C300">
        <v>6</v>
      </c>
      <c r="D300">
        <v>178</v>
      </c>
      <c r="E300">
        <v>0</v>
      </c>
      <c r="F300">
        <v>2</v>
      </c>
      <c r="G300">
        <v>0</v>
      </c>
      <c r="H300">
        <v>272</v>
      </c>
      <c r="I300" s="1">
        <f t="shared" si="8"/>
        <v>0.65441176470588236</v>
      </c>
      <c r="J300" t="str">
        <f t="shared" si="9"/>
        <v/>
      </c>
    </row>
    <row r="301" spans="1:10">
      <c r="A301" t="s">
        <v>113</v>
      </c>
      <c r="B301">
        <v>4</v>
      </c>
      <c r="C301">
        <v>7</v>
      </c>
      <c r="D301">
        <v>204</v>
      </c>
      <c r="E301">
        <v>0</v>
      </c>
      <c r="F301">
        <v>1</v>
      </c>
      <c r="G301">
        <v>0</v>
      </c>
      <c r="H301">
        <v>272</v>
      </c>
      <c r="I301" s="1">
        <f t="shared" si="8"/>
        <v>0.75</v>
      </c>
      <c r="J301" t="str">
        <f t="shared" si="9"/>
        <v/>
      </c>
    </row>
    <row r="302" spans="1:10">
      <c r="A302" t="s">
        <v>113</v>
      </c>
      <c r="B302">
        <v>4</v>
      </c>
      <c r="C302">
        <v>8</v>
      </c>
      <c r="D302">
        <v>235</v>
      </c>
      <c r="E302">
        <v>0</v>
      </c>
      <c r="F302">
        <v>0</v>
      </c>
      <c r="G302">
        <v>0</v>
      </c>
      <c r="H302">
        <v>272</v>
      </c>
      <c r="I302" s="1">
        <f t="shared" si="8"/>
        <v>0.86397058823529416</v>
      </c>
      <c r="J302" t="str">
        <f t="shared" si="9"/>
        <v/>
      </c>
    </row>
    <row r="303" spans="1:10">
      <c r="A303" t="s">
        <v>113</v>
      </c>
      <c r="B303">
        <v>4</v>
      </c>
      <c r="C303">
        <v>9</v>
      </c>
      <c r="D303">
        <v>272</v>
      </c>
      <c r="E303">
        <v>0</v>
      </c>
      <c r="F303">
        <v>0</v>
      </c>
      <c r="G303">
        <v>0</v>
      </c>
      <c r="H303">
        <v>272</v>
      </c>
      <c r="I303" s="1">
        <f t="shared" si="8"/>
        <v>1</v>
      </c>
      <c r="J303" t="str">
        <f t="shared" si="9"/>
        <v/>
      </c>
    </row>
    <row r="304" spans="1:10">
      <c r="A304" t="s">
        <v>113</v>
      </c>
      <c r="B304">
        <v>6</v>
      </c>
      <c r="C304">
        <v>1</v>
      </c>
      <c r="D304">
        <v>18</v>
      </c>
      <c r="E304">
        <v>0</v>
      </c>
      <c r="F304">
        <v>0</v>
      </c>
      <c r="G304">
        <v>0</v>
      </c>
      <c r="H304">
        <v>21</v>
      </c>
      <c r="I304" s="1">
        <f t="shared" si="8"/>
        <v>0.8571428571428571</v>
      </c>
      <c r="J304" t="str">
        <f t="shared" si="9"/>
        <v/>
      </c>
    </row>
    <row r="305" spans="1:10">
      <c r="A305" t="s">
        <v>113</v>
      </c>
      <c r="B305">
        <v>6</v>
      </c>
      <c r="C305">
        <v>2</v>
      </c>
      <c r="D305">
        <v>21</v>
      </c>
      <c r="E305">
        <v>0</v>
      </c>
      <c r="F305">
        <v>0</v>
      </c>
      <c r="G305">
        <v>0</v>
      </c>
      <c r="H305">
        <v>21</v>
      </c>
      <c r="I305" s="1">
        <f t="shared" si="8"/>
        <v>1</v>
      </c>
      <c r="J305" t="str">
        <f t="shared" si="9"/>
        <v/>
      </c>
    </row>
    <row r="306" spans="1:10">
      <c r="A306" t="s">
        <v>113</v>
      </c>
      <c r="B306">
        <v>7</v>
      </c>
      <c r="C306">
        <v>1</v>
      </c>
      <c r="D306">
        <v>31</v>
      </c>
      <c r="E306">
        <v>0</v>
      </c>
      <c r="F306">
        <v>1</v>
      </c>
      <c r="G306">
        <v>0</v>
      </c>
      <c r="H306">
        <v>120</v>
      </c>
      <c r="I306" s="1">
        <f t="shared" si="8"/>
        <v>0.25833333333333336</v>
      </c>
      <c r="J306" t="str">
        <f t="shared" si="9"/>
        <v/>
      </c>
    </row>
    <row r="307" spans="1:10">
      <c r="A307" t="s">
        <v>113</v>
      </c>
      <c r="B307">
        <v>7</v>
      </c>
      <c r="C307">
        <v>2</v>
      </c>
      <c r="D307">
        <v>33</v>
      </c>
      <c r="E307">
        <v>0</v>
      </c>
      <c r="F307">
        <v>0</v>
      </c>
      <c r="G307">
        <v>0</v>
      </c>
      <c r="H307">
        <v>120</v>
      </c>
      <c r="I307" s="1">
        <f t="shared" si="8"/>
        <v>0.27500000000000002</v>
      </c>
      <c r="J307" t="str">
        <f t="shared" si="9"/>
        <v/>
      </c>
    </row>
    <row r="308" spans="1:10">
      <c r="A308" t="s">
        <v>113</v>
      </c>
      <c r="B308">
        <v>7</v>
      </c>
      <c r="C308">
        <v>3</v>
      </c>
      <c r="D308">
        <v>43</v>
      </c>
      <c r="E308">
        <v>0</v>
      </c>
      <c r="F308">
        <v>2</v>
      </c>
      <c r="G308">
        <v>0</v>
      </c>
      <c r="H308">
        <v>120</v>
      </c>
      <c r="I308" s="1">
        <f t="shared" si="8"/>
        <v>0.35833333333333334</v>
      </c>
      <c r="J308" t="str">
        <f t="shared" si="9"/>
        <v/>
      </c>
    </row>
    <row r="309" spans="1:10">
      <c r="A309" t="s">
        <v>113</v>
      </c>
      <c r="B309">
        <v>7</v>
      </c>
      <c r="C309">
        <v>4</v>
      </c>
      <c r="D309">
        <v>54</v>
      </c>
      <c r="E309">
        <v>0</v>
      </c>
      <c r="F309">
        <v>2</v>
      </c>
      <c r="G309">
        <v>0</v>
      </c>
      <c r="H309">
        <v>120</v>
      </c>
      <c r="I309" s="1">
        <f t="shared" si="8"/>
        <v>0.45</v>
      </c>
      <c r="J309" t="str">
        <f t="shared" si="9"/>
        <v/>
      </c>
    </row>
    <row r="310" spans="1:10">
      <c r="A310" t="s">
        <v>113</v>
      </c>
      <c r="B310">
        <v>7</v>
      </c>
      <c r="C310">
        <v>5</v>
      </c>
      <c r="D310">
        <v>60</v>
      </c>
      <c r="E310">
        <v>0</v>
      </c>
      <c r="F310">
        <v>4</v>
      </c>
      <c r="G310">
        <v>0</v>
      </c>
      <c r="H310">
        <v>120</v>
      </c>
      <c r="I310" s="1">
        <f t="shared" si="8"/>
        <v>0.5</v>
      </c>
      <c r="J310" t="str">
        <f t="shared" si="9"/>
        <v/>
      </c>
    </row>
    <row r="311" spans="1:10">
      <c r="A311" t="s">
        <v>113</v>
      </c>
      <c r="B311">
        <v>7</v>
      </c>
      <c r="C311">
        <v>6</v>
      </c>
      <c r="D311">
        <v>66</v>
      </c>
      <c r="E311">
        <v>0</v>
      </c>
      <c r="F311">
        <v>3</v>
      </c>
      <c r="G311">
        <v>0</v>
      </c>
      <c r="H311">
        <v>120</v>
      </c>
      <c r="I311" s="1">
        <f t="shared" si="8"/>
        <v>0.55000000000000004</v>
      </c>
      <c r="J311" t="str">
        <f t="shared" si="9"/>
        <v/>
      </c>
    </row>
    <row r="312" spans="1:10">
      <c r="A312" t="s">
        <v>113</v>
      </c>
      <c r="B312">
        <v>7</v>
      </c>
      <c r="C312">
        <v>7</v>
      </c>
      <c r="D312">
        <v>81</v>
      </c>
      <c r="E312">
        <v>0</v>
      </c>
      <c r="F312">
        <v>2</v>
      </c>
      <c r="G312">
        <v>0</v>
      </c>
      <c r="H312">
        <v>120</v>
      </c>
      <c r="I312" s="1">
        <f t="shared" si="8"/>
        <v>0.67500000000000004</v>
      </c>
      <c r="J312" t="str">
        <f t="shared" si="9"/>
        <v/>
      </c>
    </row>
    <row r="313" spans="1:10">
      <c r="A313" t="s">
        <v>113</v>
      </c>
      <c r="B313">
        <v>7</v>
      </c>
      <c r="C313">
        <v>8</v>
      </c>
      <c r="D313">
        <v>90</v>
      </c>
      <c r="E313">
        <v>0</v>
      </c>
      <c r="F313">
        <v>1</v>
      </c>
      <c r="G313">
        <v>0</v>
      </c>
      <c r="H313">
        <v>120</v>
      </c>
      <c r="I313" s="1">
        <f t="shared" si="8"/>
        <v>0.75</v>
      </c>
      <c r="J313" t="str">
        <f t="shared" si="9"/>
        <v/>
      </c>
    </row>
    <row r="314" spans="1:10">
      <c r="A314" t="s">
        <v>113</v>
      </c>
      <c r="B314">
        <v>7</v>
      </c>
      <c r="C314">
        <v>9</v>
      </c>
      <c r="D314">
        <v>103</v>
      </c>
      <c r="E314">
        <v>0</v>
      </c>
      <c r="F314">
        <v>0</v>
      </c>
      <c r="G314">
        <v>0</v>
      </c>
      <c r="H314">
        <v>120</v>
      </c>
      <c r="I314" s="1">
        <f t="shared" si="8"/>
        <v>0.85833333333333328</v>
      </c>
      <c r="J314" t="str">
        <f t="shared" si="9"/>
        <v/>
      </c>
    </row>
    <row r="315" spans="1:10">
      <c r="A315" t="s">
        <v>113</v>
      </c>
      <c r="B315">
        <v>7</v>
      </c>
      <c r="C315">
        <v>10</v>
      </c>
      <c r="D315">
        <v>120</v>
      </c>
      <c r="E315">
        <v>0</v>
      </c>
      <c r="F315">
        <v>0</v>
      </c>
      <c r="G315">
        <v>0</v>
      </c>
      <c r="H315">
        <v>120</v>
      </c>
      <c r="I315" s="1">
        <f t="shared" si="8"/>
        <v>1</v>
      </c>
      <c r="J315" t="str">
        <f t="shared" si="9"/>
        <v/>
      </c>
    </row>
    <row r="316" spans="1:10">
      <c r="A316" t="s">
        <v>113</v>
      </c>
      <c r="B316">
        <v>8</v>
      </c>
      <c r="C316">
        <v>1</v>
      </c>
      <c r="D316">
        <v>20</v>
      </c>
      <c r="E316">
        <v>0</v>
      </c>
      <c r="F316">
        <v>0</v>
      </c>
      <c r="G316">
        <v>0</v>
      </c>
      <c r="H316">
        <v>162</v>
      </c>
      <c r="I316" s="1">
        <f t="shared" si="8"/>
        <v>0.12345679012345678</v>
      </c>
      <c r="J316" t="str">
        <f t="shared" si="9"/>
        <v/>
      </c>
    </row>
    <row r="317" spans="1:10">
      <c r="A317" t="s">
        <v>113</v>
      </c>
      <c r="B317">
        <v>8</v>
      </c>
      <c r="C317">
        <v>2</v>
      </c>
      <c r="D317">
        <v>32</v>
      </c>
      <c r="E317">
        <v>0</v>
      </c>
      <c r="F317">
        <v>3</v>
      </c>
      <c r="G317">
        <v>0</v>
      </c>
      <c r="H317">
        <v>162</v>
      </c>
      <c r="I317" s="1">
        <f t="shared" si="8"/>
        <v>0.19753086419753085</v>
      </c>
      <c r="J317" t="str">
        <f t="shared" si="9"/>
        <v/>
      </c>
    </row>
    <row r="318" spans="1:10">
      <c r="A318" t="s">
        <v>113</v>
      </c>
      <c r="B318">
        <v>8</v>
      </c>
      <c r="C318">
        <v>3</v>
      </c>
      <c r="D318">
        <v>66</v>
      </c>
      <c r="E318">
        <v>0</v>
      </c>
      <c r="F318">
        <v>2</v>
      </c>
      <c r="G318">
        <v>0</v>
      </c>
      <c r="H318">
        <v>162</v>
      </c>
      <c r="I318" s="1">
        <f t="shared" si="8"/>
        <v>0.40740740740740738</v>
      </c>
      <c r="J318" t="str">
        <f t="shared" si="9"/>
        <v/>
      </c>
    </row>
    <row r="319" spans="1:10">
      <c r="A319" t="s">
        <v>113</v>
      </c>
      <c r="B319">
        <v>8</v>
      </c>
      <c r="C319">
        <v>4</v>
      </c>
      <c r="D319">
        <v>109</v>
      </c>
      <c r="E319">
        <v>0</v>
      </c>
      <c r="F319">
        <v>1</v>
      </c>
      <c r="G319">
        <v>0</v>
      </c>
      <c r="H319">
        <v>162</v>
      </c>
      <c r="I319" s="1">
        <f t="shared" si="8"/>
        <v>0.6728395061728395</v>
      </c>
      <c r="J319" t="str">
        <f t="shared" si="9"/>
        <v/>
      </c>
    </row>
    <row r="320" spans="1:10">
      <c r="A320" t="s">
        <v>113</v>
      </c>
      <c r="B320">
        <v>8</v>
      </c>
      <c r="C320">
        <v>5</v>
      </c>
      <c r="D320">
        <v>141</v>
      </c>
      <c r="E320">
        <v>0</v>
      </c>
      <c r="F320">
        <v>0</v>
      </c>
      <c r="G320">
        <v>0</v>
      </c>
      <c r="H320">
        <v>162</v>
      </c>
      <c r="I320" s="1">
        <f t="shared" si="8"/>
        <v>0.87037037037037035</v>
      </c>
      <c r="J320" t="str">
        <f t="shared" si="9"/>
        <v/>
      </c>
    </row>
    <row r="321" spans="1:10">
      <c r="A321" t="s">
        <v>113</v>
      </c>
      <c r="B321">
        <v>8</v>
      </c>
      <c r="C321">
        <v>6</v>
      </c>
      <c r="D321">
        <v>162</v>
      </c>
      <c r="E321">
        <v>0</v>
      </c>
      <c r="F321">
        <v>0</v>
      </c>
      <c r="G321">
        <v>0</v>
      </c>
      <c r="H321">
        <v>162</v>
      </c>
      <c r="I321" s="1">
        <f t="shared" si="8"/>
        <v>1</v>
      </c>
      <c r="J321" t="str">
        <f t="shared" si="9"/>
        <v/>
      </c>
    </row>
    <row r="322" spans="1:10">
      <c r="A322" t="s">
        <v>113</v>
      </c>
      <c r="B322">
        <v>9</v>
      </c>
      <c r="C322">
        <v>1</v>
      </c>
      <c r="D322">
        <v>20</v>
      </c>
      <c r="E322">
        <v>0</v>
      </c>
      <c r="F322">
        <v>0</v>
      </c>
      <c r="G322">
        <v>0</v>
      </c>
      <c r="H322">
        <v>258</v>
      </c>
      <c r="I322" s="1">
        <f t="shared" si="8"/>
        <v>7.7519379844961239E-2</v>
      </c>
      <c r="J322" t="str">
        <f t="shared" si="9"/>
        <v/>
      </c>
    </row>
    <row r="323" spans="1:10">
      <c r="A323" t="s">
        <v>113</v>
      </c>
      <c r="B323">
        <v>9</v>
      </c>
      <c r="C323">
        <v>2</v>
      </c>
      <c r="D323">
        <v>38</v>
      </c>
      <c r="E323">
        <v>0</v>
      </c>
      <c r="F323">
        <v>6</v>
      </c>
      <c r="G323">
        <v>0</v>
      </c>
      <c r="H323">
        <v>258</v>
      </c>
      <c r="I323" s="1">
        <f t="shared" ref="I323:I386" si="10">D323/H323</f>
        <v>0.14728682170542637</v>
      </c>
      <c r="J323" t="str">
        <f t="shared" ref="J323:J386" si="11">IF(I323&gt;1,"!","")</f>
        <v/>
      </c>
    </row>
    <row r="324" spans="1:10">
      <c r="A324" t="s">
        <v>113</v>
      </c>
      <c r="B324">
        <v>9</v>
      </c>
      <c r="C324">
        <v>3</v>
      </c>
      <c r="D324">
        <v>72</v>
      </c>
      <c r="E324">
        <v>0</v>
      </c>
      <c r="F324">
        <v>5</v>
      </c>
      <c r="G324">
        <v>0</v>
      </c>
      <c r="H324">
        <v>258</v>
      </c>
      <c r="I324" s="1">
        <f t="shared" si="10"/>
        <v>0.27906976744186046</v>
      </c>
      <c r="J324" t="str">
        <f t="shared" si="11"/>
        <v/>
      </c>
    </row>
    <row r="325" spans="1:10">
      <c r="A325" t="s">
        <v>113</v>
      </c>
      <c r="B325">
        <v>9</v>
      </c>
      <c r="C325">
        <v>4</v>
      </c>
      <c r="D325">
        <v>115</v>
      </c>
      <c r="E325">
        <v>0</v>
      </c>
      <c r="F325">
        <v>4</v>
      </c>
      <c r="G325">
        <v>0</v>
      </c>
      <c r="H325">
        <v>258</v>
      </c>
      <c r="I325" s="1">
        <f t="shared" si="10"/>
        <v>0.44573643410852715</v>
      </c>
      <c r="J325" t="str">
        <f t="shared" si="11"/>
        <v/>
      </c>
    </row>
    <row r="326" spans="1:10">
      <c r="A326" t="s">
        <v>113</v>
      </c>
      <c r="B326">
        <v>9</v>
      </c>
      <c r="C326">
        <v>5</v>
      </c>
      <c r="D326">
        <v>147</v>
      </c>
      <c r="E326">
        <v>0</v>
      </c>
      <c r="F326">
        <v>3</v>
      </c>
      <c r="G326">
        <v>0</v>
      </c>
      <c r="H326">
        <v>258</v>
      </c>
      <c r="I326" s="1">
        <f t="shared" si="10"/>
        <v>0.56976744186046513</v>
      </c>
      <c r="J326" t="str">
        <f t="shared" si="11"/>
        <v/>
      </c>
    </row>
    <row r="327" spans="1:10">
      <c r="A327" t="s">
        <v>113</v>
      </c>
      <c r="B327">
        <v>9</v>
      </c>
      <c r="C327">
        <v>6</v>
      </c>
      <c r="D327">
        <v>168</v>
      </c>
      <c r="E327">
        <v>0</v>
      </c>
      <c r="F327">
        <v>2</v>
      </c>
      <c r="G327">
        <v>0</v>
      </c>
      <c r="H327">
        <v>258</v>
      </c>
      <c r="I327" s="1">
        <f t="shared" si="10"/>
        <v>0.65116279069767447</v>
      </c>
      <c r="J327" t="str">
        <f t="shared" si="11"/>
        <v/>
      </c>
    </row>
    <row r="328" spans="1:10">
      <c r="A328" t="s">
        <v>113</v>
      </c>
      <c r="B328">
        <v>9</v>
      </c>
      <c r="C328">
        <v>7</v>
      </c>
      <c r="D328">
        <v>194</v>
      </c>
      <c r="E328">
        <v>0</v>
      </c>
      <c r="F328">
        <v>1</v>
      </c>
      <c r="G328">
        <v>0</v>
      </c>
      <c r="H328">
        <v>258</v>
      </c>
      <c r="I328" s="1">
        <f t="shared" si="10"/>
        <v>0.75193798449612403</v>
      </c>
      <c r="J328" t="str">
        <f t="shared" si="11"/>
        <v/>
      </c>
    </row>
    <row r="329" spans="1:10">
      <c r="A329" t="s">
        <v>113</v>
      </c>
      <c r="B329">
        <v>9</v>
      </c>
      <c r="C329">
        <v>8</v>
      </c>
      <c r="D329">
        <v>224</v>
      </c>
      <c r="E329">
        <v>0</v>
      </c>
      <c r="F329">
        <v>0</v>
      </c>
      <c r="G329">
        <v>0</v>
      </c>
      <c r="H329">
        <v>258</v>
      </c>
      <c r="I329" s="1">
        <f t="shared" si="10"/>
        <v>0.86821705426356588</v>
      </c>
      <c r="J329" t="str">
        <f t="shared" si="11"/>
        <v/>
      </c>
    </row>
    <row r="330" spans="1:10">
      <c r="A330" t="s">
        <v>113</v>
      </c>
      <c r="B330">
        <v>9</v>
      </c>
      <c r="C330">
        <v>9</v>
      </c>
      <c r="D330">
        <v>258</v>
      </c>
      <c r="E330">
        <v>0</v>
      </c>
      <c r="F330">
        <v>0</v>
      </c>
      <c r="G330">
        <v>0</v>
      </c>
      <c r="H330">
        <v>258</v>
      </c>
      <c r="I330" s="1">
        <f t="shared" si="10"/>
        <v>1</v>
      </c>
      <c r="J330" t="str">
        <f t="shared" si="11"/>
        <v/>
      </c>
    </row>
    <row r="331" spans="1:10">
      <c r="A331" t="s">
        <v>113</v>
      </c>
      <c r="B331">
        <v>11</v>
      </c>
      <c r="C331">
        <v>1</v>
      </c>
      <c r="D331">
        <v>19</v>
      </c>
      <c r="E331">
        <v>0</v>
      </c>
      <c r="F331">
        <v>0</v>
      </c>
      <c r="G331">
        <v>0</v>
      </c>
      <c r="H331">
        <v>53</v>
      </c>
      <c r="I331" s="1">
        <f t="shared" si="10"/>
        <v>0.35849056603773582</v>
      </c>
      <c r="J331" t="str">
        <f t="shared" si="11"/>
        <v/>
      </c>
    </row>
    <row r="332" spans="1:10">
      <c r="A332" t="s">
        <v>113</v>
      </c>
      <c r="B332">
        <v>11</v>
      </c>
      <c r="C332">
        <v>2</v>
      </c>
      <c r="D332">
        <v>53</v>
      </c>
      <c r="E332">
        <v>0</v>
      </c>
      <c r="F332">
        <v>0</v>
      </c>
      <c r="G332">
        <v>0</v>
      </c>
      <c r="H332">
        <v>53</v>
      </c>
      <c r="I332" s="1">
        <f t="shared" si="10"/>
        <v>1</v>
      </c>
      <c r="J332" t="str">
        <f t="shared" si="11"/>
        <v/>
      </c>
    </row>
    <row r="333" spans="1:10">
      <c r="A333" t="s">
        <v>113</v>
      </c>
      <c r="B333">
        <v>13</v>
      </c>
      <c r="C333">
        <v>1</v>
      </c>
      <c r="D333">
        <v>2</v>
      </c>
      <c r="E333">
        <v>0</v>
      </c>
      <c r="F333">
        <v>0</v>
      </c>
      <c r="G333">
        <v>0</v>
      </c>
      <c r="H333">
        <v>737</v>
      </c>
      <c r="I333" s="1">
        <f t="shared" si="10"/>
        <v>2.7137042062415195E-3</v>
      </c>
      <c r="J333" t="str">
        <f t="shared" si="11"/>
        <v/>
      </c>
    </row>
    <row r="334" spans="1:10">
      <c r="A334" t="s">
        <v>113</v>
      </c>
      <c r="B334">
        <v>13</v>
      </c>
      <c r="C334">
        <v>2</v>
      </c>
      <c r="D334">
        <v>6</v>
      </c>
      <c r="E334">
        <v>0</v>
      </c>
      <c r="F334">
        <v>0</v>
      </c>
      <c r="G334">
        <v>0</v>
      </c>
      <c r="H334">
        <v>737</v>
      </c>
      <c r="I334" s="1">
        <f t="shared" si="10"/>
        <v>8.1411126187245584E-3</v>
      </c>
      <c r="J334" t="str">
        <f t="shared" si="11"/>
        <v/>
      </c>
    </row>
    <row r="335" spans="1:10">
      <c r="A335" t="s">
        <v>113</v>
      </c>
      <c r="B335">
        <v>13</v>
      </c>
      <c r="C335">
        <v>3</v>
      </c>
      <c r="D335">
        <v>6</v>
      </c>
      <c r="E335">
        <v>0</v>
      </c>
      <c r="F335">
        <v>0</v>
      </c>
      <c r="G335">
        <v>0</v>
      </c>
      <c r="H335">
        <v>737</v>
      </c>
      <c r="I335" s="1">
        <f t="shared" si="10"/>
        <v>8.1411126187245584E-3</v>
      </c>
      <c r="J335" t="str">
        <f t="shared" si="11"/>
        <v/>
      </c>
    </row>
    <row r="336" spans="1:10">
      <c r="A336" t="s">
        <v>113</v>
      </c>
      <c r="B336">
        <v>13</v>
      </c>
      <c r="C336">
        <v>4</v>
      </c>
      <c r="D336">
        <v>737</v>
      </c>
      <c r="E336">
        <v>0</v>
      </c>
      <c r="F336">
        <v>0</v>
      </c>
      <c r="G336">
        <v>0</v>
      </c>
      <c r="H336">
        <v>737</v>
      </c>
      <c r="I336" s="1">
        <f t="shared" si="10"/>
        <v>1</v>
      </c>
      <c r="J336" t="str">
        <f t="shared" si="11"/>
        <v/>
      </c>
    </row>
    <row r="337" spans="1:10">
      <c r="A337" t="s">
        <v>113</v>
      </c>
      <c r="B337">
        <v>14</v>
      </c>
      <c r="C337">
        <v>1</v>
      </c>
      <c r="D337">
        <v>2</v>
      </c>
      <c r="E337">
        <v>0</v>
      </c>
      <c r="F337">
        <v>0</v>
      </c>
      <c r="G337">
        <v>0</v>
      </c>
      <c r="H337">
        <v>958</v>
      </c>
      <c r="I337" s="1">
        <f t="shared" si="10"/>
        <v>2.0876826722338203E-3</v>
      </c>
      <c r="J337" t="str">
        <f t="shared" si="11"/>
        <v/>
      </c>
    </row>
    <row r="338" spans="1:10">
      <c r="A338" t="s">
        <v>113</v>
      </c>
      <c r="B338">
        <v>14</v>
      </c>
      <c r="C338">
        <v>2</v>
      </c>
      <c r="D338">
        <v>4</v>
      </c>
      <c r="E338">
        <v>0</v>
      </c>
      <c r="F338">
        <v>0</v>
      </c>
      <c r="G338">
        <v>0</v>
      </c>
      <c r="H338">
        <v>958</v>
      </c>
      <c r="I338" s="1">
        <f t="shared" si="10"/>
        <v>4.1753653444676405E-3</v>
      </c>
      <c r="J338" t="str">
        <f t="shared" si="11"/>
        <v/>
      </c>
    </row>
    <row r="339" spans="1:10">
      <c r="A339" t="s">
        <v>113</v>
      </c>
      <c r="B339">
        <v>14</v>
      </c>
      <c r="C339">
        <v>3</v>
      </c>
      <c r="D339">
        <v>6</v>
      </c>
      <c r="E339">
        <v>0</v>
      </c>
      <c r="F339">
        <v>0</v>
      </c>
      <c r="G339">
        <v>0</v>
      </c>
      <c r="H339">
        <v>958</v>
      </c>
      <c r="I339" s="1">
        <f t="shared" si="10"/>
        <v>6.2630480167014616E-3</v>
      </c>
      <c r="J339" t="str">
        <f t="shared" si="11"/>
        <v/>
      </c>
    </row>
    <row r="340" spans="1:10">
      <c r="A340" t="s">
        <v>113</v>
      </c>
      <c r="B340">
        <v>14</v>
      </c>
      <c r="C340">
        <v>4</v>
      </c>
      <c r="D340">
        <v>354</v>
      </c>
      <c r="E340">
        <v>0</v>
      </c>
      <c r="F340">
        <v>2</v>
      </c>
      <c r="G340">
        <v>0</v>
      </c>
      <c r="H340">
        <v>958</v>
      </c>
      <c r="I340" s="1">
        <f t="shared" si="10"/>
        <v>0.36951983298538621</v>
      </c>
      <c r="J340" t="str">
        <f t="shared" si="11"/>
        <v/>
      </c>
    </row>
    <row r="341" spans="1:10">
      <c r="A341" t="s">
        <v>113</v>
      </c>
      <c r="B341">
        <v>14</v>
      </c>
      <c r="C341">
        <v>5</v>
      </c>
      <c r="D341">
        <v>356</v>
      </c>
      <c r="E341">
        <v>0</v>
      </c>
      <c r="F341">
        <v>1</v>
      </c>
      <c r="G341">
        <v>0</v>
      </c>
      <c r="H341">
        <v>958</v>
      </c>
      <c r="I341" s="1">
        <f t="shared" si="10"/>
        <v>0.37160751565762007</v>
      </c>
      <c r="J341" t="str">
        <f t="shared" si="11"/>
        <v/>
      </c>
    </row>
    <row r="342" spans="1:10">
      <c r="A342" t="s">
        <v>113</v>
      </c>
      <c r="B342">
        <v>14</v>
      </c>
      <c r="C342">
        <v>6</v>
      </c>
      <c r="D342">
        <v>565</v>
      </c>
      <c r="E342">
        <v>0</v>
      </c>
      <c r="F342">
        <v>0</v>
      </c>
      <c r="G342">
        <v>0</v>
      </c>
      <c r="H342">
        <v>958</v>
      </c>
      <c r="I342" s="1">
        <f t="shared" si="10"/>
        <v>0.58977035490605423</v>
      </c>
      <c r="J342" t="str">
        <f t="shared" si="11"/>
        <v/>
      </c>
    </row>
    <row r="343" spans="1:10">
      <c r="A343" t="s">
        <v>113</v>
      </c>
      <c r="B343">
        <v>14</v>
      </c>
      <c r="C343">
        <v>7</v>
      </c>
      <c r="D343">
        <v>565</v>
      </c>
      <c r="E343">
        <v>0</v>
      </c>
      <c r="F343">
        <v>0</v>
      </c>
      <c r="G343">
        <v>0</v>
      </c>
      <c r="H343">
        <v>958</v>
      </c>
      <c r="I343" s="1">
        <f t="shared" si="10"/>
        <v>0.58977035490605423</v>
      </c>
      <c r="J343" t="str">
        <f t="shared" si="11"/>
        <v/>
      </c>
    </row>
    <row r="344" spans="1:10">
      <c r="A344" t="s">
        <v>113</v>
      </c>
      <c r="B344">
        <v>14</v>
      </c>
      <c r="C344">
        <v>8</v>
      </c>
      <c r="D344">
        <v>958</v>
      </c>
      <c r="E344">
        <v>0</v>
      </c>
      <c r="F344">
        <v>0</v>
      </c>
      <c r="G344">
        <v>0</v>
      </c>
      <c r="H344">
        <v>958</v>
      </c>
      <c r="I344" s="1">
        <f t="shared" si="10"/>
        <v>1</v>
      </c>
      <c r="J344" t="str">
        <f t="shared" si="11"/>
        <v/>
      </c>
    </row>
    <row r="345" spans="1:10">
      <c r="A345" t="s">
        <v>113</v>
      </c>
      <c r="B345">
        <v>14</v>
      </c>
      <c r="C345">
        <v>9</v>
      </c>
      <c r="D345">
        <v>958</v>
      </c>
      <c r="E345">
        <v>0</v>
      </c>
      <c r="F345">
        <v>0</v>
      </c>
      <c r="G345">
        <v>0</v>
      </c>
      <c r="H345">
        <v>958</v>
      </c>
      <c r="I345" s="1">
        <f t="shared" si="10"/>
        <v>1</v>
      </c>
      <c r="J345" t="str">
        <f t="shared" si="11"/>
        <v/>
      </c>
    </row>
    <row r="346" spans="1:10">
      <c r="A346" t="s">
        <v>113</v>
      </c>
      <c r="B346">
        <v>15</v>
      </c>
      <c r="C346">
        <v>1</v>
      </c>
      <c r="D346">
        <v>2</v>
      </c>
      <c r="E346">
        <v>0</v>
      </c>
      <c r="F346">
        <v>0</v>
      </c>
      <c r="G346">
        <v>0</v>
      </c>
      <c r="H346">
        <v>476</v>
      </c>
      <c r="I346" s="1">
        <f t="shared" si="10"/>
        <v>4.2016806722689074E-3</v>
      </c>
      <c r="J346" t="str">
        <f t="shared" si="11"/>
        <v/>
      </c>
    </row>
    <row r="347" spans="1:10">
      <c r="A347" t="s">
        <v>113</v>
      </c>
      <c r="B347">
        <v>15</v>
      </c>
      <c r="C347">
        <v>2</v>
      </c>
      <c r="D347">
        <v>4</v>
      </c>
      <c r="E347">
        <v>0</v>
      </c>
      <c r="F347">
        <v>0</v>
      </c>
      <c r="G347">
        <v>0</v>
      </c>
      <c r="H347">
        <v>476</v>
      </c>
      <c r="I347" s="1">
        <f t="shared" si="10"/>
        <v>8.4033613445378148E-3</v>
      </c>
      <c r="J347" t="str">
        <f t="shared" si="11"/>
        <v/>
      </c>
    </row>
    <row r="348" spans="1:10">
      <c r="A348" t="s">
        <v>113</v>
      </c>
      <c r="B348">
        <v>15</v>
      </c>
      <c r="C348">
        <v>3</v>
      </c>
      <c r="D348">
        <v>6</v>
      </c>
      <c r="E348">
        <v>0</v>
      </c>
      <c r="F348">
        <v>0</v>
      </c>
      <c r="G348">
        <v>0</v>
      </c>
      <c r="H348">
        <v>476</v>
      </c>
      <c r="I348" s="1">
        <f t="shared" si="10"/>
        <v>1.2605042016806723E-2</v>
      </c>
      <c r="J348" t="str">
        <f t="shared" si="11"/>
        <v/>
      </c>
    </row>
    <row r="349" spans="1:10">
      <c r="A349" t="s">
        <v>113</v>
      </c>
      <c r="B349">
        <v>15</v>
      </c>
      <c r="C349">
        <v>4</v>
      </c>
      <c r="D349">
        <v>476</v>
      </c>
      <c r="E349">
        <v>0</v>
      </c>
      <c r="F349">
        <v>0</v>
      </c>
      <c r="G349">
        <v>0</v>
      </c>
      <c r="H349">
        <v>476</v>
      </c>
      <c r="I349" s="1">
        <f t="shared" si="10"/>
        <v>1</v>
      </c>
      <c r="J349" t="str">
        <f t="shared" si="11"/>
        <v/>
      </c>
    </row>
    <row r="350" spans="1:10">
      <c r="A350" t="s">
        <v>113</v>
      </c>
      <c r="B350">
        <v>16</v>
      </c>
      <c r="C350">
        <v>1</v>
      </c>
      <c r="D350">
        <v>2</v>
      </c>
      <c r="E350">
        <v>0</v>
      </c>
      <c r="F350">
        <v>0</v>
      </c>
      <c r="G350">
        <v>0</v>
      </c>
      <c r="H350">
        <v>607</v>
      </c>
      <c r="I350" s="1">
        <f t="shared" si="10"/>
        <v>3.2948929159802307E-3</v>
      </c>
      <c r="J350" t="str">
        <f t="shared" si="11"/>
        <v/>
      </c>
    </row>
    <row r="351" spans="1:10">
      <c r="A351" t="s">
        <v>113</v>
      </c>
      <c r="B351">
        <v>16</v>
      </c>
      <c r="C351">
        <v>2</v>
      </c>
      <c r="D351">
        <v>4</v>
      </c>
      <c r="E351">
        <v>0</v>
      </c>
      <c r="F351">
        <v>0</v>
      </c>
      <c r="G351">
        <v>0</v>
      </c>
      <c r="H351">
        <v>607</v>
      </c>
      <c r="I351" s="1">
        <f t="shared" si="10"/>
        <v>6.5897858319604614E-3</v>
      </c>
      <c r="J351" t="str">
        <f t="shared" si="11"/>
        <v/>
      </c>
    </row>
    <row r="352" spans="1:10">
      <c r="A352" t="s">
        <v>113</v>
      </c>
      <c r="B352">
        <v>16</v>
      </c>
      <c r="C352">
        <v>3</v>
      </c>
      <c r="D352">
        <v>6</v>
      </c>
      <c r="E352">
        <v>0</v>
      </c>
      <c r="F352">
        <v>0</v>
      </c>
      <c r="G352">
        <v>0</v>
      </c>
      <c r="H352">
        <v>607</v>
      </c>
      <c r="I352" s="1">
        <f t="shared" si="10"/>
        <v>9.8846787479406912E-3</v>
      </c>
      <c r="J352" t="str">
        <f t="shared" si="11"/>
        <v/>
      </c>
    </row>
    <row r="353" spans="1:10">
      <c r="A353" t="s">
        <v>113</v>
      </c>
      <c r="B353">
        <v>16</v>
      </c>
      <c r="C353">
        <v>4</v>
      </c>
      <c r="D353">
        <v>607</v>
      </c>
      <c r="E353">
        <v>0</v>
      </c>
      <c r="F353">
        <v>0</v>
      </c>
      <c r="G353">
        <v>0</v>
      </c>
      <c r="H353">
        <v>607</v>
      </c>
      <c r="I353" s="1">
        <f t="shared" si="10"/>
        <v>1</v>
      </c>
      <c r="J353" t="str">
        <f t="shared" si="11"/>
        <v/>
      </c>
    </row>
    <row r="354" spans="1:10">
      <c r="A354" t="s">
        <v>113</v>
      </c>
      <c r="B354">
        <v>20</v>
      </c>
      <c r="C354">
        <v>1</v>
      </c>
      <c r="D354">
        <v>17</v>
      </c>
      <c r="E354">
        <v>0</v>
      </c>
      <c r="F354">
        <v>1</v>
      </c>
      <c r="G354">
        <v>0</v>
      </c>
      <c r="H354">
        <v>27</v>
      </c>
      <c r="I354" s="1">
        <f t="shared" si="10"/>
        <v>0.62962962962962965</v>
      </c>
      <c r="J354" t="str">
        <f t="shared" si="11"/>
        <v/>
      </c>
    </row>
    <row r="355" spans="1:10">
      <c r="A355" t="s">
        <v>113</v>
      </c>
      <c r="B355">
        <v>20</v>
      </c>
      <c r="C355">
        <v>2</v>
      </c>
      <c r="D355">
        <v>27</v>
      </c>
      <c r="E355">
        <v>0</v>
      </c>
      <c r="F355">
        <v>0</v>
      </c>
      <c r="G355">
        <v>0</v>
      </c>
      <c r="H355">
        <v>27</v>
      </c>
      <c r="I355" s="1">
        <f t="shared" si="10"/>
        <v>1</v>
      </c>
      <c r="J355" t="str">
        <f t="shared" si="11"/>
        <v/>
      </c>
    </row>
    <row r="356" spans="1:10">
      <c r="A356" t="s">
        <v>113</v>
      </c>
      <c r="B356">
        <v>21</v>
      </c>
      <c r="C356">
        <v>1</v>
      </c>
      <c r="D356">
        <v>32</v>
      </c>
      <c r="E356">
        <v>0</v>
      </c>
      <c r="F356">
        <v>0</v>
      </c>
      <c r="G356">
        <v>0</v>
      </c>
      <c r="H356">
        <v>57</v>
      </c>
      <c r="I356" s="1">
        <f t="shared" si="10"/>
        <v>0.56140350877192979</v>
      </c>
      <c r="J356" t="str">
        <f t="shared" si="11"/>
        <v/>
      </c>
    </row>
    <row r="357" spans="1:10">
      <c r="A357" t="s">
        <v>113</v>
      </c>
      <c r="B357">
        <v>21</v>
      </c>
      <c r="C357">
        <v>2</v>
      </c>
      <c r="D357">
        <v>57</v>
      </c>
      <c r="E357">
        <v>0</v>
      </c>
      <c r="F357">
        <v>0</v>
      </c>
      <c r="G357">
        <v>0</v>
      </c>
      <c r="H357">
        <v>57</v>
      </c>
      <c r="I357" s="1">
        <f t="shared" si="10"/>
        <v>1</v>
      </c>
      <c r="J357" t="str">
        <f t="shared" si="11"/>
        <v/>
      </c>
    </row>
    <row r="358" spans="1:10">
      <c r="A358" t="s">
        <v>145</v>
      </c>
      <c r="B358">
        <v>0</v>
      </c>
      <c r="C358">
        <v>1</v>
      </c>
      <c r="D358">
        <v>2</v>
      </c>
      <c r="E358">
        <v>0</v>
      </c>
      <c r="F358">
        <v>0</v>
      </c>
      <c r="G358">
        <v>0</v>
      </c>
      <c r="H358">
        <v>10</v>
      </c>
      <c r="I358" s="1">
        <f t="shared" si="10"/>
        <v>0.2</v>
      </c>
      <c r="J358" t="str">
        <f t="shared" si="11"/>
        <v/>
      </c>
    </row>
    <row r="359" spans="1:10">
      <c r="A359" t="s">
        <v>145</v>
      </c>
      <c r="B359">
        <v>0</v>
      </c>
      <c r="C359">
        <v>2</v>
      </c>
      <c r="D359">
        <v>7</v>
      </c>
      <c r="E359">
        <v>0</v>
      </c>
      <c r="F359">
        <v>3</v>
      </c>
      <c r="G359">
        <v>0</v>
      </c>
      <c r="H359">
        <v>10</v>
      </c>
      <c r="I359" s="1">
        <f t="shared" si="10"/>
        <v>0.7</v>
      </c>
      <c r="J359" t="str">
        <f t="shared" si="11"/>
        <v/>
      </c>
    </row>
    <row r="360" spans="1:10">
      <c r="A360" t="s">
        <v>145</v>
      </c>
      <c r="B360">
        <v>0</v>
      </c>
      <c r="C360">
        <v>3</v>
      </c>
      <c r="D360">
        <v>10</v>
      </c>
      <c r="E360">
        <v>0</v>
      </c>
      <c r="F360">
        <v>0</v>
      </c>
      <c r="G360">
        <v>0</v>
      </c>
      <c r="H360">
        <v>10</v>
      </c>
      <c r="I360" s="1">
        <f t="shared" si="10"/>
        <v>1</v>
      </c>
      <c r="J360" t="str">
        <f t="shared" si="11"/>
        <v/>
      </c>
    </row>
    <row r="361" spans="1:10">
      <c r="A361" t="s">
        <v>145</v>
      </c>
      <c r="B361">
        <v>1</v>
      </c>
      <c r="C361">
        <v>1</v>
      </c>
      <c r="D361">
        <v>17</v>
      </c>
      <c r="E361">
        <v>0</v>
      </c>
      <c r="F361">
        <v>2</v>
      </c>
      <c r="G361">
        <v>0</v>
      </c>
      <c r="H361">
        <v>113</v>
      </c>
      <c r="I361" s="1">
        <f t="shared" si="10"/>
        <v>0.15044247787610621</v>
      </c>
      <c r="J361" t="str">
        <f t="shared" si="11"/>
        <v/>
      </c>
    </row>
    <row r="362" spans="1:10">
      <c r="A362" t="s">
        <v>145</v>
      </c>
      <c r="B362">
        <v>1</v>
      </c>
      <c r="C362">
        <v>2</v>
      </c>
      <c r="D362">
        <v>34</v>
      </c>
      <c r="E362">
        <v>0</v>
      </c>
      <c r="F362">
        <v>1</v>
      </c>
      <c r="G362">
        <v>0</v>
      </c>
      <c r="H362">
        <v>113</v>
      </c>
      <c r="I362" s="1">
        <f t="shared" si="10"/>
        <v>0.30088495575221241</v>
      </c>
      <c r="J362" t="str">
        <f t="shared" si="11"/>
        <v/>
      </c>
    </row>
    <row r="363" spans="1:10">
      <c r="A363" t="s">
        <v>145</v>
      </c>
      <c r="B363">
        <v>1</v>
      </c>
      <c r="C363">
        <v>3</v>
      </c>
      <c r="D363">
        <v>60</v>
      </c>
      <c r="E363">
        <v>0</v>
      </c>
      <c r="F363">
        <v>0</v>
      </c>
      <c r="G363">
        <v>0</v>
      </c>
      <c r="H363">
        <v>113</v>
      </c>
      <c r="I363" s="1">
        <f t="shared" si="10"/>
        <v>0.53097345132743368</v>
      </c>
      <c r="J363" t="str">
        <f t="shared" si="11"/>
        <v/>
      </c>
    </row>
    <row r="364" spans="1:10">
      <c r="A364" t="s">
        <v>145</v>
      </c>
      <c r="B364">
        <v>1</v>
      </c>
      <c r="C364">
        <v>4</v>
      </c>
      <c r="D364">
        <v>113</v>
      </c>
      <c r="E364">
        <v>0</v>
      </c>
      <c r="F364">
        <v>0</v>
      </c>
      <c r="G364">
        <v>0</v>
      </c>
      <c r="H364">
        <v>113</v>
      </c>
      <c r="I364" s="1">
        <f t="shared" si="10"/>
        <v>1</v>
      </c>
      <c r="J364" t="str">
        <f t="shared" si="11"/>
        <v/>
      </c>
    </row>
    <row r="365" spans="1:10">
      <c r="A365" t="s">
        <v>149</v>
      </c>
      <c r="B365">
        <v>1</v>
      </c>
      <c r="C365">
        <v>1</v>
      </c>
      <c r="D365">
        <v>14</v>
      </c>
      <c r="E365">
        <v>0</v>
      </c>
      <c r="F365">
        <v>3</v>
      </c>
      <c r="G365">
        <v>0</v>
      </c>
      <c r="H365">
        <v>94</v>
      </c>
      <c r="I365" s="1">
        <f t="shared" si="10"/>
        <v>0.14893617021276595</v>
      </c>
      <c r="J365" t="str">
        <f t="shared" si="11"/>
        <v/>
      </c>
    </row>
    <row r="366" spans="1:10">
      <c r="A366" t="s">
        <v>149</v>
      </c>
      <c r="B366">
        <v>1</v>
      </c>
      <c r="C366">
        <v>2</v>
      </c>
      <c r="D366">
        <v>21</v>
      </c>
      <c r="E366">
        <v>0</v>
      </c>
      <c r="F366">
        <v>4</v>
      </c>
      <c r="G366">
        <v>0</v>
      </c>
      <c r="H366">
        <v>94</v>
      </c>
      <c r="I366" s="1">
        <f t="shared" si="10"/>
        <v>0.22340425531914893</v>
      </c>
      <c r="J366" t="str">
        <f t="shared" si="11"/>
        <v/>
      </c>
    </row>
    <row r="367" spans="1:10">
      <c r="A367" t="s">
        <v>149</v>
      </c>
      <c r="B367">
        <v>1</v>
      </c>
      <c r="C367">
        <v>3</v>
      </c>
      <c r="D367">
        <v>31</v>
      </c>
      <c r="E367">
        <v>0</v>
      </c>
      <c r="F367">
        <v>3</v>
      </c>
      <c r="G367">
        <v>0</v>
      </c>
      <c r="H367">
        <v>94</v>
      </c>
      <c r="I367" s="1">
        <f t="shared" si="10"/>
        <v>0.32978723404255317</v>
      </c>
      <c r="J367" t="str">
        <f t="shared" si="11"/>
        <v/>
      </c>
    </row>
    <row r="368" spans="1:10">
      <c r="A368" t="s">
        <v>149</v>
      </c>
      <c r="B368">
        <v>1</v>
      </c>
      <c r="C368">
        <v>4</v>
      </c>
      <c r="D368">
        <v>42</v>
      </c>
      <c r="E368">
        <v>0</v>
      </c>
      <c r="F368">
        <v>2</v>
      </c>
      <c r="G368">
        <v>0</v>
      </c>
      <c r="H368">
        <v>94</v>
      </c>
      <c r="I368" s="1">
        <f t="shared" si="10"/>
        <v>0.44680851063829785</v>
      </c>
      <c r="J368" t="str">
        <f t="shared" si="11"/>
        <v/>
      </c>
    </row>
    <row r="369" spans="1:10">
      <c r="A369" t="s">
        <v>149</v>
      </c>
      <c r="B369">
        <v>1</v>
      </c>
      <c r="C369">
        <v>5</v>
      </c>
      <c r="D369">
        <v>55</v>
      </c>
      <c r="E369">
        <v>0</v>
      </c>
      <c r="F369">
        <v>2</v>
      </c>
      <c r="G369">
        <v>0</v>
      </c>
      <c r="H369">
        <v>94</v>
      </c>
      <c r="I369" s="1">
        <f t="shared" si="10"/>
        <v>0.58510638297872342</v>
      </c>
      <c r="J369" t="str">
        <f t="shared" si="11"/>
        <v/>
      </c>
    </row>
    <row r="370" spans="1:10">
      <c r="A370" t="s">
        <v>149</v>
      </c>
      <c r="B370">
        <v>1</v>
      </c>
      <c r="C370">
        <v>6</v>
      </c>
      <c r="D370">
        <v>66</v>
      </c>
      <c r="E370">
        <v>0</v>
      </c>
      <c r="F370">
        <v>1</v>
      </c>
      <c r="G370">
        <v>0</v>
      </c>
      <c r="H370">
        <v>94</v>
      </c>
      <c r="I370" s="1">
        <f t="shared" si="10"/>
        <v>0.7021276595744681</v>
      </c>
      <c r="J370" t="str">
        <f t="shared" si="11"/>
        <v/>
      </c>
    </row>
    <row r="371" spans="1:10">
      <c r="A371" t="s">
        <v>149</v>
      </c>
      <c r="B371">
        <v>1</v>
      </c>
      <c r="C371">
        <v>7</v>
      </c>
      <c r="D371">
        <v>81</v>
      </c>
      <c r="E371">
        <v>0</v>
      </c>
      <c r="F371">
        <v>1</v>
      </c>
      <c r="G371">
        <v>0</v>
      </c>
      <c r="H371">
        <v>94</v>
      </c>
      <c r="I371" s="1">
        <f t="shared" si="10"/>
        <v>0.86170212765957444</v>
      </c>
      <c r="J371" t="str">
        <f t="shared" si="11"/>
        <v/>
      </c>
    </row>
    <row r="372" spans="1:10">
      <c r="A372" t="s">
        <v>149</v>
      </c>
      <c r="B372">
        <v>1</v>
      </c>
      <c r="C372">
        <v>8</v>
      </c>
      <c r="D372">
        <v>94</v>
      </c>
      <c r="E372">
        <v>0</v>
      </c>
      <c r="F372">
        <v>0</v>
      </c>
      <c r="G372">
        <v>0</v>
      </c>
      <c r="H372">
        <v>94</v>
      </c>
      <c r="I372" s="1">
        <f t="shared" si="10"/>
        <v>1</v>
      </c>
      <c r="J372" t="str">
        <f t="shared" si="11"/>
        <v/>
      </c>
    </row>
    <row r="373" spans="1:10">
      <c r="A373" t="s">
        <v>304</v>
      </c>
      <c r="B373">
        <v>5</v>
      </c>
      <c r="C373">
        <v>1</v>
      </c>
      <c r="D373">
        <v>31</v>
      </c>
      <c r="E373">
        <v>0</v>
      </c>
      <c r="F373">
        <v>2</v>
      </c>
      <c r="G373">
        <v>0</v>
      </c>
      <c r="H373">
        <v>211</v>
      </c>
      <c r="I373" s="1">
        <f t="shared" si="10"/>
        <v>0.14691943127962084</v>
      </c>
      <c r="J373" t="str">
        <f t="shared" si="11"/>
        <v/>
      </c>
    </row>
    <row r="374" spans="1:10">
      <c r="A374" t="s">
        <v>304</v>
      </c>
      <c r="B374">
        <v>5</v>
      </c>
      <c r="C374">
        <v>2</v>
      </c>
      <c r="D374">
        <v>46</v>
      </c>
      <c r="E374">
        <v>0</v>
      </c>
      <c r="F374">
        <v>3</v>
      </c>
      <c r="G374">
        <v>0</v>
      </c>
      <c r="H374">
        <v>211</v>
      </c>
      <c r="I374" s="1">
        <f t="shared" si="10"/>
        <v>0.21800947867298578</v>
      </c>
      <c r="J374" t="str">
        <f t="shared" si="11"/>
        <v/>
      </c>
    </row>
    <row r="375" spans="1:10">
      <c r="A375" t="s">
        <v>304</v>
      </c>
      <c r="B375">
        <v>5</v>
      </c>
      <c r="C375">
        <v>3</v>
      </c>
      <c r="D375">
        <v>55</v>
      </c>
      <c r="E375">
        <v>0</v>
      </c>
      <c r="F375">
        <v>3</v>
      </c>
      <c r="G375">
        <v>0</v>
      </c>
      <c r="H375">
        <v>211</v>
      </c>
      <c r="I375" s="1">
        <f t="shared" si="10"/>
        <v>0.26066350710900477</v>
      </c>
      <c r="J375" t="str">
        <f t="shared" si="11"/>
        <v/>
      </c>
    </row>
    <row r="376" spans="1:10">
      <c r="A376" t="s">
        <v>304</v>
      </c>
      <c r="B376">
        <v>5</v>
      </c>
      <c r="C376">
        <v>4</v>
      </c>
      <c r="D376">
        <v>59</v>
      </c>
      <c r="E376">
        <v>0</v>
      </c>
      <c r="F376">
        <v>3</v>
      </c>
      <c r="G376">
        <v>0</v>
      </c>
      <c r="H376">
        <v>211</v>
      </c>
      <c r="I376" s="1">
        <f t="shared" si="10"/>
        <v>0.27962085308056872</v>
      </c>
      <c r="J376" t="str">
        <f t="shared" si="11"/>
        <v/>
      </c>
    </row>
    <row r="377" spans="1:10">
      <c r="A377" t="s">
        <v>304</v>
      </c>
      <c r="B377">
        <v>5</v>
      </c>
      <c r="C377">
        <v>5</v>
      </c>
      <c r="D377">
        <v>68</v>
      </c>
      <c r="E377">
        <v>0</v>
      </c>
      <c r="F377">
        <v>3</v>
      </c>
      <c r="G377">
        <v>0</v>
      </c>
      <c r="H377">
        <v>211</v>
      </c>
      <c r="I377" s="1">
        <f t="shared" si="10"/>
        <v>0.32227488151658767</v>
      </c>
      <c r="J377" t="str">
        <f t="shared" si="11"/>
        <v/>
      </c>
    </row>
    <row r="378" spans="1:10">
      <c r="A378" t="s">
        <v>304</v>
      </c>
      <c r="B378">
        <v>5</v>
      </c>
      <c r="C378">
        <v>6</v>
      </c>
      <c r="D378">
        <v>72</v>
      </c>
      <c r="E378">
        <v>0</v>
      </c>
      <c r="F378">
        <v>3</v>
      </c>
      <c r="G378">
        <v>0</v>
      </c>
      <c r="H378">
        <v>211</v>
      </c>
      <c r="I378" s="1">
        <f t="shared" si="10"/>
        <v>0.34123222748815168</v>
      </c>
      <c r="J378" t="str">
        <f t="shared" si="11"/>
        <v/>
      </c>
    </row>
    <row r="379" spans="1:10">
      <c r="A379" t="s">
        <v>304</v>
      </c>
      <c r="B379">
        <v>5</v>
      </c>
      <c r="C379">
        <v>7</v>
      </c>
      <c r="D379">
        <v>99</v>
      </c>
      <c r="E379">
        <v>0</v>
      </c>
      <c r="F379">
        <v>7</v>
      </c>
      <c r="G379">
        <v>0</v>
      </c>
      <c r="H379">
        <v>211</v>
      </c>
      <c r="I379" s="1">
        <f t="shared" si="10"/>
        <v>0.46919431279620855</v>
      </c>
      <c r="J379" t="str">
        <f t="shared" si="11"/>
        <v/>
      </c>
    </row>
    <row r="380" spans="1:10">
      <c r="A380" t="s">
        <v>304</v>
      </c>
      <c r="B380">
        <v>5</v>
      </c>
      <c r="C380">
        <v>8</v>
      </c>
      <c r="D380">
        <v>108</v>
      </c>
      <c r="E380">
        <v>0</v>
      </c>
      <c r="F380">
        <v>7</v>
      </c>
      <c r="G380">
        <v>0</v>
      </c>
      <c r="H380">
        <v>211</v>
      </c>
      <c r="I380" s="1">
        <f t="shared" si="10"/>
        <v>0.51184834123222744</v>
      </c>
      <c r="J380" t="str">
        <f t="shared" si="11"/>
        <v/>
      </c>
    </row>
    <row r="381" spans="1:10">
      <c r="A381" t="s">
        <v>304</v>
      </c>
      <c r="B381">
        <v>5</v>
      </c>
      <c r="C381">
        <v>9</v>
      </c>
      <c r="D381">
        <v>110</v>
      </c>
      <c r="E381">
        <v>0</v>
      </c>
      <c r="F381">
        <v>6</v>
      </c>
      <c r="G381">
        <v>0</v>
      </c>
      <c r="H381">
        <v>211</v>
      </c>
      <c r="I381" s="1">
        <f t="shared" si="10"/>
        <v>0.52132701421800953</v>
      </c>
      <c r="J381" t="str">
        <f t="shared" si="11"/>
        <v/>
      </c>
    </row>
    <row r="382" spans="1:10">
      <c r="A382" t="s">
        <v>304</v>
      </c>
      <c r="B382">
        <v>5</v>
      </c>
      <c r="C382">
        <v>10</v>
      </c>
      <c r="D382">
        <v>119</v>
      </c>
      <c r="E382">
        <v>0</v>
      </c>
      <c r="F382">
        <v>6</v>
      </c>
      <c r="G382">
        <v>0</v>
      </c>
      <c r="H382">
        <v>211</v>
      </c>
      <c r="I382" s="1">
        <f t="shared" si="10"/>
        <v>0.56398104265402849</v>
      </c>
      <c r="J382" t="str">
        <f t="shared" si="11"/>
        <v/>
      </c>
    </row>
    <row r="383" spans="1:10">
      <c r="A383" t="s">
        <v>304</v>
      </c>
      <c r="B383">
        <v>5</v>
      </c>
      <c r="C383">
        <v>11</v>
      </c>
      <c r="D383">
        <v>128</v>
      </c>
      <c r="E383">
        <v>0</v>
      </c>
      <c r="F383">
        <v>5</v>
      </c>
      <c r="G383">
        <v>0</v>
      </c>
      <c r="H383">
        <v>211</v>
      </c>
      <c r="I383" s="1">
        <f t="shared" si="10"/>
        <v>0.60663507109004744</v>
      </c>
      <c r="J383" t="str">
        <f t="shared" si="11"/>
        <v/>
      </c>
    </row>
    <row r="384" spans="1:10">
      <c r="A384" t="s">
        <v>304</v>
      </c>
      <c r="B384">
        <v>5</v>
      </c>
      <c r="C384">
        <v>12</v>
      </c>
      <c r="D384">
        <v>135</v>
      </c>
      <c r="E384">
        <v>0</v>
      </c>
      <c r="F384">
        <v>9</v>
      </c>
      <c r="G384">
        <v>0</v>
      </c>
      <c r="H384">
        <v>211</v>
      </c>
      <c r="I384" s="1">
        <f t="shared" si="10"/>
        <v>0.6398104265402843</v>
      </c>
      <c r="J384" t="str">
        <f t="shared" si="11"/>
        <v/>
      </c>
    </row>
    <row r="385" spans="1:10">
      <c r="A385" t="s">
        <v>304</v>
      </c>
      <c r="B385">
        <v>5</v>
      </c>
      <c r="C385">
        <v>13</v>
      </c>
      <c r="D385">
        <v>163</v>
      </c>
      <c r="E385">
        <v>0</v>
      </c>
      <c r="F385">
        <v>9</v>
      </c>
      <c r="G385">
        <v>0</v>
      </c>
      <c r="H385">
        <v>211</v>
      </c>
      <c r="I385" s="1">
        <f t="shared" si="10"/>
        <v>0.77251184834123221</v>
      </c>
      <c r="J385" t="str">
        <f t="shared" si="11"/>
        <v/>
      </c>
    </row>
    <row r="386" spans="1:10">
      <c r="A386" t="s">
        <v>304</v>
      </c>
      <c r="B386">
        <v>5</v>
      </c>
      <c r="C386">
        <v>14</v>
      </c>
      <c r="D386">
        <v>175</v>
      </c>
      <c r="E386">
        <v>0</v>
      </c>
      <c r="F386">
        <v>8</v>
      </c>
      <c r="G386">
        <v>0</v>
      </c>
      <c r="H386">
        <v>211</v>
      </c>
      <c r="I386" s="1">
        <f t="shared" si="10"/>
        <v>0.82938388625592419</v>
      </c>
      <c r="J386" t="str">
        <f t="shared" si="11"/>
        <v/>
      </c>
    </row>
    <row r="387" spans="1:10">
      <c r="A387" t="s">
        <v>304</v>
      </c>
      <c r="B387">
        <v>5</v>
      </c>
      <c r="C387">
        <v>15</v>
      </c>
      <c r="D387">
        <v>179</v>
      </c>
      <c r="E387">
        <v>0</v>
      </c>
      <c r="F387">
        <v>5</v>
      </c>
      <c r="G387">
        <v>0</v>
      </c>
      <c r="H387">
        <v>211</v>
      </c>
      <c r="I387" s="1">
        <f t="shared" ref="I387:I450" si="12">D387/H387</f>
        <v>0.84834123222748814</v>
      </c>
      <c r="J387" t="str">
        <f t="shared" ref="J387:J450" si="13">IF(I387&gt;1,"!","")</f>
        <v/>
      </c>
    </row>
    <row r="388" spans="1:10">
      <c r="A388" t="s">
        <v>304</v>
      </c>
      <c r="B388">
        <v>5</v>
      </c>
      <c r="C388">
        <v>16</v>
      </c>
      <c r="D388">
        <v>179</v>
      </c>
      <c r="E388">
        <v>0</v>
      </c>
      <c r="F388">
        <v>5</v>
      </c>
      <c r="G388">
        <v>0</v>
      </c>
      <c r="H388">
        <v>211</v>
      </c>
      <c r="I388" s="1">
        <f t="shared" si="12"/>
        <v>0.84834123222748814</v>
      </c>
      <c r="J388" t="str">
        <f t="shared" si="13"/>
        <v/>
      </c>
    </row>
    <row r="389" spans="1:10">
      <c r="A389" t="s">
        <v>304</v>
      </c>
      <c r="B389">
        <v>5</v>
      </c>
      <c r="C389">
        <v>17</v>
      </c>
      <c r="D389">
        <v>207</v>
      </c>
      <c r="E389">
        <v>0</v>
      </c>
      <c r="F389">
        <v>4</v>
      </c>
      <c r="G389">
        <v>0</v>
      </c>
      <c r="H389">
        <v>211</v>
      </c>
      <c r="I389" s="1">
        <f t="shared" si="12"/>
        <v>0.98104265402843605</v>
      </c>
      <c r="J389" t="str">
        <f t="shared" si="13"/>
        <v/>
      </c>
    </row>
    <row r="390" spans="1:10">
      <c r="A390" t="s">
        <v>304</v>
      </c>
      <c r="B390">
        <v>5</v>
      </c>
      <c r="C390">
        <v>18</v>
      </c>
      <c r="D390">
        <v>211</v>
      </c>
      <c r="E390">
        <v>0</v>
      </c>
      <c r="F390">
        <v>0</v>
      </c>
      <c r="G390">
        <v>0</v>
      </c>
      <c r="H390">
        <v>211</v>
      </c>
      <c r="I390" s="1">
        <f t="shared" si="12"/>
        <v>1</v>
      </c>
      <c r="J390" t="str">
        <f t="shared" si="13"/>
        <v/>
      </c>
    </row>
    <row r="391" spans="1:10">
      <c r="A391" t="s">
        <v>304</v>
      </c>
      <c r="B391">
        <v>6</v>
      </c>
      <c r="C391">
        <v>1</v>
      </c>
      <c r="D391">
        <v>182</v>
      </c>
      <c r="E391">
        <v>0</v>
      </c>
      <c r="F391">
        <v>0</v>
      </c>
      <c r="G391">
        <v>0</v>
      </c>
      <c r="H391">
        <v>775</v>
      </c>
      <c r="I391" s="1">
        <f t="shared" si="12"/>
        <v>0.23483870967741935</v>
      </c>
      <c r="J391" t="str">
        <f t="shared" si="13"/>
        <v/>
      </c>
    </row>
    <row r="392" spans="1:10">
      <c r="A392" t="s">
        <v>304</v>
      </c>
      <c r="B392">
        <v>6</v>
      </c>
      <c r="C392">
        <v>2</v>
      </c>
      <c r="D392">
        <v>191</v>
      </c>
      <c r="E392">
        <v>0</v>
      </c>
      <c r="F392">
        <v>0</v>
      </c>
      <c r="G392">
        <v>0</v>
      </c>
      <c r="H392">
        <v>775</v>
      </c>
      <c r="I392" s="1">
        <f t="shared" si="12"/>
        <v>0.24645161290322581</v>
      </c>
      <c r="J392" t="str">
        <f t="shared" si="13"/>
        <v/>
      </c>
    </row>
    <row r="393" spans="1:10">
      <c r="A393" t="s">
        <v>304</v>
      </c>
      <c r="B393">
        <v>6</v>
      </c>
      <c r="C393">
        <v>3</v>
      </c>
      <c r="D393">
        <v>191</v>
      </c>
      <c r="E393">
        <v>0</v>
      </c>
      <c r="F393">
        <v>0</v>
      </c>
      <c r="G393">
        <v>0</v>
      </c>
      <c r="H393">
        <v>775</v>
      </c>
      <c r="I393" s="1">
        <f t="shared" si="12"/>
        <v>0.24645161290322581</v>
      </c>
      <c r="J393" t="str">
        <f t="shared" si="13"/>
        <v/>
      </c>
    </row>
    <row r="394" spans="1:10">
      <c r="A394" t="s">
        <v>304</v>
      </c>
      <c r="B394">
        <v>6</v>
      </c>
      <c r="C394">
        <v>4</v>
      </c>
      <c r="D394">
        <v>232</v>
      </c>
      <c r="E394">
        <v>0</v>
      </c>
      <c r="F394">
        <v>5</v>
      </c>
      <c r="G394">
        <v>0</v>
      </c>
      <c r="H394">
        <v>775</v>
      </c>
      <c r="I394" s="1">
        <f t="shared" si="12"/>
        <v>0.29935483870967744</v>
      </c>
      <c r="J394" t="str">
        <f t="shared" si="13"/>
        <v/>
      </c>
    </row>
    <row r="395" spans="1:10">
      <c r="A395" t="s">
        <v>304</v>
      </c>
      <c r="B395">
        <v>6</v>
      </c>
      <c r="C395">
        <v>5</v>
      </c>
      <c r="D395">
        <v>267</v>
      </c>
      <c r="E395">
        <v>0</v>
      </c>
      <c r="F395">
        <v>4</v>
      </c>
      <c r="G395">
        <v>0</v>
      </c>
      <c r="H395">
        <v>775</v>
      </c>
      <c r="I395" s="1">
        <f t="shared" si="12"/>
        <v>0.34451612903225809</v>
      </c>
      <c r="J395" t="str">
        <f t="shared" si="13"/>
        <v/>
      </c>
    </row>
    <row r="396" spans="1:10">
      <c r="A396" t="s">
        <v>304</v>
      </c>
      <c r="B396">
        <v>6</v>
      </c>
      <c r="C396">
        <v>6</v>
      </c>
      <c r="D396">
        <v>299</v>
      </c>
      <c r="E396">
        <v>0</v>
      </c>
      <c r="F396">
        <v>5</v>
      </c>
      <c r="G396">
        <v>0</v>
      </c>
      <c r="H396">
        <v>775</v>
      </c>
      <c r="I396" s="1">
        <f t="shared" si="12"/>
        <v>0.38580645161290322</v>
      </c>
      <c r="J396" t="str">
        <f t="shared" si="13"/>
        <v/>
      </c>
    </row>
    <row r="397" spans="1:10">
      <c r="A397" t="s">
        <v>304</v>
      </c>
      <c r="B397">
        <v>6</v>
      </c>
      <c r="C397">
        <v>7</v>
      </c>
      <c r="D397">
        <v>359</v>
      </c>
      <c r="E397">
        <v>0</v>
      </c>
      <c r="F397">
        <v>4</v>
      </c>
      <c r="G397">
        <v>0</v>
      </c>
      <c r="H397">
        <v>775</v>
      </c>
      <c r="I397" s="1">
        <f t="shared" si="12"/>
        <v>0.46322580645161288</v>
      </c>
      <c r="J397" t="str">
        <f t="shared" si="13"/>
        <v/>
      </c>
    </row>
    <row r="398" spans="1:10">
      <c r="A398" t="s">
        <v>304</v>
      </c>
      <c r="B398">
        <v>6</v>
      </c>
      <c r="C398">
        <v>8</v>
      </c>
      <c r="D398">
        <v>359</v>
      </c>
      <c r="E398">
        <v>0</v>
      </c>
      <c r="F398">
        <v>4</v>
      </c>
      <c r="G398">
        <v>0</v>
      </c>
      <c r="H398">
        <v>775</v>
      </c>
      <c r="I398" s="1">
        <f t="shared" si="12"/>
        <v>0.46322580645161288</v>
      </c>
      <c r="J398" t="str">
        <f t="shared" si="13"/>
        <v/>
      </c>
    </row>
    <row r="399" spans="1:10">
      <c r="A399" t="s">
        <v>304</v>
      </c>
      <c r="B399">
        <v>6</v>
      </c>
      <c r="C399">
        <v>9</v>
      </c>
      <c r="D399">
        <v>371</v>
      </c>
      <c r="E399">
        <v>0</v>
      </c>
      <c r="F399">
        <v>3</v>
      </c>
      <c r="G399">
        <v>0</v>
      </c>
      <c r="H399">
        <v>775</v>
      </c>
      <c r="I399" s="1">
        <f t="shared" si="12"/>
        <v>0.47870967741935483</v>
      </c>
      <c r="J399" t="str">
        <f t="shared" si="13"/>
        <v/>
      </c>
    </row>
    <row r="400" spans="1:10">
      <c r="A400" t="s">
        <v>304</v>
      </c>
      <c r="B400">
        <v>6</v>
      </c>
      <c r="C400">
        <v>10</v>
      </c>
      <c r="D400">
        <v>461</v>
      </c>
      <c r="E400">
        <v>0</v>
      </c>
      <c r="F400">
        <v>4</v>
      </c>
      <c r="G400">
        <v>0</v>
      </c>
      <c r="H400">
        <v>775</v>
      </c>
      <c r="I400" s="1">
        <f t="shared" si="12"/>
        <v>0.59483870967741936</v>
      </c>
      <c r="J400" t="str">
        <f t="shared" si="13"/>
        <v/>
      </c>
    </row>
    <row r="401" spans="1:10">
      <c r="A401" t="s">
        <v>304</v>
      </c>
      <c r="B401">
        <v>6</v>
      </c>
      <c r="C401">
        <v>11</v>
      </c>
      <c r="D401">
        <v>579</v>
      </c>
      <c r="E401">
        <v>0</v>
      </c>
      <c r="F401">
        <v>4</v>
      </c>
      <c r="G401">
        <v>0</v>
      </c>
      <c r="H401">
        <v>775</v>
      </c>
      <c r="I401" s="1">
        <f t="shared" si="12"/>
        <v>0.74709677419354836</v>
      </c>
      <c r="J401" t="str">
        <f t="shared" si="13"/>
        <v/>
      </c>
    </row>
    <row r="402" spans="1:10">
      <c r="A402" t="s">
        <v>304</v>
      </c>
      <c r="B402">
        <v>6</v>
      </c>
      <c r="C402">
        <v>12</v>
      </c>
      <c r="D402">
        <v>701</v>
      </c>
      <c r="E402">
        <v>0</v>
      </c>
      <c r="F402">
        <v>3</v>
      </c>
      <c r="G402">
        <v>0</v>
      </c>
      <c r="H402">
        <v>775</v>
      </c>
      <c r="I402" s="1">
        <f t="shared" si="12"/>
        <v>0.90451612903225809</v>
      </c>
      <c r="J402" t="str">
        <f t="shared" si="13"/>
        <v/>
      </c>
    </row>
    <row r="403" spans="1:10">
      <c r="A403" t="s">
        <v>304</v>
      </c>
      <c r="B403">
        <v>6</v>
      </c>
      <c r="C403">
        <v>13</v>
      </c>
      <c r="D403">
        <v>713</v>
      </c>
      <c r="E403">
        <v>0</v>
      </c>
      <c r="F403">
        <v>2</v>
      </c>
      <c r="G403">
        <v>0</v>
      </c>
      <c r="H403">
        <v>775</v>
      </c>
      <c r="I403" s="1">
        <f t="shared" si="12"/>
        <v>0.92</v>
      </c>
      <c r="J403" t="str">
        <f t="shared" si="13"/>
        <v/>
      </c>
    </row>
    <row r="404" spans="1:10">
      <c r="A404" t="s">
        <v>304</v>
      </c>
      <c r="B404">
        <v>6</v>
      </c>
      <c r="C404">
        <v>14</v>
      </c>
      <c r="D404">
        <v>725</v>
      </c>
      <c r="E404">
        <v>0</v>
      </c>
      <c r="F404">
        <v>1</v>
      </c>
      <c r="G404">
        <v>0</v>
      </c>
      <c r="H404">
        <v>775</v>
      </c>
      <c r="I404" s="1">
        <f t="shared" si="12"/>
        <v>0.93548387096774188</v>
      </c>
      <c r="J404" t="str">
        <f t="shared" si="13"/>
        <v/>
      </c>
    </row>
    <row r="405" spans="1:10">
      <c r="A405" t="s">
        <v>304</v>
      </c>
      <c r="B405">
        <v>6</v>
      </c>
      <c r="C405">
        <v>15</v>
      </c>
      <c r="D405">
        <v>775</v>
      </c>
      <c r="E405">
        <v>0</v>
      </c>
      <c r="F405">
        <v>0</v>
      </c>
      <c r="G405">
        <v>0</v>
      </c>
      <c r="H405">
        <v>775</v>
      </c>
      <c r="I405" s="1">
        <f t="shared" si="12"/>
        <v>1</v>
      </c>
      <c r="J405" t="str">
        <f t="shared" si="13"/>
        <v/>
      </c>
    </row>
    <row r="406" spans="1:10">
      <c r="A406" t="s">
        <v>155</v>
      </c>
      <c r="B406">
        <v>9</v>
      </c>
      <c r="C406">
        <v>1</v>
      </c>
      <c r="D406">
        <v>9</v>
      </c>
      <c r="E406">
        <v>0</v>
      </c>
      <c r="F406">
        <v>2</v>
      </c>
      <c r="G406">
        <v>0</v>
      </c>
      <c r="H406">
        <v>36</v>
      </c>
      <c r="I406" s="1">
        <f t="shared" si="12"/>
        <v>0.25</v>
      </c>
      <c r="J406" t="str">
        <f t="shared" si="13"/>
        <v/>
      </c>
    </row>
    <row r="407" spans="1:10">
      <c r="A407" t="s">
        <v>155</v>
      </c>
      <c r="B407">
        <v>9</v>
      </c>
      <c r="C407">
        <v>2</v>
      </c>
      <c r="D407">
        <v>14</v>
      </c>
      <c r="E407">
        <v>0</v>
      </c>
      <c r="F407">
        <v>2</v>
      </c>
      <c r="G407">
        <v>0</v>
      </c>
      <c r="H407">
        <v>36</v>
      </c>
      <c r="I407" s="1">
        <f t="shared" si="12"/>
        <v>0.3888888888888889</v>
      </c>
      <c r="J407" t="str">
        <f t="shared" si="13"/>
        <v/>
      </c>
    </row>
    <row r="408" spans="1:10">
      <c r="A408" t="s">
        <v>155</v>
      </c>
      <c r="B408">
        <v>9</v>
      </c>
      <c r="C408">
        <v>3</v>
      </c>
      <c r="D408">
        <v>15</v>
      </c>
      <c r="E408">
        <v>0</v>
      </c>
      <c r="F408">
        <v>2</v>
      </c>
      <c r="G408">
        <v>0</v>
      </c>
      <c r="H408">
        <v>36</v>
      </c>
      <c r="I408" s="1">
        <f t="shared" si="12"/>
        <v>0.41666666666666669</v>
      </c>
      <c r="J408" t="str">
        <f t="shared" si="13"/>
        <v/>
      </c>
    </row>
    <row r="409" spans="1:10">
      <c r="A409" t="s">
        <v>155</v>
      </c>
      <c r="B409">
        <v>9</v>
      </c>
      <c r="C409">
        <v>4</v>
      </c>
      <c r="D409">
        <v>20</v>
      </c>
      <c r="E409">
        <v>0</v>
      </c>
      <c r="F409">
        <v>2</v>
      </c>
      <c r="G409">
        <v>0</v>
      </c>
      <c r="H409">
        <v>36</v>
      </c>
      <c r="I409" s="1">
        <f t="shared" si="12"/>
        <v>0.55555555555555558</v>
      </c>
      <c r="J409" t="str">
        <f t="shared" si="13"/>
        <v/>
      </c>
    </row>
    <row r="410" spans="1:10">
      <c r="A410" t="s">
        <v>155</v>
      </c>
      <c r="B410">
        <v>9</v>
      </c>
      <c r="C410">
        <v>5</v>
      </c>
      <c r="D410">
        <v>25</v>
      </c>
      <c r="E410">
        <v>0</v>
      </c>
      <c r="F410">
        <v>1</v>
      </c>
      <c r="G410">
        <v>0</v>
      </c>
      <c r="H410">
        <v>36</v>
      </c>
      <c r="I410" s="1">
        <f t="shared" si="12"/>
        <v>0.69444444444444442</v>
      </c>
      <c r="J410" t="str">
        <f t="shared" si="13"/>
        <v/>
      </c>
    </row>
    <row r="411" spans="1:10">
      <c r="A411" t="s">
        <v>155</v>
      </c>
      <c r="B411">
        <v>9</v>
      </c>
      <c r="C411">
        <v>6</v>
      </c>
      <c r="D411">
        <v>25</v>
      </c>
      <c r="E411">
        <v>0</v>
      </c>
      <c r="F411">
        <v>1</v>
      </c>
      <c r="G411">
        <v>0</v>
      </c>
      <c r="H411">
        <v>36</v>
      </c>
      <c r="I411" s="1">
        <f t="shared" si="12"/>
        <v>0.69444444444444442</v>
      </c>
      <c r="J411" t="str">
        <f t="shared" si="13"/>
        <v/>
      </c>
    </row>
    <row r="412" spans="1:10">
      <c r="A412" t="s">
        <v>155</v>
      </c>
      <c r="B412">
        <v>9</v>
      </c>
      <c r="C412">
        <v>7</v>
      </c>
      <c r="D412">
        <v>25</v>
      </c>
      <c r="E412">
        <v>0</v>
      </c>
      <c r="F412">
        <v>1</v>
      </c>
      <c r="G412">
        <v>0</v>
      </c>
      <c r="H412">
        <v>36</v>
      </c>
      <c r="I412" s="1">
        <f t="shared" si="12"/>
        <v>0.69444444444444442</v>
      </c>
      <c r="J412" t="str">
        <f t="shared" si="13"/>
        <v/>
      </c>
    </row>
    <row r="413" spans="1:10">
      <c r="A413" t="s">
        <v>155</v>
      </c>
      <c r="B413">
        <v>9</v>
      </c>
      <c r="C413">
        <v>8</v>
      </c>
      <c r="D413">
        <v>25</v>
      </c>
      <c r="E413">
        <v>0</v>
      </c>
      <c r="F413">
        <v>1</v>
      </c>
      <c r="G413">
        <v>0</v>
      </c>
      <c r="H413">
        <v>36</v>
      </c>
      <c r="I413" s="1">
        <f t="shared" si="12"/>
        <v>0.69444444444444442</v>
      </c>
      <c r="J413" t="str">
        <f t="shared" si="13"/>
        <v/>
      </c>
    </row>
    <row r="414" spans="1:10">
      <c r="A414" t="s">
        <v>155</v>
      </c>
      <c r="B414">
        <v>9</v>
      </c>
      <c r="C414">
        <v>9</v>
      </c>
      <c r="D414">
        <v>25</v>
      </c>
      <c r="E414">
        <v>0</v>
      </c>
      <c r="F414">
        <v>1</v>
      </c>
      <c r="G414">
        <v>0</v>
      </c>
      <c r="H414">
        <v>36</v>
      </c>
      <c r="I414" s="1">
        <f t="shared" si="12"/>
        <v>0.69444444444444442</v>
      </c>
      <c r="J414" t="str">
        <f t="shared" si="13"/>
        <v/>
      </c>
    </row>
    <row r="415" spans="1:10">
      <c r="A415" t="s">
        <v>155</v>
      </c>
      <c r="B415">
        <v>9</v>
      </c>
      <c r="C415">
        <v>10</v>
      </c>
      <c r="D415">
        <v>25</v>
      </c>
      <c r="E415">
        <v>0</v>
      </c>
      <c r="F415">
        <v>1</v>
      </c>
      <c r="G415">
        <v>0</v>
      </c>
      <c r="H415">
        <v>36</v>
      </c>
      <c r="I415" s="1">
        <f t="shared" si="12"/>
        <v>0.69444444444444442</v>
      </c>
      <c r="J415" t="str">
        <f t="shared" si="13"/>
        <v/>
      </c>
    </row>
    <row r="416" spans="1:10">
      <c r="A416" t="s">
        <v>155</v>
      </c>
      <c r="B416">
        <v>9</v>
      </c>
      <c r="C416">
        <v>11</v>
      </c>
      <c r="D416">
        <v>25</v>
      </c>
      <c r="E416">
        <v>0</v>
      </c>
      <c r="F416">
        <v>1</v>
      </c>
      <c r="G416">
        <v>0</v>
      </c>
      <c r="H416">
        <v>36</v>
      </c>
      <c r="I416" s="1">
        <f t="shared" si="12"/>
        <v>0.69444444444444442</v>
      </c>
      <c r="J416" t="str">
        <f t="shared" si="13"/>
        <v/>
      </c>
    </row>
    <row r="417" spans="1:10">
      <c r="A417" t="s">
        <v>155</v>
      </c>
      <c r="B417">
        <v>9</v>
      </c>
      <c r="C417">
        <v>12</v>
      </c>
      <c r="D417">
        <v>30</v>
      </c>
      <c r="E417">
        <v>0</v>
      </c>
      <c r="F417">
        <v>1</v>
      </c>
      <c r="G417">
        <v>0</v>
      </c>
      <c r="H417">
        <v>36</v>
      </c>
      <c r="I417" s="1">
        <f t="shared" si="12"/>
        <v>0.83333333333333337</v>
      </c>
      <c r="J417" t="str">
        <f t="shared" si="13"/>
        <v/>
      </c>
    </row>
    <row r="418" spans="1:10">
      <c r="A418" t="s">
        <v>155</v>
      </c>
      <c r="B418">
        <v>9</v>
      </c>
      <c r="C418">
        <v>13</v>
      </c>
      <c r="D418">
        <v>30</v>
      </c>
      <c r="E418">
        <v>0</v>
      </c>
      <c r="F418">
        <v>1</v>
      </c>
      <c r="G418">
        <v>0</v>
      </c>
      <c r="H418">
        <v>36</v>
      </c>
      <c r="I418" s="1">
        <f t="shared" si="12"/>
        <v>0.83333333333333337</v>
      </c>
      <c r="J418" t="str">
        <f t="shared" si="13"/>
        <v/>
      </c>
    </row>
    <row r="419" spans="1:10">
      <c r="A419" t="s">
        <v>155</v>
      </c>
      <c r="B419">
        <v>9</v>
      </c>
      <c r="C419">
        <v>14</v>
      </c>
      <c r="D419">
        <v>30</v>
      </c>
      <c r="E419">
        <v>0</v>
      </c>
      <c r="F419">
        <v>1</v>
      </c>
      <c r="G419">
        <v>0</v>
      </c>
      <c r="H419">
        <v>36</v>
      </c>
      <c r="I419" s="1">
        <f t="shared" si="12"/>
        <v>0.83333333333333337</v>
      </c>
      <c r="J419" t="str">
        <f t="shared" si="13"/>
        <v/>
      </c>
    </row>
    <row r="420" spans="1:10">
      <c r="A420" t="s">
        <v>155</v>
      </c>
      <c r="B420">
        <v>9</v>
      </c>
      <c r="C420">
        <v>15</v>
      </c>
      <c r="D420">
        <v>36</v>
      </c>
      <c r="E420">
        <v>0</v>
      </c>
      <c r="F420">
        <v>0</v>
      </c>
      <c r="G420">
        <v>0</v>
      </c>
      <c r="H420">
        <v>36</v>
      </c>
      <c r="I420" s="1">
        <f t="shared" si="12"/>
        <v>1</v>
      </c>
      <c r="J420" t="str">
        <f t="shared" si="13"/>
        <v/>
      </c>
    </row>
    <row r="421" spans="1:10">
      <c r="A421" t="s">
        <v>155</v>
      </c>
      <c r="B421">
        <v>9</v>
      </c>
      <c r="C421">
        <v>16</v>
      </c>
      <c r="D421">
        <v>36</v>
      </c>
      <c r="E421">
        <v>0</v>
      </c>
      <c r="F421">
        <v>0</v>
      </c>
      <c r="G421">
        <v>0</v>
      </c>
      <c r="H421">
        <v>36</v>
      </c>
      <c r="I421" s="1">
        <f t="shared" si="12"/>
        <v>1</v>
      </c>
      <c r="J421" t="str">
        <f t="shared" si="13"/>
        <v/>
      </c>
    </row>
    <row r="422" spans="1:10">
      <c r="A422" t="s">
        <v>155</v>
      </c>
      <c r="B422">
        <v>9</v>
      </c>
      <c r="C422">
        <v>17</v>
      </c>
      <c r="D422">
        <v>36</v>
      </c>
      <c r="E422">
        <v>0</v>
      </c>
      <c r="F422">
        <v>0</v>
      </c>
      <c r="G422">
        <v>0</v>
      </c>
      <c r="H422">
        <v>36</v>
      </c>
      <c r="I422" s="1">
        <f t="shared" si="12"/>
        <v>1</v>
      </c>
      <c r="J422" t="str">
        <f t="shared" si="13"/>
        <v/>
      </c>
    </row>
    <row r="423" spans="1:10">
      <c r="A423" t="s">
        <v>155</v>
      </c>
      <c r="B423">
        <v>9</v>
      </c>
      <c r="C423">
        <v>18</v>
      </c>
      <c r="D423">
        <v>36</v>
      </c>
      <c r="E423">
        <v>0</v>
      </c>
      <c r="F423">
        <v>0</v>
      </c>
      <c r="G423">
        <v>0</v>
      </c>
      <c r="H423">
        <v>36</v>
      </c>
      <c r="I423" s="1">
        <f t="shared" si="12"/>
        <v>1</v>
      </c>
      <c r="J423" t="str">
        <f t="shared" si="13"/>
        <v/>
      </c>
    </row>
    <row r="424" spans="1:10">
      <c r="A424" t="s">
        <v>155</v>
      </c>
      <c r="B424">
        <v>10</v>
      </c>
      <c r="C424">
        <v>1</v>
      </c>
      <c r="D424">
        <v>27</v>
      </c>
      <c r="E424">
        <v>0</v>
      </c>
      <c r="F424">
        <v>2</v>
      </c>
      <c r="G424">
        <v>0</v>
      </c>
      <c r="H424">
        <v>30</v>
      </c>
      <c r="I424" s="1">
        <f t="shared" si="12"/>
        <v>0.9</v>
      </c>
      <c r="J424" t="str">
        <f t="shared" si="13"/>
        <v/>
      </c>
    </row>
    <row r="425" spans="1:10">
      <c r="A425" t="s">
        <v>155</v>
      </c>
      <c r="B425">
        <v>10</v>
      </c>
      <c r="C425">
        <v>2</v>
      </c>
      <c r="D425">
        <v>30</v>
      </c>
      <c r="E425">
        <v>0</v>
      </c>
      <c r="F425">
        <v>0</v>
      </c>
      <c r="G425">
        <v>0</v>
      </c>
      <c r="H425">
        <v>30</v>
      </c>
      <c r="I425" s="1">
        <f t="shared" si="12"/>
        <v>1</v>
      </c>
      <c r="J425" t="str">
        <f t="shared" si="13"/>
        <v/>
      </c>
    </row>
    <row r="426" spans="1:10">
      <c r="A426" t="s">
        <v>155</v>
      </c>
      <c r="B426">
        <v>10</v>
      </c>
      <c r="C426">
        <v>3</v>
      </c>
      <c r="D426">
        <v>30</v>
      </c>
      <c r="E426">
        <v>0</v>
      </c>
      <c r="F426">
        <v>0</v>
      </c>
      <c r="G426">
        <v>0</v>
      </c>
      <c r="H426">
        <v>30</v>
      </c>
      <c r="I426" s="1">
        <f t="shared" si="12"/>
        <v>1</v>
      </c>
      <c r="J426" t="str">
        <f t="shared" si="13"/>
        <v/>
      </c>
    </row>
    <row r="427" spans="1:10">
      <c r="A427" t="s">
        <v>155</v>
      </c>
      <c r="B427">
        <v>10</v>
      </c>
      <c r="C427">
        <v>4</v>
      </c>
      <c r="D427">
        <v>30</v>
      </c>
      <c r="E427">
        <v>0</v>
      </c>
      <c r="F427">
        <v>0</v>
      </c>
      <c r="G427">
        <v>0</v>
      </c>
      <c r="H427">
        <v>30</v>
      </c>
      <c r="I427" s="1">
        <f t="shared" si="12"/>
        <v>1</v>
      </c>
      <c r="J427" t="str">
        <f t="shared" si="13"/>
        <v/>
      </c>
    </row>
    <row r="428" spans="1:10">
      <c r="A428" t="s">
        <v>155</v>
      </c>
      <c r="B428">
        <v>11</v>
      </c>
      <c r="C428">
        <v>1</v>
      </c>
      <c r="D428">
        <v>9</v>
      </c>
      <c r="E428">
        <v>0</v>
      </c>
      <c r="F428">
        <v>1</v>
      </c>
      <c r="G428">
        <v>0</v>
      </c>
      <c r="H428">
        <v>88</v>
      </c>
      <c r="I428" s="1">
        <f t="shared" si="12"/>
        <v>0.10227272727272728</v>
      </c>
      <c r="J428" t="str">
        <f t="shared" si="13"/>
        <v/>
      </c>
    </row>
    <row r="429" spans="1:10">
      <c r="A429" t="s">
        <v>155</v>
      </c>
      <c r="B429">
        <v>11</v>
      </c>
      <c r="C429">
        <v>2</v>
      </c>
      <c r="D429">
        <v>39</v>
      </c>
      <c r="E429">
        <v>0</v>
      </c>
      <c r="F429">
        <v>4</v>
      </c>
      <c r="G429">
        <v>0</v>
      </c>
      <c r="H429">
        <v>88</v>
      </c>
      <c r="I429" s="1">
        <f t="shared" si="12"/>
        <v>0.44318181818181818</v>
      </c>
      <c r="J429" t="str">
        <f t="shared" si="13"/>
        <v/>
      </c>
    </row>
    <row r="430" spans="1:10">
      <c r="A430" t="s">
        <v>155</v>
      </c>
      <c r="B430">
        <v>11</v>
      </c>
      <c r="C430">
        <v>3</v>
      </c>
      <c r="D430">
        <v>48</v>
      </c>
      <c r="E430">
        <v>0</v>
      </c>
      <c r="F430">
        <v>4</v>
      </c>
      <c r="G430">
        <v>0</v>
      </c>
      <c r="H430">
        <v>88</v>
      </c>
      <c r="I430" s="1">
        <f t="shared" si="12"/>
        <v>0.54545454545454541</v>
      </c>
      <c r="J430" t="str">
        <f t="shared" si="13"/>
        <v/>
      </c>
    </row>
    <row r="431" spans="1:10">
      <c r="A431" t="s">
        <v>155</v>
      </c>
      <c r="B431">
        <v>11</v>
      </c>
      <c r="C431">
        <v>4</v>
      </c>
      <c r="D431">
        <v>56</v>
      </c>
      <c r="E431">
        <v>0</v>
      </c>
      <c r="F431">
        <v>3</v>
      </c>
      <c r="G431">
        <v>0</v>
      </c>
      <c r="H431">
        <v>88</v>
      </c>
      <c r="I431" s="1">
        <f t="shared" si="12"/>
        <v>0.63636363636363635</v>
      </c>
      <c r="J431" t="str">
        <f t="shared" si="13"/>
        <v/>
      </c>
    </row>
    <row r="432" spans="1:10">
      <c r="A432" t="s">
        <v>155</v>
      </c>
      <c r="B432">
        <v>11</v>
      </c>
      <c r="C432">
        <v>5</v>
      </c>
      <c r="D432">
        <v>58</v>
      </c>
      <c r="E432">
        <v>0</v>
      </c>
      <c r="F432">
        <v>2</v>
      </c>
      <c r="G432">
        <v>0</v>
      </c>
      <c r="H432">
        <v>88</v>
      </c>
      <c r="I432" s="1">
        <f t="shared" si="12"/>
        <v>0.65909090909090906</v>
      </c>
      <c r="J432" t="str">
        <f t="shared" si="13"/>
        <v/>
      </c>
    </row>
    <row r="433" spans="1:10">
      <c r="A433" t="s">
        <v>155</v>
      </c>
      <c r="B433">
        <v>11</v>
      </c>
      <c r="C433">
        <v>6</v>
      </c>
      <c r="D433">
        <v>58</v>
      </c>
      <c r="E433">
        <v>0</v>
      </c>
      <c r="F433">
        <v>2</v>
      </c>
      <c r="G433">
        <v>0</v>
      </c>
      <c r="H433">
        <v>88</v>
      </c>
      <c r="I433" s="1">
        <f t="shared" si="12"/>
        <v>0.65909090909090906</v>
      </c>
      <c r="J433" t="str">
        <f t="shared" si="13"/>
        <v/>
      </c>
    </row>
    <row r="434" spans="1:10">
      <c r="A434" t="s">
        <v>155</v>
      </c>
      <c r="B434">
        <v>11</v>
      </c>
      <c r="C434">
        <v>7</v>
      </c>
      <c r="D434">
        <v>58</v>
      </c>
      <c r="E434">
        <v>0</v>
      </c>
      <c r="F434">
        <v>2</v>
      </c>
      <c r="G434">
        <v>0</v>
      </c>
      <c r="H434">
        <v>88</v>
      </c>
      <c r="I434" s="1">
        <f t="shared" si="12"/>
        <v>0.65909090909090906</v>
      </c>
      <c r="J434" t="str">
        <f t="shared" si="13"/>
        <v/>
      </c>
    </row>
    <row r="435" spans="1:10">
      <c r="A435" t="s">
        <v>155</v>
      </c>
      <c r="B435">
        <v>11</v>
      </c>
      <c r="C435">
        <v>8</v>
      </c>
      <c r="D435">
        <v>66</v>
      </c>
      <c r="E435">
        <v>0</v>
      </c>
      <c r="F435">
        <v>2</v>
      </c>
      <c r="G435">
        <v>0</v>
      </c>
      <c r="H435">
        <v>88</v>
      </c>
      <c r="I435" s="1">
        <f t="shared" si="12"/>
        <v>0.75</v>
      </c>
      <c r="J435" t="str">
        <f t="shared" si="13"/>
        <v/>
      </c>
    </row>
    <row r="436" spans="1:10">
      <c r="A436" t="s">
        <v>155</v>
      </c>
      <c r="B436">
        <v>11</v>
      </c>
      <c r="C436">
        <v>9</v>
      </c>
      <c r="D436">
        <v>66</v>
      </c>
      <c r="E436">
        <v>0</v>
      </c>
      <c r="F436">
        <v>2</v>
      </c>
      <c r="G436">
        <v>0</v>
      </c>
      <c r="H436">
        <v>88</v>
      </c>
      <c r="I436" s="1">
        <f t="shared" si="12"/>
        <v>0.75</v>
      </c>
      <c r="J436" t="str">
        <f t="shared" si="13"/>
        <v/>
      </c>
    </row>
    <row r="437" spans="1:10">
      <c r="A437" t="s">
        <v>155</v>
      </c>
      <c r="B437">
        <v>11</v>
      </c>
      <c r="C437">
        <v>10</v>
      </c>
      <c r="D437">
        <v>70</v>
      </c>
      <c r="E437">
        <v>0</v>
      </c>
      <c r="F437">
        <v>1</v>
      </c>
      <c r="G437">
        <v>0</v>
      </c>
      <c r="H437">
        <v>88</v>
      </c>
      <c r="I437" s="1">
        <f t="shared" si="12"/>
        <v>0.79545454545454541</v>
      </c>
      <c r="J437" t="str">
        <f t="shared" si="13"/>
        <v/>
      </c>
    </row>
    <row r="438" spans="1:10">
      <c r="A438" t="s">
        <v>155</v>
      </c>
      <c r="B438">
        <v>11</v>
      </c>
      <c r="C438">
        <v>11</v>
      </c>
      <c r="D438">
        <v>70</v>
      </c>
      <c r="E438">
        <v>0</v>
      </c>
      <c r="F438">
        <v>1</v>
      </c>
      <c r="G438">
        <v>0</v>
      </c>
      <c r="H438">
        <v>88</v>
      </c>
      <c r="I438" s="1">
        <f t="shared" si="12"/>
        <v>0.79545454545454541</v>
      </c>
      <c r="J438" t="str">
        <f t="shared" si="13"/>
        <v/>
      </c>
    </row>
    <row r="439" spans="1:10">
      <c r="A439" t="s">
        <v>155</v>
      </c>
      <c r="B439">
        <v>11</v>
      </c>
      <c r="C439">
        <v>12</v>
      </c>
      <c r="D439">
        <v>70</v>
      </c>
      <c r="E439">
        <v>0</v>
      </c>
      <c r="F439">
        <v>1</v>
      </c>
      <c r="G439">
        <v>0</v>
      </c>
      <c r="H439">
        <v>88</v>
      </c>
      <c r="I439" s="1">
        <f t="shared" si="12"/>
        <v>0.79545454545454541</v>
      </c>
      <c r="J439" t="str">
        <f t="shared" si="13"/>
        <v/>
      </c>
    </row>
    <row r="440" spans="1:10">
      <c r="A440" t="s">
        <v>155</v>
      </c>
      <c r="B440">
        <v>11</v>
      </c>
      <c r="C440">
        <v>13</v>
      </c>
      <c r="D440">
        <v>70</v>
      </c>
      <c r="E440">
        <v>0</v>
      </c>
      <c r="F440">
        <v>1</v>
      </c>
      <c r="G440">
        <v>0</v>
      </c>
      <c r="H440">
        <v>88</v>
      </c>
      <c r="I440" s="1">
        <f t="shared" si="12"/>
        <v>0.79545454545454541</v>
      </c>
      <c r="J440" t="str">
        <f t="shared" si="13"/>
        <v/>
      </c>
    </row>
    <row r="441" spans="1:10">
      <c r="A441" t="s">
        <v>155</v>
      </c>
      <c r="B441">
        <v>11</v>
      </c>
      <c r="C441">
        <v>14</v>
      </c>
      <c r="D441">
        <v>80</v>
      </c>
      <c r="E441">
        <v>0</v>
      </c>
      <c r="F441">
        <v>1</v>
      </c>
      <c r="G441">
        <v>0</v>
      </c>
      <c r="H441">
        <v>88</v>
      </c>
      <c r="I441" s="1">
        <f t="shared" si="12"/>
        <v>0.90909090909090906</v>
      </c>
      <c r="J441" t="str">
        <f t="shared" si="13"/>
        <v/>
      </c>
    </row>
    <row r="442" spans="1:10">
      <c r="A442" t="s">
        <v>155</v>
      </c>
      <c r="B442">
        <v>11</v>
      </c>
      <c r="C442">
        <v>15</v>
      </c>
      <c r="D442">
        <v>80</v>
      </c>
      <c r="E442">
        <v>0</v>
      </c>
      <c r="F442">
        <v>1</v>
      </c>
      <c r="G442">
        <v>0</v>
      </c>
      <c r="H442">
        <v>88</v>
      </c>
      <c r="I442" s="1">
        <f t="shared" si="12"/>
        <v>0.90909090909090906</v>
      </c>
      <c r="J442" t="str">
        <f t="shared" si="13"/>
        <v/>
      </c>
    </row>
    <row r="443" spans="1:10">
      <c r="A443" t="s">
        <v>155</v>
      </c>
      <c r="B443">
        <v>11</v>
      </c>
      <c r="C443">
        <v>16</v>
      </c>
      <c r="D443">
        <v>80</v>
      </c>
      <c r="E443">
        <v>0</v>
      </c>
      <c r="F443">
        <v>1</v>
      </c>
      <c r="G443">
        <v>0</v>
      </c>
      <c r="H443">
        <v>88</v>
      </c>
      <c r="I443" s="1">
        <f t="shared" si="12"/>
        <v>0.90909090909090906</v>
      </c>
      <c r="J443" t="str">
        <f t="shared" si="13"/>
        <v/>
      </c>
    </row>
    <row r="444" spans="1:10">
      <c r="A444" t="s">
        <v>155</v>
      </c>
      <c r="B444">
        <v>11</v>
      </c>
      <c r="C444">
        <v>17</v>
      </c>
      <c r="D444">
        <v>88</v>
      </c>
      <c r="E444">
        <v>0</v>
      </c>
      <c r="F444">
        <v>0</v>
      </c>
      <c r="G444">
        <v>0</v>
      </c>
      <c r="H444">
        <v>88</v>
      </c>
      <c r="I444" s="1">
        <f t="shared" si="12"/>
        <v>1</v>
      </c>
      <c r="J444" t="str">
        <f t="shared" si="13"/>
        <v/>
      </c>
    </row>
    <row r="445" spans="1:10">
      <c r="A445" t="s">
        <v>155</v>
      </c>
      <c r="B445">
        <v>11</v>
      </c>
      <c r="C445">
        <v>18</v>
      </c>
      <c r="D445">
        <v>88</v>
      </c>
      <c r="E445">
        <v>0</v>
      </c>
      <c r="F445">
        <v>0</v>
      </c>
      <c r="G445">
        <v>0</v>
      </c>
      <c r="H445">
        <v>88</v>
      </c>
      <c r="I445" s="1">
        <f t="shared" si="12"/>
        <v>1</v>
      </c>
      <c r="J445" t="str">
        <f t="shared" si="13"/>
        <v/>
      </c>
    </row>
    <row r="446" spans="1:10">
      <c r="A446" t="s">
        <v>155</v>
      </c>
      <c r="B446">
        <v>11</v>
      </c>
      <c r="C446">
        <v>19</v>
      </c>
      <c r="D446">
        <v>88</v>
      </c>
      <c r="E446">
        <v>0</v>
      </c>
      <c r="F446">
        <v>0</v>
      </c>
      <c r="G446">
        <v>0</v>
      </c>
      <c r="H446">
        <v>88</v>
      </c>
      <c r="I446" s="1">
        <f t="shared" si="12"/>
        <v>1</v>
      </c>
      <c r="J446" t="str">
        <f t="shared" si="13"/>
        <v/>
      </c>
    </row>
    <row r="447" spans="1:10">
      <c r="A447" t="s">
        <v>155</v>
      </c>
      <c r="B447">
        <v>12</v>
      </c>
      <c r="C447">
        <v>1</v>
      </c>
      <c r="D447">
        <v>9</v>
      </c>
      <c r="E447">
        <v>0</v>
      </c>
      <c r="F447">
        <v>1</v>
      </c>
      <c r="G447">
        <v>0</v>
      </c>
      <c r="H447">
        <v>56</v>
      </c>
      <c r="I447" s="1">
        <f t="shared" si="12"/>
        <v>0.16071428571428573</v>
      </c>
      <c r="J447" t="str">
        <f t="shared" si="13"/>
        <v/>
      </c>
    </row>
    <row r="448" spans="1:10">
      <c r="A448" t="s">
        <v>155</v>
      </c>
      <c r="B448">
        <v>12</v>
      </c>
      <c r="C448">
        <v>2</v>
      </c>
      <c r="D448">
        <v>32</v>
      </c>
      <c r="E448">
        <v>0</v>
      </c>
      <c r="F448">
        <v>3</v>
      </c>
      <c r="G448">
        <v>0</v>
      </c>
      <c r="H448">
        <v>56</v>
      </c>
      <c r="I448" s="1">
        <f t="shared" si="12"/>
        <v>0.5714285714285714</v>
      </c>
      <c r="J448" t="str">
        <f t="shared" si="13"/>
        <v/>
      </c>
    </row>
    <row r="449" spans="1:10">
      <c r="A449" t="s">
        <v>155</v>
      </c>
      <c r="B449">
        <v>12</v>
      </c>
      <c r="C449">
        <v>3</v>
      </c>
      <c r="D449">
        <v>34</v>
      </c>
      <c r="E449">
        <v>0</v>
      </c>
      <c r="F449">
        <v>2</v>
      </c>
      <c r="G449">
        <v>0</v>
      </c>
      <c r="H449">
        <v>56</v>
      </c>
      <c r="I449" s="1">
        <f t="shared" si="12"/>
        <v>0.6071428571428571</v>
      </c>
      <c r="J449" t="str">
        <f t="shared" si="13"/>
        <v/>
      </c>
    </row>
    <row r="450" spans="1:10">
      <c r="A450" t="s">
        <v>155</v>
      </c>
      <c r="B450">
        <v>12</v>
      </c>
      <c r="C450">
        <v>4</v>
      </c>
      <c r="D450">
        <v>44</v>
      </c>
      <c r="E450">
        <v>0</v>
      </c>
      <c r="F450">
        <v>1</v>
      </c>
      <c r="G450">
        <v>0</v>
      </c>
      <c r="H450">
        <v>56</v>
      </c>
      <c r="I450" s="1">
        <f t="shared" si="12"/>
        <v>0.7857142857142857</v>
      </c>
      <c r="J450" t="str">
        <f t="shared" si="13"/>
        <v/>
      </c>
    </row>
    <row r="451" spans="1:10">
      <c r="A451" t="s">
        <v>155</v>
      </c>
      <c r="B451">
        <v>12</v>
      </c>
      <c r="C451">
        <v>5</v>
      </c>
      <c r="D451">
        <v>44</v>
      </c>
      <c r="E451">
        <v>0</v>
      </c>
      <c r="F451">
        <v>1</v>
      </c>
      <c r="G451">
        <v>0</v>
      </c>
      <c r="H451">
        <v>56</v>
      </c>
      <c r="I451" s="1">
        <f t="shared" ref="I451:I472" si="14">D451/H451</f>
        <v>0.7857142857142857</v>
      </c>
      <c r="J451" t="str">
        <f t="shared" ref="J451:J472" si="15">IF(I451&gt;1,"!","")</f>
        <v/>
      </c>
    </row>
    <row r="452" spans="1:10">
      <c r="A452" t="s">
        <v>155</v>
      </c>
      <c r="B452">
        <v>12</v>
      </c>
      <c r="C452">
        <v>6</v>
      </c>
      <c r="D452">
        <v>52</v>
      </c>
      <c r="E452">
        <v>0</v>
      </c>
      <c r="F452">
        <v>1</v>
      </c>
      <c r="G452">
        <v>0</v>
      </c>
      <c r="H452">
        <v>56</v>
      </c>
      <c r="I452" s="1">
        <f t="shared" si="14"/>
        <v>0.9285714285714286</v>
      </c>
      <c r="J452" t="str">
        <f t="shared" si="15"/>
        <v/>
      </c>
    </row>
    <row r="453" spans="1:10">
      <c r="A453" t="s">
        <v>155</v>
      </c>
      <c r="B453">
        <v>12</v>
      </c>
      <c r="C453">
        <v>7</v>
      </c>
      <c r="D453">
        <v>56</v>
      </c>
      <c r="E453">
        <v>0</v>
      </c>
      <c r="F453">
        <v>0</v>
      </c>
      <c r="G453">
        <v>0</v>
      </c>
      <c r="H453">
        <v>56</v>
      </c>
      <c r="I453" s="1">
        <f t="shared" si="14"/>
        <v>1</v>
      </c>
      <c r="J453" t="str">
        <f t="shared" si="15"/>
        <v/>
      </c>
    </row>
    <row r="454" spans="1:10">
      <c r="A454" t="s">
        <v>155</v>
      </c>
      <c r="B454">
        <v>12</v>
      </c>
      <c r="C454">
        <v>8</v>
      </c>
      <c r="D454">
        <v>56</v>
      </c>
      <c r="E454">
        <v>0</v>
      </c>
      <c r="F454">
        <v>0</v>
      </c>
      <c r="G454">
        <v>0</v>
      </c>
      <c r="H454">
        <v>56</v>
      </c>
      <c r="I454" s="1">
        <f t="shared" si="14"/>
        <v>1</v>
      </c>
      <c r="J454" t="str">
        <f t="shared" si="15"/>
        <v/>
      </c>
    </row>
    <row r="455" spans="1:10">
      <c r="A455" t="s">
        <v>155</v>
      </c>
      <c r="B455">
        <v>12</v>
      </c>
      <c r="C455">
        <v>9</v>
      </c>
      <c r="D455">
        <v>56</v>
      </c>
      <c r="E455">
        <v>0</v>
      </c>
      <c r="F455">
        <v>0</v>
      </c>
      <c r="G455">
        <v>0</v>
      </c>
      <c r="H455">
        <v>56</v>
      </c>
      <c r="I455" s="1">
        <f t="shared" si="14"/>
        <v>1</v>
      </c>
      <c r="J455" t="str">
        <f t="shared" si="15"/>
        <v/>
      </c>
    </row>
    <row r="456" spans="1:10">
      <c r="A456" t="s">
        <v>155</v>
      </c>
      <c r="B456">
        <v>13</v>
      </c>
      <c r="C456">
        <v>1</v>
      </c>
      <c r="D456">
        <v>4</v>
      </c>
      <c r="E456">
        <v>0</v>
      </c>
      <c r="F456">
        <v>0</v>
      </c>
      <c r="G456">
        <v>0</v>
      </c>
      <c r="H456">
        <v>7</v>
      </c>
      <c r="I456" s="1">
        <f t="shared" si="14"/>
        <v>0.5714285714285714</v>
      </c>
      <c r="J456" t="str">
        <f t="shared" si="15"/>
        <v/>
      </c>
    </row>
    <row r="457" spans="1:10">
      <c r="A457" t="s">
        <v>155</v>
      </c>
      <c r="B457">
        <v>13</v>
      </c>
      <c r="C457">
        <v>2</v>
      </c>
      <c r="D457">
        <v>7</v>
      </c>
      <c r="E457">
        <v>0</v>
      </c>
      <c r="F457">
        <v>0</v>
      </c>
      <c r="G457">
        <v>0</v>
      </c>
      <c r="H457">
        <v>7</v>
      </c>
      <c r="I457" s="1">
        <f t="shared" si="14"/>
        <v>1</v>
      </c>
      <c r="J457" t="str">
        <f t="shared" si="15"/>
        <v/>
      </c>
    </row>
    <row r="458" spans="1:10">
      <c r="A458" t="s">
        <v>199</v>
      </c>
      <c r="B458">
        <v>2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71</v>
      </c>
      <c r="I458" s="1">
        <f t="shared" si="14"/>
        <v>0</v>
      </c>
      <c r="J458" t="str">
        <f t="shared" si="15"/>
        <v/>
      </c>
    </row>
    <row r="459" spans="1:10">
      <c r="A459" t="s">
        <v>199</v>
      </c>
      <c r="B459">
        <v>2</v>
      </c>
      <c r="C459">
        <v>2</v>
      </c>
      <c r="D459">
        <v>26</v>
      </c>
      <c r="E459">
        <v>0</v>
      </c>
      <c r="F459">
        <v>1</v>
      </c>
      <c r="G459">
        <v>0</v>
      </c>
      <c r="H459">
        <v>71</v>
      </c>
      <c r="I459" s="1">
        <f t="shared" si="14"/>
        <v>0.36619718309859156</v>
      </c>
      <c r="J459" t="str">
        <f t="shared" si="15"/>
        <v/>
      </c>
    </row>
    <row r="460" spans="1:10">
      <c r="A460" t="s">
        <v>199</v>
      </c>
      <c r="B460">
        <v>2</v>
      </c>
      <c r="C460">
        <v>3</v>
      </c>
      <c r="D460">
        <v>27</v>
      </c>
      <c r="E460">
        <v>0</v>
      </c>
      <c r="F460">
        <v>1</v>
      </c>
      <c r="G460">
        <v>0</v>
      </c>
      <c r="H460">
        <v>71</v>
      </c>
      <c r="I460" s="1">
        <f t="shared" si="14"/>
        <v>0.38028169014084506</v>
      </c>
      <c r="J460" t="str">
        <f t="shared" si="15"/>
        <v/>
      </c>
    </row>
    <row r="461" spans="1:10">
      <c r="A461" t="s">
        <v>199</v>
      </c>
      <c r="B461">
        <v>2</v>
      </c>
      <c r="C461">
        <v>4</v>
      </c>
      <c r="D461">
        <v>51</v>
      </c>
      <c r="E461">
        <v>0</v>
      </c>
      <c r="F461">
        <v>1</v>
      </c>
      <c r="G461">
        <v>0</v>
      </c>
      <c r="H461">
        <v>71</v>
      </c>
      <c r="I461" s="1">
        <f t="shared" si="14"/>
        <v>0.71830985915492962</v>
      </c>
      <c r="J461" t="str">
        <f t="shared" si="15"/>
        <v/>
      </c>
    </row>
    <row r="462" spans="1:10">
      <c r="A462" t="s">
        <v>199</v>
      </c>
      <c r="B462">
        <v>2</v>
      </c>
      <c r="C462">
        <v>5</v>
      </c>
      <c r="D462">
        <v>51</v>
      </c>
      <c r="E462">
        <v>0</v>
      </c>
      <c r="F462">
        <v>1</v>
      </c>
      <c r="G462">
        <v>0</v>
      </c>
      <c r="H462">
        <v>71</v>
      </c>
      <c r="I462" s="1">
        <f t="shared" si="14"/>
        <v>0.71830985915492962</v>
      </c>
      <c r="J462" t="str">
        <f t="shared" si="15"/>
        <v/>
      </c>
    </row>
    <row r="463" spans="1:10">
      <c r="A463" t="s">
        <v>199</v>
      </c>
      <c r="B463">
        <v>2</v>
      </c>
      <c r="C463">
        <v>6</v>
      </c>
      <c r="D463">
        <v>71</v>
      </c>
      <c r="E463">
        <v>0</v>
      </c>
      <c r="F463">
        <v>0</v>
      </c>
      <c r="G463">
        <v>0</v>
      </c>
      <c r="H463">
        <v>71</v>
      </c>
      <c r="I463" s="1">
        <f t="shared" si="14"/>
        <v>1</v>
      </c>
      <c r="J463" t="str">
        <f t="shared" si="15"/>
        <v/>
      </c>
    </row>
    <row r="464" spans="1:10">
      <c r="A464" t="s">
        <v>199</v>
      </c>
      <c r="B464">
        <v>2</v>
      </c>
      <c r="C464">
        <v>7</v>
      </c>
      <c r="D464">
        <v>71</v>
      </c>
      <c r="E464">
        <v>0</v>
      </c>
      <c r="F464">
        <v>0</v>
      </c>
      <c r="G464">
        <v>0</v>
      </c>
      <c r="H464">
        <v>71</v>
      </c>
      <c r="I464" s="1">
        <f t="shared" si="14"/>
        <v>1</v>
      </c>
      <c r="J464" t="str">
        <f t="shared" si="15"/>
        <v/>
      </c>
    </row>
    <row r="465" spans="1:10">
      <c r="A465" t="s">
        <v>199</v>
      </c>
      <c r="B465">
        <v>6</v>
      </c>
      <c r="C465">
        <v>1</v>
      </c>
      <c r="D465">
        <v>23</v>
      </c>
      <c r="E465">
        <v>0</v>
      </c>
      <c r="F465">
        <v>2</v>
      </c>
      <c r="G465">
        <v>0</v>
      </c>
      <c r="H465">
        <v>31</v>
      </c>
      <c r="I465" s="1">
        <f t="shared" si="14"/>
        <v>0.74193548387096775</v>
      </c>
      <c r="J465" t="str">
        <f t="shared" si="15"/>
        <v/>
      </c>
    </row>
    <row r="466" spans="1:10">
      <c r="A466" t="s">
        <v>199</v>
      </c>
      <c r="B466">
        <v>6</v>
      </c>
      <c r="C466">
        <v>2</v>
      </c>
      <c r="D466">
        <v>24</v>
      </c>
      <c r="E466">
        <v>0</v>
      </c>
      <c r="F466">
        <v>1</v>
      </c>
      <c r="G466">
        <v>0</v>
      </c>
      <c r="H466">
        <v>31</v>
      </c>
      <c r="I466" s="1">
        <f t="shared" si="14"/>
        <v>0.77419354838709675</v>
      </c>
      <c r="J466" t="str">
        <f t="shared" si="15"/>
        <v/>
      </c>
    </row>
    <row r="467" spans="1:10">
      <c r="A467" t="s">
        <v>199</v>
      </c>
      <c r="B467">
        <v>6</v>
      </c>
      <c r="C467">
        <v>3</v>
      </c>
      <c r="D467">
        <v>30</v>
      </c>
      <c r="E467">
        <v>0</v>
      </c>
      <c r="F467">
        <v>1</v>
      </c>
      <c r="G467">
        <v>0</v>
      </c>
      <c r="H467">
        <v>31</v>
      </c>
      <c r="I467" s="1">
        <f t="shared" si="14"/>
        <v>0.967741935483871</v>
      </c>
      <c r="J467" t="str">
        <f t="shared" si="15"/>
        <v/>
      </c>
    </row>
    <row r="468" spans="1:10">
      <c r="A468" t="s">
        <v>199</v>
      </c>
      <c r="B468">
        <v>6</v>
      </c>
      <c r="C468">
        <v>4</v>
      </c>
      <c r="D468">
        <v>30</v>
      </c>
      <c r="E468">
        <v>0</v>
      </c>
      <c r="F468">
        <v>1</v>
      </c>
      <c r="G468">
        <v>0</v>
      </c>
      <c r="H468">
        <v>31</v>
      </c>
      <c r="I468" s="1">
        <f t="shared" si="14"/>
        <v>0.967741935483871</v>
      </c>
      <c r="J468" t="str">
        <f t="shared" si="15"/>
        <v/>
      </c>
    </row>
    <row r="469" spans="1:10">
      <c r="A469" t="s">
        <v>199</v>
      </c>
      <c r="B469">
        <v>6</v>
      </c>
      <c r="C469">
        <v>5</v>
      </c>
      <c r="D469">
        <v>31</v>
      </c>
      <c r="E469">
        <v>0</v>
      </c>
      <c r="F469">
        <v>0</v>
      </c>
      <c r="G469">
        <v>0</v>
      </c>
      <c r="H469">
        <v>31</v>
      </c>
      <c r="I469" s="1">
        <f t="shared" si="14"/>
        <v>1</v>
      </c>
      <c r="J469" t="str">
        <f t="shared" si="15"/>
        <v/>
      </c>
    </row>
    <row r="470" spans="1:10">
      <c r="A470" t="s">
        <v>199</v>
      </c>
      <c r="B470">
        <v>6</v>
      </c>
      <c r="C470">
        <v>6</v>
      </c>
      <c r="D470">
        <v>31</v>
      </c>
      <c r="E470">
        <v>0</v>
      </c>
      <c r="F470">
        <v>0</v>
      </c>
      <c r="G470">
        <v>0</v>
      </c>
      <c r="H470">
        <v>31</v>
      </c>
      <c r="I470" s="1">
        <f t="shared" si="14"/>
        <v>1</v>
      </c>
      <c r="J470" t="str">
        <f t="shared" si="15"/>
        <v/>
      </c>
    </row>
    <row r="471" spans="1:10">
      <c r="A471" t="s">
        <v>199</v>
      </c>
      <c r="B471">
        <v>8</v>
      </c>
      <c r="C471">
        <v>1</v>
      </c>
      <c r="D471">
        <v>28</v>
      </c>
      <c r="E471">
        <v>0</v>
      </c>
      <c r="F471">
        <v>1</v>
      </c>
      <c r="G471">
        <v>0</v>
      </c>
      <c r="H471">
        <v>29</v>
      </c>
      <c r="I471" s="1">
        <f t="shared" si="14"/>
        <v>0.96551724137931039</v>
      </c>
      <c r="J471" t="str">
        <f t="shared" si="15"/>
        <v/>
      </c>
    </row>
    <row r="472" spans="1:10">
      <c r="A472" t="s">
        <v>199</v>
      </c>
      <c r="B472">
        <v>8</v>
      </c>
      <c r="C472">
        <v>2</v>
      </c>
      <c r="D472">
        <v>29</v>
      </c>
      <c r="E472">
        <v>0</v>
      </c>
      <c r="F472">
        <v>0</v>
      </c>
      <c r="G472">
        <v>0</v>
      </c>
      <c r="H472">
        <v>29</v>
      </c>
      <c r="I472" s="1">
        <f t="shared" si="14"/>
        <v>1</v>
      </c>
      <c r="J472" t="str">
        <f t="shared" si="15"/>
        <v/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6"/>
  <sheetViews>
    <sheetView topLeftCell="B301" workbookViewId="0">
      <selection activeCell="F337" sqref="F337"/>
    </sheetView>
  </sheetViews>
  <sheetFormatPr baseColWidth="10" defaultRowHeight="15" x14ac:dyDescent="0"/>
  <sheetData>
    <row r="1" spans="1:7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>
      <c r="A2" t="s">
        <v>4</v>
      </c>
      <c r="B2">
        <v>1</v>
      </c>
      <c r="C2" t="s">
        <v>309</v>
      </c>
      <c r="D2">
        <v>1</v>
      </c>
      <c r="E2">
        <v>5328</v>
      </c>
      <c r="F2">
        <v>5190</v>
      </c>
      <c r="G2" s="1">
        <f t="shared" ref="G2:G65" si="0">F2/E2</f>
        <v>0.97409909909909909</v>
      </c>
    </row>
    <row r="3" spans="1:7">
      <c r="A3" t="s">
        <v>4</v>
      </c>
      <c r="B3">
        <v>1</v>
      </c>
      <c r="C3" t="s">
        <v>307</v>
      </c>
      <c r="D3">
        <v>2</v>
      </c>
      <c r="E3">
        <v>5328</v>
      </c>
      <c r="F3">
        <v>5272</v>
      </c>
      <c r="G3" s="1">
        <f t="shared" si="0"/>
        <v>0.98948948948948945</v>
      </c>
    </row>
    <row r="4" spans="1:7">
      <c r="A4" t="s">
        <v>4</v>
      </c>
      <c r="B4">
        <v>1</v>
      </c>
      <c r="C4" t="s">
        <v>311</v>
      </c>
      <c r="D4">
        <v>3</v>
      </c>
      <c r="E4">
        <v>5328</v>
      </c>
      <c r="F4">
        <v>5277</v>
      </c>
      <c r="G4" s="1">
        <f t="shared" si="0"/>
        <v>0.99042792792792789</v>
      </c>
    </row>
    <row r="5" spans="1:7">
      <c r="A5" t="s">
        <v>4</v>
      </c>
      <c r="B5">
        <v>1</v>
      </c>
      <c r="C5" t="s">
        <v>312</v>
      </c>
      <c r="D5">
        <v>4</v>
      </c>
      <c r="E5">
        <v>5328</v>
      </c>
      <c r="F5">
        <v>5367</v>
      </c>
      <c r="G5" s="1">
        <f t="shared" si="0"/>
        <v>1.0073198198198199</v>
      </c>
    </row>
    <row r="6" spans="1:7">
      <c r="A6" t="s">
        <v>4</v>
      </c>
      <c r="B6">
        <v>1</v>
      </c>
      <c r="C6" t="s">
        <v>306</v>
      </c>
      <c r="D6">
        <v>5</v>
      </c>
      <c r="E6">
        <v>5328</v>
      </c>
      <c r="F6">
        <v>5447</v>
      </c>
      <c r="G6" s="1">
        <f t="shared" si="0"/>
        <v>1.0223348348348349</v>
      </c>
    </row>
    <row r="7" spans="1:7">
      <c r="A7" t="s">
        <v>4</v>
      </c>
      <c r="B7">
        <v>1</v>
      </c>
      <c r="C7" t="s">
        <v>310</v>
      </c>
      <c r="D7">
        <v>6</v>
      </c>
      <c r="E7">
        <v>5328</v>
      </c>
      <c r="F7">
        <v>5560</v>
      </c>
      <c r="G7" s="1">
        <f t="shared" si="0"/>
        <v>1.0435435435435436</v>
      </c>
    </row>
    <row r="8" spans="1:7">
      <c r="A8" t="s">
        <v>4</v>
      </c>
      <c r="B8">
        <v>1</v>
      </c>
      <c r="C8" t="s">
        <v>308</v>
      </c>
      <c r="D8">
        <v>7</v>
      </c>
      <c r="E8">
        <v>5328</v>
      </c>
      <c r="F8">
        <v>5801</v>
      </c>
      <c r="G8" s="1">
        <f t="shared" si="0"/>
        <v>1.0887762762762763</v>
      </c>
    </row>
    <row r="9" spans="1:7">
      <c r="A9" t="s">
        <v>4</v>
      </c>
      <c r="B9">
        <v>1</v>
      </c>
      <c r="C9" t="s">
        <v>180</v>
      </c>
      <c r="D9">
        <v>8</v>
      </c>
      <c r="E9">
        <v>5328</v>
      </c>
      <c r="F9">
        <v>10250</v>
      </c>
      <c r="G9" s="1">
        <f t="shared" si="0"/>
        <v>1.9237987987987988</v>
      </c>
    </row>
    <row r="10" spans="1:7">
      <c r="A10" t="s">
        <v>4</v>
      </c>
      <c r="B10">
        <v>2</v>
      </c>
      <c r="C10" t="s">
        <v>3</v>
      </c>
      <c r="D10">
        <v>1</v>
      </c>
      <c r="E10">
        <v>837</v>
      </c>
      <c r="F10">
        <v>373</v>
      </c>
      <c r="G10" s="1">
        <f t="shared" si="0"/>
        <v>0.44563918757467147</v>
      </c>
    </row>
    <row r="11" spans="1:7">
      <c r="A11" t="s">
        <v>4</v>
      </c>
      <c r="B11">
        <v>2</v>
      </c>
      <c r="C11" t="s">
        <v>5</v>
      </c>
      <c r="D11">
        <v>2</v>
      </c>
      <c r="E11">
        <v>837</v>
      </c>
      <c r="F11">
        <v>468</v>
      </c>
      <c r="G11" s="1">
        <f t="shared" si="0"/>
        <v>0.55913978494623651</v>
      </c>
    </row>
    <row r="12" spans="1:7">
      <c r="A12" t="s">
        <v>4</v>
      </c>
      <c r="B12">
        <v>2</v>
      </c>
      <c r="C12" t="s">
        <v>18</v>
      </c>
      <c r="D12">
        <v>3</v>
      </c>
      <c r="E12">
        <v>837</v>
      </c>
      <c r="F12">
        <v>552</v>
      </c>
      <c r="G12" s="1">
        <f t="shared" si="0"/>
        <v>0.65949820788530467</v>
      </c>
    </row>
    <row r="13" spans="1:7">
      <c r="A13" t="s">
        <v>4</v>
      </c>
      <c r="B13">
        <v>2</v>
      </c>
      <c r="C13" t="s">
        <v>12</v>
      </c>
      <c r="D13">
        <v>4</v>
      </c>
      <c r="E13">
        <v>837</v>
      </c>
      <c r="F13">
        <v>613</v>
      </c>
      <c r="G13" s="1">
        <f t="shared" si="0"/>
        <v>0.73237753882915169</v>
      </c>
    </row>
    <row r="14" spans="1:7">
      <c r="A14" t="s">
        <v>4</v>
      </c>
      <c r="B14">
        <v>2</v>
      </c>
      <c r="C14" t="s">
        <v>6</v>
      </c>
      <c r="D14">
        <v>5</v>
      </c>
      <c r="E14">
        <v>837</v>
      </c>
      <c r="F14">
        <v>616</v>
      </c>
      <c r="G14" s="1">
        <f t="shared" si="0"/>
        <v>0.73596176821983272</v>
      </c>
    </row>
    <row r="15" spans="1:7">
      <c r="A15" t="s">
        <v>4</v>
      </c>
      <c r="B15">
        <v>2</v>
      </c>
      <c r="C15" t="s">
        <v>11</v>
      </c>
      <c r="D15">
        <v>6</v>
      </c>
      <c r="E15">
        <v>837</v>
      </c>
      <c r="F15">
        <v>642</v>
      </c>
      <c r="G15" s="1">
        <f t="shared" si="0"/>
        <v>0.76702508960573479</v>
      </c>
    </row>
    <row r="16" spans="1:7">
      <c r="A16" t="s">
        <v>4</v>
      </c>
      <c r="B16">
        <v>2</v>
      </c>
      <c r="C16" t="s">
        <v>15</v>
      </c>
      <c r="D16">
        <v>7</v>
      </c>
      <c r="E16">
        <v>837</v>
      </c>
      <c r="F16">
        <v>703</v>
      </c>
      <c r="G16" s="1">
        <f t="shared" si="0"/>
        <v>0.83990442054958181</v>
      </c>
    </row>
    <row r="17" spans="1:7">
      <c r="A17" t="s">
        <v>4</v>
      </c>
      <c r="B17">
        <v>2</v>
      </c>
      <c r="C17" t="s">
        <v>9</v>
      </c>
      <c r="D17">
        <v>8</v>
      </c>
      <c r="E17">
        <v>837</v>
      </c>
      <c r="F17">
        <v>718</v>
      </c>
      <c r="G17" s="1">
        <f t="shared" si="0"/>
        <v>0.85782556750298689</v>
      </c>
    </row>
    <row r="18" spans="1:7">
      <c r="A18" t="s">
        <v>4</v>
      </c>
      <c r="B18">
        <v>2</v>
      </c>
      <c r="C18" t="s">
        <v>17</v>
      </c>
      <c r="D18">
        <v>9</v>
      </c>
      <c r="E18">
        <v>837</v>
      </c>
      <c r="F18">
        <v>719</v>
      </c>
      <c r="G18" s="1">
        <f t="shared" si="0"/>
        <v>0.85902031063321382</v>
      </c>
    </row>
    <row r="19" spans="1:7">
      <c r="A19" t="s">
        <v>4</v>
      </c>
      <c r="B19">
        <v>2</v>
      </c>
      <c r="C19" t="s">
        <v>7</v>
      </c>
      <c r="D19">
        <v>10</v>
      </c>
      <c r="E19">
        <v>837</v>
      </c>
      <c r="F19">
        <v>726</v>
      </c>
      <c r="G19" s="1">
        <f t="shared" si="0"/>
        <v>0.86738351254480284</v>
      </c>
    </row>
    <row r="20" spans="1:7">
      <c r="A20" t="s">
        <v>4</v>
      </c>
      <c r="B20">
        <v>2</v>
      </c>
      <c r="C20" t="s">
        <v>8</v>
      </c>
      <c r="D20">
        <v>11</v>
      </c>
      <c r="E20">
        <v>837</v>
      </c>
      <c r="F20">
        <v>741</v>
      </c>
      <c r="G20" s="1">
        <f t="shared" si="0"/>
        <v>0.88530465949820791</v>
      </c>
    </row>
    <row r="21" spans="1:7">
      <c r="A21" t="s">
        <v>4</v>
      </c>
      <c r="B21">
        <v>2</v>
      </c>
      <c r="C21" t="s">
        <v>16</v>
      </c>
      <c r="D21">
        <v>12</v>
      </c>
      <c r="E21">
        <v>837</v>
      </c>
      <c r="F21">
        <v>750</v>
      </c>
      <c r="G21" s="1">
        <f t="shared" si="0"/>
        <v>0.89605734767025091</v>
      </c>
    </row>
    <row r="22" spans="1:7">
      <c r="A22" t="s">
        <v>4</v>
      </c>
      <c r="B22">
        <v>2</v>
      </c>
      <c r="C22" t="s">
        <v>10</v>
      </c>
      <c r="D22">
        <v>13</v>
      </c>
      <c r="E22">
        <v>837</v>
      </c>
      <c r="F22">
        <v>760</v>
      </c>
      <c r="G22" s="1">
        <f t="shared" si="0"/>
        <v>0.90800477897252085</v>
      </c>
    </row>
    <row r="23" spans="1:7">
      <c r="A23" t="s">
        <v>4</v>
      </c>
      <c r="B23">
        <v>2</v>
      </c>
      <c r="C23" t="s">
        <v>13</v>
      </c>
      <c r="D23">
        <v>14</v>
      </c>
      <c r="E23">
        <v>837</v>
      </c>
      <c r="F23">
        <v>802</v>
      </c>
      <c r="G23" s="1">
        <f t="shared" si="0"/>
        <v>0.95818399044205493</v>
      </c>
    </row>
    <row r="24" spans="1:7">
      <c r="A24" t="s">
        <v>4</v>
      </c>
      <c r="B24">
        <v>2</v>
      </c>
      <c r="C24" t="s">
        <v>14</v>
      </c>
      <c r="D24">
        <v>15</v>
      </c>
      <c r="E24">
        <v>837</v>
      </c>
      <c r="F24">
        <v>814</v>
      </c>
      <c r="G24" s="1">
        <f t="shared" si="0"/>
        <v>0.97252090800477897</v>
      </c>
    </row>
    <row r="25" spans="1:7">
      <c r="A25" t="s">
        <v>4</v>
      </c>
      <c r="B25">
        <v>6</v>
      </c>
      <c r="C25" t="s">
        <v>19</v>
      </c>
      <c r="D25">
        <v>1</v>
      </c>
      <c r="E25">
        <v>485</v>
      </c>
      <c r="F25">
        <v>79</v>
      </c>
      <c r="G25" s="1">
        <f t="shared" si="0"/>
        <v>0.16288659793814433</v>
      </c>
    </row>
    <row r="26" spans="1:7">
      <c r="A26" t="s">
        <v>4</v>
      </c>
      <c r="B26">
        <v>6</v>
      </c>
      <c r="C26" t="s">
        <v>1</v>
      </c>
      <c r="D26">
        <v>2</v>
      </c>
      <c r="E26">
        <v>485</v>
      </c>
      <c r="F26">
        <v>148</v>
      </c>
      <c r="G26" s="1">
        <f t="shared" si="0"/>
        <v>0.30515463917525776</v>
      </c>
    </row>
    <row r="27" spans="1:7">
      <c r="A27" t="s">
        <v>4</v>
      </c>
      <c r="B27">
        <v>6</v>
      </c>
      <c r="C27" t="s">
        <v>22</v>
      </c>
      <c r="D27">
        <v>3</v>
      </c>
      <c r="E27">
        <v>485</v>
      </c>
      <c r="F27">
        <v>338</v>
      </c>
      <c r="G27" s="1">
        <f t="shared" si="0"/>
        <v>0.69690721649484533</v>
      </c>
    </row>
    <row r="28" spans="1:7">
      <c r="A28" t="s">
        <v>4</v>
      </c>
      <c r="B28">
        <v>6</v>
      </c>
      <c r="C28" t="s">
        <v>20</v>
      </c>
      <c r="D28">
        <v>4</v>
      </c>
      <c r="E28">
        <v>485</v>
      </c>
      <c r="F28">
        <v>467</v>
      </c>
      <c r="G28" s="1">
        <f t="shared" si="0"/>
        <v>0.96288659793814435</v>
      </c>
    </row>
    <row r="29" spans="1:7">
      <c r="A29" t="s">
        <v>4</v>
      </c>
      <c r="B29">
        <v>6</v>
      </c>
      <c r="C29" t="s">
        <v>21</v>
      </c>
      <c r="D29">
        <v>5</v>
      </c>
      <c r="E29">
        <v>485</v>
      </c>
      <c r="F29">
        <v>478</v>
      </c>
      <c r="G29" s="1">
        <f t="shared" si="0"/>
        <v>0.9855670103092784</v>
      </c>
    </row>
    <row r="30" spans="1:7">
      <c r="A30" t="s">
        <v>4</v>
      </c>
      <c r="B30">
        <v>9</v>
      </c>
      <c r="C30" t="s">
        <v>23</v>
      </c>
      <c r="D30">
        <v>1</v>
      </c>
      <c r="E30">
        <v>1498</v>
      </c>
      <c r="F30">
        <v>105</v>
      </c>
      <c r="G30" s="1">
        <f t="shared" si="0"/>
        <v>7.0093457943925228E-2</v>
      </c>
    </row>
    <row r="31" spans="1:7">
      <c r="A31" t="s">
        <v>4</v>
      </c>
      <c r="B31">
        <v>9</v>
      </c>
      <c r="C31" t="s">
        <v>26</v>
      </c>
      <c r="D31">
        <v>2</v>
      </c>
      <c r="E31">
        <v>1498</v>
      </c>
      <c r="F31">
        <v>106</v>
      </c>
      <c r="G31" s="1">
        <f t="shared" si="0"/>
        <v>7.0761014686248333E-2</v>
      </c>
    </row>
    <row r="32" spans="1:7">
      <c r="A32" t="s">
        <v>4</v>
      </c>
      <c r="B32">
        <v>9</v>
      </c>
      <c r="C32" t="s">
        <v>24</v>
      </c>
      <c r="D32">
        <v>3</v>
      </c>
      <c r="E32">
        <v>1498</v>
      </c>
      <c r="F32">
        <v>107</v>
      </c>
      <c r="G32" s="1">
        <f t="shared" si="0"/>
        <v>7.1428571428571425E-2</v>
      </c>
    </row>
    <row r="33" spans="1:7">
      <c r="A33" t="s">
        <v>4</v>
      </c>
      <c r="B33">
        <v>9</v>
      </c>
      <c r="C33" t="s">
        <v>3</v>
      </c>
      <c r="D33">
        <v>4</v>
      </c>
      <c r="E33">
        <v>1498</v>
      </c>
      <c r="F33">
        <v>233</v>
      </c>
      <c r="G33" s="1">
        <f t="shared" si="0"/>
        <v>0.15554072096128171</v>
      </c>
    </row>
    <row r="34" spans="1:7">
      <c r="A34" t="s">
        <v>4</v>
      </c>
      <c r="B34">
        <v>9</v>
      </c>
      <c r="C34" t="s">
        <v>25</v>
      </c>
      <c r="D34">
        <v>5</v>
      </c>
      <c r="E34">
        <v>1498</v>
      </c>
      <c r="F34">
        <v>236</v>
      </c>
      <c r="G34" s="1">
        <f t="shared" si="0"/>
        <v>0.157543391188251</v>
      </c>
    </row>
    <row r="35" spans="1:7">
      <c r="A35" t="s">
        <v>4</v>
      </c>
      <c r="B35">
        <v>9</v>
      </c>
      <c r="C35" t="s">
        <v>27</v>
      </c>
      <c r="D35">
        <v>6</v>
      </c>
      <c r="E35">
        <v>1498</v>
      </c>
      <c r="F35">
        <v>497</v>
      </c>
      <c r="G35" s="1">
        <f t="shared" si="0"/>
        <v>0.33177570093457942</v>
      </c>
    </row>
    <row r="36" spans="1:7">
      <c r="A36" t="s">
        <v>4</v>
      </c>
      <c r="B36">
        <v>9</v>
      </c>
      <c r="C36" t="s">
        <v>30</v>
      </c>
      <c r="D36">
        <v>7</v>
      </c>
      <c r="E36">
        <v>1498</v>
      </c>
      <c r="F36">
        <v>507</v>
      </c>
      <c r="G36" s="1">
        <f t="shared" si="0"/>
        <v>0.33845126835781042</v>
      </c>
    </row>
    <row r="37" spans="1:7">
      <c r="A37" t="s">
        <v>4</v>
      </c>
      <c r="B37">
        <v>9</v>
      </c>
      <c r="C37" t="s">
        <v>31</v>
      </c>
      <c r="D37">
        <v>8</v>
      </c>
      <c r="E37">
        <v>1498</v>
      </c>
      <c r="F37">
        <v>540</v>
      </c>
      <c r="G37" s="1">
        <f t="shared" si="0"/>
        <v>0.36048064085447262</v>
      </c>
    </row>
    <row r="38" spans="1:7">
      <c r="A38" t="s">
        <v>4</v>
      </c>
      <c r="B38">
        <v>9</v>
      </c>
      <c r="C38" t="s">
        <v>28</v>
      </c>
      <c r="D38">
        <v>9</v>
      </c>
      <c r="E38">
        <v>1498</v>
      </c>
      <c r="F38">
        <v>586</v>
      </c>
      <c r="G38" s="1">
        <f t="shared" si="0"/>
        <v>0.39118825100133514</v>
      </c>
    </row>
    <row r="39" spans="1:7">
      <c r="A39" t="s">
        <v>4</v>
      </c>
      <c r="B39">
        <v>9</v>
      </c>
      <c r="C39" t="s">
        <v>29</v>
      </c>
      <c r="D39">
        <v>10</v>
      </c>
      <c r="E39">
        <v>1498</v>
      </c>
      <c r="F39">
        <v>597</v>
      </c>
      <c r="G39" s="1">
        <f t="shared" si="0"/>
        <v>0.39853137516688919</v>
      </c>
    </row>
    <row r="40" spans="1:7">
      <c r="A40" t="s">
        <v>32</v>
      </c>
      <c r="B40">
        <v>2</v>
      </c>
      <c r="C40" t="s">
        <v>33</v>
      </c>
      <c r="D40">
        <v>1</v>
      </c>
      <c r="E40">
        <v>853</v>
      </c>
      <c r="F40">
        <v>229</v>
      </c>
      <c r="G40" s="1">
        <f t="shared" si="0"/>
        <v>0.26846424384525203</v>
      </c>
    </row>
    <row r="41" spans="1:7">
      <c r="A41" t="s">
        <v>32</v>
      </c>
      <c r="B41">
        <v>2</v>
      </c>
      <c r="C41" t="s">
        <v>34</v>
      </c>
      <c r="D41">
        <v>2</v>
      </c>
      <c r="E41">
        <v>853</v>
      </c>
      <c r="F41">
        <v>532</v>
      </c>
      <c r="G41" s="1">
        <f t="shared" si="0"/>
        <v>0.62368112543962484</v>
      </c>
    </row>
    <row r="42" spans="1:7">
      <c r="A42" t="s">
        <v>32</v>
      </c>
      <c r="B42">
        <v>2</v>
      </c>
      <c r="C42" t="s">
        <v>0</v>
      </c>
      <c r="D42">
        <v>3</v>
      </c>
      <c r="E42">
        <v>853</v>
      </c>
      <c r="F42">
        <v>557</v>
      </c>
      <c r="G42" s="1">
        <f t="shared" si="0"/>
        <v>0.65298944900351696</v>
      </c>
    </row>
    <row r="43" spans="1:7">
      <c r="A43" t="s">
        <v>32</v>
      </c>
      <c r="B43">
        <v>2</v>
      </c>
      <c r="C43" t="s">
        <v>35</v>
      </c>
      <c r="D43">
        <v>4</v>
      </c>
      <c r="E43">
        <v>853</v>
      </c>
      <c r="F43">
        <v>800</v>
      </c>
      <c r="G43" s="1">
        <f t="shared" si="0"/>
        <v>0.93786635404454866</v>
      </c>
    </row>
    <row r="44" spans="1:7">
      <c r="A44" t="s">
        <v>32</v>
      </c>
      <c r="B44">
        <v>4</v>
      </c>
      <c r="C44" t="s">
        <v>33</v>
      </c>
      <c r="D44">
        <v>1</v>
      </c>
      <c r="E44">
        <v>828</v>
      </c>
      <c r="F44">
        <v>234</v>
      </c>
      <c r="G44" s="1">
        <f t="shared" si="0"/>
        <v>0.28260869565217389</v>
      </c>
    </row>
    <row r="45" spans="1:7">
      <c r="A45" t="s">
        <v>32</v>
      </c>
      <c r="B45">
        <v>4</v>
      </c>
      <c r="C45" t="s">
        <v>34</v>
      </c>
      <c r="D45">
        <v>2</v>
      </c>
      <c r="E45">
        <v>828</v>
      </c>
      <c r="F45">
        <v>529</v>
      </c>
      <c r="G45" s="1">
        <f t="shared" si="0"/>
        <v>0.63888888888888884</v>
      </c>
    </row>
    <row r="46" spans="1:7">
      <c r="A46" t="s">
        <v>32</v>
      </c>
      <c r="B46">
        <v>4</v>
      </c>
      <c r="C46" t="s">
        <v>0</v>
      </c>
      <c r="D46">
        <v>3</v>
      </c>
      <c r="E46">
        <v>828</v>
      </c>
      <c r="F46">
        <v>542</v>
      </c>
      <c r="G46" s="1">
        <f t="shared" si="0"/>
        <v>0.65458937198067635</v>
      </c>
    </row>
    <row r="47" spans="1:7">
      <c r="A47" t="s">
        <v>32</v>
      </c>
      <c r="B47">
        <v>4</v>
      </c>
      <c r="C47" t="s">
        <v>35</v>
      </c>
      <c r="D47">
        <v>4</v>
      </c>
      <c r="E47">
        <v>828</v>
      </c>
      <c r="F47">
        <v>777</v>
      </c>
      <c r="G47" s="1">
        <f t="shared" si="0"/>
        <v>0.93840579710144922</v>
      </c>
    </row>
    <row r="48" spans="1:7">
      <c r="A48" t="s">
        <v>32</v>
      </c>
      <c r="B48">
        <v>13</v>
      </c>
      <c r="C48" t="s">
        <v>313</v>
      </c>
      <c r="D48">
        <v>1</v>
      </c>
      <c r="E48">
        <v>244</v>
      </c>
      <c r="F48">
        <v>249</v>
      </c>
      <c r="G48" s="1">
        <f t="shared" si="0"/>
        <v>1.0204918032786885</v>
      </c>
    </row>
    <row r="49" spans="1:7">
      <c r="A49" t="s">
        <v>32</v>
      </c>
      <c r="B49">
        <v>13</v>
      </c>
      <c r="C49" t="s">
        <v>314</v>
      </c>
      <c r="D49">
        <v>2</v>
      </c>
      <c r="E49">
        <v>244</v>
      </c>
      <c r="F49">
        <v>268</v>
      </c>
      <c r="G49" s="1">
        <f t="shared" si="0"/>
        <v>1.098360655737705</v>
      </c>
    </row>
    <row r="50" spans="1:7">
      <c r="A50" t="s">
        <v>32</v>
      </c>
      <c r="B50">
        <v>16</v>
      </c>
      <c r="C50" t="s">
        <v>36</v>
      </c>
      <c r="D50">
        <v>1</v>
      </c>
      <c r="E50">
        <v>14834</v>
      </c>
      <c r="F50">
        <v>111</v>
      </c>
      <c r="G50" s="1">
        <f t="shared" si="0"/>
        <v>7.48280976135904E-3</v>
      </c>
    </row>
    <row r="51" spans="1:7">
      <c r="A51" t="s">
        <v>32</v>
      </c>
      <c r="B51">
        <v>16</v>
      </c>
      <c r="C51" t="s">
        <v>37</v>
      </c>
      <c r="D51">
        <v>2</v>
      </c>
      <c r="E51">
        <v>14834</v>
      </c>
      <c r="F51">
        <v>184</v>
      </c>
      <c r="G51" s="1">
        <f t="shared" si="0"/>
        <v>1.2403936901712282E-2</v>
      </c>
    </row>
    <row r="52" spans="1:7">
      <c r="A52" t="s">
        <v>32</v>
      </c>
      <c r="B52">
        <v>16</v>
      </c>
      <c r="C52" t="s">
        <v>38</v>
      </c>
      <c r="D52">
        <v>3</v>
      </c>
      <c r="E52">
        <v>14834</v>
      </c>
      <c r="F52">
        <v>14351</v>
      </c>
      <c r="G52" s="1">
        <f t="shared" si="0"/>
        <v>0.96743966563300521</v>
      </c>
    </row>
    <row r="53" spans="1:7">
      <c r="A53" t="s">
        <v>32</v>
      </c>
      <c r="B53">
        <v>16</v>
      </c>
      <c r="C53" t="s">
        <v>39</v>
      </c>
      <c r="D53">
        <v>4</v>
      </c>
      <c r="E53">
        <v>14834</v>
      </c>
      <c r="F53">
        <v>14642</v>
      </c>
      <c r="G53" s="1">
        <f t="shared" si="0"/>
        <v>0.98705676149386545</v>
      </c>
    </row>
    <row r="54" spans="1:7">
      <c r="A54" t="s">
        <v>32</v>
      </c>
      <c r="B54">
        <v>18</v>
      </c>
      <c r="C54" t="s">
        <v>33</v>
      </c>
      <c r="D54">
        <v>1</v>
      </c>
      <c r="E54">
        <v>7907</v>
      </c>
      <c r="F54">
        <v>78</v>
      </c>
      <c r="G54" s="1">
        <f t="shared" si="0"/>
        <v>9.864676868597445E-3</v>
      </c>
    </row>
    <row r="55" spans="1:7">
      <c r="A55" t="s">
        <v>32</v>
      </c>
      <c r="B55">
        <v>18</v>
      </c>
      <c r="C55" t="s">
        <v>2</v>
      </c>
      <c r="D55">
        <v>2</v>
      </c>
      <c r="E55">
        <v>7907</v>
      </c>
      <c r="F55">
        <v>189</v>
      </c>
      <c r="G55" s="1">
        <f t="shared" si="0"/>
        <v>2.3902870873909195E-2</v>
      </c>
    </row>
    <row r="56" spans="1:7">
      <c r="A56" t="s">
        <v>32</v>
      </c>
      <c r="B56">
        <v>18</v>
      </c>
      <c r="C56" t="s">
        <v>40</v>
      </c>
      <c r="D56">
        <v>3</v>
      </c>
      <c r="E56">
        <v>7907</v>
      </c>
      <c r="F56">
        <v>486</v>
      </c>
      <c r="G56" s="1">
        <f t="shared" si="0"/>
        <v>6.1464525104337926E-2</v>
      </c>
    </row>
    <row r="57" spans="1:7">
      <c r="A57" t="s">
        <v>32</v>
      </c>
      <c r="B57">
        <v>18</v>
      </c>
      <c r="C57" t="s">
        <v>41</v>
      </c>
      <c r="D57">
        <v>4</v>
      </c>
      <c r="E57">
        <v>7907</v>
      </c>
      <c r="F57">
        <v>583</v>
      </c>
      <c r="G57" s="1">
        <f t="shared" si="0"/>
        <v>7.3732136081952698E-2</v>
      </c>
    </row>
    <row r="58" spans="1:7">
      <c r="A58" t="s">
        <v>32</v>
      </c>
      <c r="B58">
        <v>18</v>
      </c>
      <c r="C58" t="s">
        <v>45</v>
      </c>
      <c r="D58">
        <v>5</v>
      </c>
      <c r="E58">
        <v>7907</v>
      </c>
      <c r="F58">
        <v>824</v>
      </c>
      <c r="G58" s="1">
        <f t="shared" si="0"/>
        <v>0.10421145820159353</v>
      </c>
    </row>
    <row r="59" spans="1:7">
      <c r="A59" t="s">
        <v>32</v>
      </c>
      <c r="B59">
        <v>18</v>
      </c>
      <c r="C59" t="s">
        <v>44</v>
      </c>
      <c r="D59">
        <v>6</v>
      </c>
      <c r="E59">
        <v>7907</v>
      </c>
      <c r="F59">
        <v>830</v>
      </c>
      <c r="G59" s="1">
        <f t="shared" si="0"/>
        <v>0.10497027949917795</v>
      </c>
    </row>
    <row r="60" spans="1:7">
      <c r="A60" t="s">
        <v>32</v>
      </c>
      <c r="B60">
        <v>18</v>
      </c>
      <c r="C60" t="s">
        <v>47</v>
      </c>
      <c r="D60">
        <v>7</v>
      </c>
      <c r="E60">
        <v>7907</v>
      </c>
      <c r="F60">
        <v>851</v>
      </c>
      <c r="G60" s="1">
        <f t="shared" si="0"/>
        <v>0.10762615404072341</v>
      </c>
    </row>
    <row r="61" spans="1:7">
      <c r="A61" t="s">
        <v>32</v>
      </c>
      <c r="B61">
        <v>18</v>
      </c>
      <c r="C61" t="s">
        <v>42</v>
      </c>
      <c r="D61">
        <v>8</v>
      </c>
      <c r="E61">
        <v>7907</v>
      </c>
      <c r="F61">
        <v>853</v>
      </c>
      <c r="G61" s="1">
        <f t="shared" si="0"/>
        <v>0.10787909447325154</v>
      </c>
    </row>
    <row r="62" spans="1:7">
      <c r="A62" t="s">
        <v>32</v>
      </c>
      <c r="B62">
        <v>18</v>
      </c>
      <c r="C62" t="s">
        <v>53</v>
      </c>
      <c r="D62">
        <v>9</v>
      </c>
      <c r="E62">
        <v>7907</v>
      </c>
      <c r="F62">
        <v>867</v>
      </c>
      <c r="G62" s="1">
        <f t="shared" si="0"/>
        <v>0.10964967750094852</v>
      </c>
    </row>
    <row r="63" spans="1:7">
      <c r="A63" t="s">
        <v>32</v>
      </c>
      <c r="B63">
        <v>18</v>
      </c>
      <c r="C63" t="s">
        <v>51</v>
      </c>
      <c r="D63">
        <v>10</v>
      </c>
      <c r="E63">
        <v>7907</v>
      </c>
      <c r="F63">
        <v>898</v>
      </c>
      <c r="G63" s="1">
        <f t="shared" si="0"/>
        <v>0.1135702542051347</v>
      </c>
    </row>
    <row r="64" spans="1:7">
      <c r="A64" t="s">
        <v>32</v>
      </c>
      <c r="B64">
        <v>18</v>
      </c>
      <c r="C64" t="s">
        <v>52</v>
      </c>
      <c r="D64">
        <v>11</v>
      </c>
      <c r="E64">
        <v>7907</v>
      </c>
      <c r="F64">
        <v>899</v>
      </c>
      <c r="G64" s="1">
        <f t="shared" si="0"/>
        <v>0.11369672442139876</v>
      </c>
    </row>
    <row r="65" spans="1:7">
      <c r="A65" t="s">
        <v>32</v>
      </c>
      <c r="B65">
        <v>18</v>
      </c>
      <c r="C65" t="s">
        <v>54</v>
      </c>
      <c r="D65">
        <v>12</v>
      </c>
      <c r="E65">
        <v>7907</v>
      </c>
      <c r="F65">
        <v>901</v>
      </c>
      <c r="G65" s="1">
        <f t="shared" si="0"/>
        <v>0.11394966485392689</v>
      </c>
    </row>
    <row r="66" spans="1:7">
      <c r="A66" t="s">
        <v>32</v>
      </c>
      <c r="B66">
        <v>18</v>
      </c>
      <c r="C66" t="s">
        <v>55</v>
      </c>
      <c r="D66">
        <v>13</v>
      </c>
      <c r="E66">
        <v>7907</v>
      </c>
      <c r="F66">
        <v>902</v>
      </c>
      <c r="G66" s="1">
        <f t="shared" ref="G66:G129" si="1">F66/E66</f>
        <v>0.11407613507019097</v>
      </c>
    </row>
    <row r="67" spans="1:7">
      <c r="A67" t="s">
        <v>32</v>
      </c>
      <c r="B67">
        <v>18</v>
      </c>
      <c r="C67" t="s">
        <v>48</v>
      </c>
      <c r="D67">
        <v>14</v>
      </c>
      <c r="E67">
        <v>7907</v>
      </c>
      <c r="F67">
        <v>903</v>
      </c>
      <c r="G67" s="1">
        <f t="shared" si="1"/>
        <v>0.11420260528645504</v>
      </c>
    </row>
    <row r="68" spans="1:7">
      <c r="A68" t="s">
        <v>32</v>
      </c>
      <c r="B68">
        <v>18</v>
      </c>
      <c r="C68" t="s">
        <v>43</v>
      </c>
      <c r="D68">
        <v>15</v>
      </c>
      <c r="E68">
        <v>7907</v>
      </c>
      <c r="F68">
        <v>955</v>
      </c>
      <c r="G68" s="1">
        <f t="shared" si="1"/>
        <v>0.12077905653218667</v>
      </c>
    </row>
    <row r="69" spans="1:7">
      <c r="A69" t="s">
        <v>32</v>
      </c>
      <c r="B69">
        <v>18</v>
      </c>
      <c r="C69" t="s">
        <v>46</v>
      </c>
      <c r="D69">
        <v>16</v>
      </c>
      <c r="E69">
        <v>7907</v>
      </c>
      <c r="F69">
        <v>965</v>
      </c>
      <c r="G69" s="1">
        <f t="shared" si="1"/>
        <v>0.12204375869482736</v>
      </c>
    </row>
    <row r="70" spans="1:7">
      <c r="A70" t="s">
        <v>32</v>
      </c>
      <c r="B70">
        <v>18</v>
      </c>
      <c r="C70" t="s">
        <v>50</v>
      </c>
      <c r="D70">
        <v>17</v>
      </c>
      <c r="E70">
        <v>7907</v>
      </c>
      <c r="F70">
        <v>1000</v>
      </c>
      <c r="G70" s="1">
        <f t="shared" si="1"/>
        <v>0.12647021626406982</v>
      </c>
    </row>
    <row r="71" spans="1:7">
      <c r="A71" t="s">
        <v>32</v>
      </c>
      <c r="B71">
        <v>18</v>
      </c>
      <c r="C71" t="s">
        <v>49</v>
      </c>
      <c r="D71">
        <v>18</v>
      </c>
      <c r="E71">
        <v>7907</v>
      </c>
      <c r="F71">
        <v>1019</v>
      </c>
      <c r="G71" s="1">
        <f t="shared" si="1"/>
        <v>0.12887315037308714</v>
      </c>
    </row>
    <row r="72" spans="1:7">
      <c r="A72" t="s">
        <v>32</v>
      </c>
      <c r="B72">
        <v>18</v>
      </c>
      <c r="C72" t="s">
        <v>318</v>
      </c>
      <c r="D72">
        <v>19</v>
      </c>
      <c r="E72">
        <v>7907</v>
      </c>
      <c r="F72">
        <v>7113</v>
      </c>
      <c r="G72" s="1">
        <f t="shared" si="1"/>
        <v>0.89958264828632861</v>
      </c>
    </row>
    <row r="73" spans="1:7">
      <c r="A73" t="s">
        <v>32</v>
      </c>
      <c r="B73">
        <v>18</v>
      </c>
      <c r="C73" t="s">
        <v>320</v>
      </c>
      <c r="D73">
        <v>20</v>
      </c>
      <c r="E73">
        <v>7907</v>
      </c>
      <c r="F73">
        <v>7183</v>
      </c>
      <c r="G73" s="1">
        <f t="shared" si="1"/>
        <v>0.90843556342481346</v>
      </c>
    </row>
    <row r="74" spans="1:7">
      <c r="A74" t="s">
        <v>32</v>
      </c>
      <c r="B74">
        <v>18</v>
      </c>
      <c r="C74" t="s">
        <v>315</v>
      </c>
      <c r="D74">
        <v>21</v>
      </c>
      <c r="E74">
        <v>7907</v>
      </c>
      <c r="F74">
        <v>7311</v>
      </c>
      <c r="G74" s="1">
        <f t="shared" si="1"/>
        <v>0.92462375110661443</v>
      </c>
    </row>
    <row r="75" spans="1:7">
      <c r="A75" t="s">
        <v>32</v>
      </c>
      <c r="B75">
        <v>18</v>
      </c>
      <c r="C75" t="s">
        <v>316</v>
      </c>
      <c r="D75">
        <v>22</v>
      </c>
      <c r="E75">
        <v>7907</v>
      </c>
      <c r="F75">
        <v>7355</v>
      </c>
      <c r="G75" s="1">
        <f t="shared" si="1"/>
        <v>0.93018844062223349</v>
      </c>
    </row>
    <row r="76" spans="1:7">
      <c r="A76" t="s">
        <v>32</v>
      </c>
      <c r="B76">
        <v>18</v>
      </c>
      <c r="C76" t="s">
        <v>317</v>
      </c>
      <c r="D76">
        <v>23</v>
      </c>
      <c r="E76">
        <v>7907</v>
      </c>
      <c r="F76">
        <v>7548</v>
      </c>
      <c r="G76" s="1">
        <f t="shared" si="1"/>
        <v>0.95459719236119889</v>
      </c>
    </row>
    <row r="77" spans="1:7">
      <c r="A77" t="s">
        <v>32</v>
      </c>
      <c r="B77">
        <v>18</v>
      </c>
      <c r="C77" t="s">
        <v>321</v>
      </c>
      <c r="D77">
        <v>24</v>
      </c>
      <c r="E77">
        <v>7907</v>
      </c>
      <c r="F77">
        <v>7590</v>
      </c>
      <c r="G77" s="1">
        <f t="shared" si="1"/>
        <v>0.95990894144428984</v>
      </c>
    </row>
    <row r="78" spans="1:7">
      <c r="A78" t="s">
        <v>32</v>
      </c>
      <c r="B78">
        <v>18</v>
      </c>
      <c r="C78" t="s">
        <v>319</v>
      </c>
      <c r="D78">
        <v>25</v>
      </c>
      <c r="E78">
        <v>7907</v>
      </c>
      <c r="F78">
        <v>7652</v>
      </c>
      <c r="G78" s="1">
        <f t="shared" si="1"/>
        <v>0.96775009485266217</v>
      </c>
    </row>
    <row r="79" spans="1:7">
      <c r="A79" t="s">
        <v>32</v>
      </c>
      <c r="B79">
        <v>19</v>
      </c>
      <c r="C79" t="s">
        <v>33</v>
      </c>
      <c r="D79">
        <v>1</v>
      </c>
      <c r="E79">
        <v>6854</v>
      </c>
      <c r="F79">
        <v>78</v>
      </c>
      <c r="G79" s="1">
        <f t="shared" si="1"/>
        <v>1.1380215932302306E-2</v>
      </c>
    </row>
    <row r="80" spans="1:7">
      <c r="A80" t="s">
        <v>32</v>
      </c>
      <c r="B80">
        <v>19</v>
      </c>
      <c r="C80" t="s">
        <v>2</v>
      </c>
      <c r="D80">
        <v>2</v>
      </c>
      <c r="E80">
        <v>6854</v>
      </c>
      <c r="F80">
        <v>179</v>
      </c>
      <c r="G80" s="1">
        <f t="shared" si="1"/>
        <v>2.6116136562591187E-2</v>
      </c>
    </row>
    <row r="81" spans="1:7">
      <c r="A81" t="s">
        <v>32</v>
      </c>
      <c r="B81">
        <v>19</v>
      </c>
      <c r="C81" t="s">
        <v>307</v>
      </c>
      <c r="D81">
        <v>3</v>
      </c>
      <c r="E81">
        <v>6854</v>
      </c>
      <c r="F81">
        <v>5849</v>
      </c>
      <c r="G81" s="1">
        <f t="shared" si="1"/>
        <v>0.85337029471841264</v>
      </c>
    </row>
    <row r="82" spans="1:7">
      <c r="A82" t="s">
        <v>32</v>
      </c>
      <c r="B82">
        <v>19</v>
      </c>
      <c r="C82" t="s">
        <v>322</v>
      </c>
      <c r="D82">
        <v>4</v>
      </c>
      <c r="E82">
        <v>6854</v>
      </c>
      <c r="F82">
        <v>6177</v>
      </c>
      <c r="G82" s="1">
        <f t="shared" si="1"/>
        <v>0.90122556171578638</v>
      </c>
    </row>
    <row r="83" spans="1:7">
      <c r="A83" t="s">
        <v>32</v>
      </c>
      <c r="B83">
        <v>19</v>
      </c>
      <c r="C83" t="s">
        <v>324</v>
      </c>
      <c r="D83">
        <v>5</v>
      </c>
      <c r="E83">
        <v>6854</v>
      </c>
      <c r="F83">
        <v>6327</v>
      </c>
      <c r="G83" s="1">
        <f t="shared" si="1"/>
        <v>0.92311059235482928</v>
      </c>
    </row>
    <row r="84" spans="1:7">
      <c r="A84" t="s">
        <v>32</v>
      </c>
      <c r="B84">
        <v>19</v>
      </c>
      <c r="C84" t="s">
        <v>325</v>
      </c>
      <c r="D84">
        <v>6</v>
      </c>
      <c r="E84">
        <v>6854</v>
      </c>
      <c r="F84">
        <v>6379</v>
      </c>
      <c r="G84" s="1">
        <f t="shared" si="1"/>
        <v>0.93069740297636416</v>
      </c>
    </row>
    <row r="85" spans="1:7">
      <c r="A85" t="s">
        <v>32</v>
      </c>
      <c r="B85">
        <v>19</v>
      </c>
      <c r="C85" t="s">
        <v>338</v>
      </c>
      <c r="D85">
        <v>7</v>
      </c>
      <c r="E85">
        <v>6854</v>
      </c>
      <c r="F85">
        <v>6427</v>
      </c>
      <c r="G85" s="1">
        <f t="shared" si="1"/>
        <v>0.93770061278085792</v>
      </c>
    </row>
    <row r="86" spans="1:7">
      <c r="A86" t="s">
        <v>32</v>
      </c>
      <c r="B86">
        <v>19</v>
      </c>
      <c r="C86" t="s">
        <v>326</v>
      </c>
      <c r="D86">
        <v>8</v>
      </c>
      <c r="E86">
        <v>6854</v>
      </c>
      <c r="F86">
        <v>6453</v>
      </c>
      <c r="G86" s="1">
        <f t="shared" si="1"/>
        <v>0.94149401809162536</v>
      </c>
    </row>
    <row r="87" spans="1:7">
      <c r="A87" t="s">
        <v>32</v>
      </c>
      <c r="B87">
        <v>19</v>
      </c>
      <c r="C87" t="s">
        <v>328</v>
      </c>
      <c r="D87">
        <v>9</v>
      </c>
      <c r="E87">
        <v>6854</v>
      </c>
      <c r="F87">
        <v>6489</v>
      </c>
      <c r="G87" s="1">
        <f t="shared" si="1"/>
        <v>0.94674642544499565</v>
      </c>
    </row>
    <row r="88" spans="1:7">
      <c r="A88" t="s">
        <v>32</v>
      </c>
      <c r="B88">
        <v>19</v>
      </c>
      <c r="C88" t="s">
        <v>337</v>
      </c>
      <c r="D88">
        <v>10</v>
      </c>
      <c r="E88">
        <v>6854</v>
      </c>
      <c r="F88">
        <v>6591</v>
      </c>
      <c r="G88" s="1">
        <f t="shared" si="1"/>
        <v>0.9616282462795448</v>
      </c>
    </row>
    <row r="89" spans="1:7">
      <c r="A89" t="s">
        <v>32</v>
      </c>
      <c r="B89">
        <v>19</v>
      </c>
      <c r="C89" t="s">
        <v>331</v>
      </c>
      <c r="D89">
        <v>11</v>
      </c>
      <c r="E89">
        <v>6854</v>
      </c>
      <c r="F89">
        <v>6593</v>
      </c>
      <c r="G89" s="1">
        <f t="shared" si="1"/>
        <v>0.96192004668806541</v>
      </c>
    </row>
    <row r="90" spans="1:7">
      <c r="A90" t="s">
        <v>32</v>
      </c>
      <c r="B90">
        <v>19</v>
      </c>
      <c r="C90" t="s">
        <v>334</v>
      </c>
      <c r="D90">
        <v>12</v>
      </c>
      <c r="E90">
        <v>6854</v>
      </c>
      <c r="F90">
        <v>6617</v>
      </c>
      <c r="G90" s="1">
        <f t="shared" si="1"/>
        <v>0.96542165159031224</v>
      </c>
    </row>
    <row r="91" spans="1:7">
      <c r="A91" t="s">
        <v>32</v>
      </c>
      <c r="B91">
        <v>19</v>
      </c>
      <c r="C91" t="s">
        <v>332</v>
      </c>
      <c r="D91">
        <v>13</v>
      </c>
      <c r="E91">
        <v>6854</v>
      </c>
      <c r="F91">
        <v>6630</v>
      </c>
      <c r="G91" s="1">
        <f t="shared" si="1"/>
        <v>0.9673183542456959</v>
      </c>
    </row>
    <row r="92" spans="1:7">
      <c r="A92" t="s">
        <v>32</v>
      </c>
      <c r="B92">
        <v>19</v>
      </c>
      <c r="C92" t="s">
        <v>330</v>
      </c>
      <c r="D92">
        <v>14</v>
      </c>
      <c r="E92">
        <v>6854</v>
      </c>
      <c r="F92">
        <v>6648</v>
      </c>
      <c r="G92" s="1">
        <f t="shared" si="1"/>
        <v>0.9699445579223811</v>
      </c>
    </row>
    <row r="93" spans="1:7">
      <c r="A93" t="s">
        <v>32</v>
      </c>
      <c r="B93">
        <v>19</v>
      </c>
      <c r="C93" t="s">
        <v>327</v>
      </c>
      <c r="D93">
        <v>15</v>
      </c>
      <c r="E93">
        <v>6854</v>
      </c>
      <c r="F93">
        <v>6649</v>
      </c>
      <c r="G93" s="1">
        <f t="shared" si="1"/>
        <v>0.97009045812664141</v>
      </c>
    </row>
    <row r="94" spans="1:7">
      <c r="A94" t="s">
        <v>32</v>
      </c>
      <c r="B94">
        <v>19</v>
      </c>
      <c r="C94" t="s">
        <v>329</v>
      </c>
      <c r="D94">
        <v>16</v>
      </c>
      <c r="E94">
        <v>6854</v>
      </c>
      <c r="F94">
        <v>6664</v>
      </c>
      <c r="G94" s="1">
        <f t="shared" si="1"/>
        <v>0.97227896119054569</v>
      </c>
    </row>
    <row r="95" spans="1:7">
      <c r="A95" t="s">
        <v>32</v>
      </c>
      <c r="B95">
        <v>19</v>
      </c>
      <c r="C95" t="s">
        <v>336</v>
      </c>
      <c r="D95">
        <v>17</v>
      </c>
      <c r="E95">
        <v>6854</v>
      </c>
      <c r="F95">
        <v>6676</v>
      </c>
      <c r="G95" s="1">
        <f t="shared" si="1"/>
        <v>0.97402976364166904</v>
      </c>
    </row>
    <row r="96" spans="1:7">
      <c r="A96" t="s">
        <v>32</v>
      </c>
      <c r="B96">
        <v>19</v>
      </c>
      <c r="C96" t="s">
        <v>333</v>
      </c>
      <c r="D96">
        <v>18</v>
      </c>
      <c r="E96">
        <v>6854</v>
      </c>
      <c r="F96">
        <v>6702</v>
      </c>
      <c r="G96" s="1">
        <f t="shared" si="1"/>
        <v>0.97782316895243648</v>
      </c>
    </row>
    <row r="97" spans="1:7">
      <c r="A97" t="s">
        <v>32</v>
      </c>
      <c r="B97">
        <v>19</v>
      </c>
      <c r="C97" t="s">
        <v>335</v>
      </c>
      <c r="D97">
        <v>19</v>
      </c>
      <c r="E97">
        <v>6854</v>
      </c>
      <c r="F97">
        <v>6714</v>
      </c>
      <c r="G97" s="1">
        <f t="shared" si="1"/>
        <v>0.97957397140355995</v>
      </c>
    </row>
    <row r="98" spans="1:7">
      <c r="A98" t="s">
        <v>32</v>
      </c>
      <c r="B98">
        <v>19</v>
      </c>
      <c r="C98" t="s">
        <v>341</v>
      </c>
      <c r="D98">
        <v>20</v>
      </c>
      <c r="E98">
        <v>6854</v>
      </c>
      <c r="F98">
        <v>6740</v>
      </c>
      <c r="G98" s="1">
        <f t="shared" si="1"/>
        <v>0.98336737671432739</v>
      </c>
    </row>
    <row r="99" spans="1:7">
      <c r="A99" t="s">
        <v>32</v>
      </c>
      <c r="B99">
        <v>19</v>
      </c>
      <c r="C99" t="s">
        <v>343</v>
      </c>
      <c r="D99">
        <v>21</v>
      </c>
      <c r="E99">
        <v>6854</v>
      </c>
      <c r="F99">
        <v>6744</v>
      </c>
      <c r="G99" s="1">
        <f t="shared" si="1"/>
        <v>0.98395097753136851</v>
      </c>
    </row>
    <row r="100" spans="1:7">
      <c r="A100" t="s">
        <v>32</v>
      </c>
      <c r="B100">
        <v>19</v>
      </c>
      <c r="C100" t="s">
        <v>342</v>
      </c>
      <c r="D100">
        <v>22</v>
      </c>
      <c r="E100">
        <v>6854</v>
      </c>
      <c r="F100">
        <v>6796</v>
      </c>
      <c r="G100" s="1">
        <f t="shared" si="1"/>
        <v>0.99153778815290339</v>
      </c>
    </row>
    <row r="101" spans="1:7">
      <c r="A101" t="s">
        <v>32</v>
      </c>
      <c r="B101">
        <v>19</v>
      </c>
      <c r="C101" t="s">
        <v>323</v>
      </c>
      <c r="D101">
        <v>23</v>
      </c>
      <c r="E101">
        <v>6854</v>
      </c>
      <c r="F101">
        <v>6832</v>
      </c>
      <c r="G101" s="1">
        <f t="shared" si="1"/>
        <v>0.99679019550627368</v>
      </c>
    </row>
    <row r="102" spans="1:7">
      <c r="A102" t="s">
        <v>32</v>
      </c>
      <c r="B102">
        <v>19</v>
      </c>
      <c r="C102" t="s">
        <v>339</v>
      </c>
      <c r="D102">
        <v>24</v>
      </c>
      <c r="E102">
        <v>6854</v>
      </c>
      <c r="F102">
        <v>6851</v>
      </c>
      <c r="G102" s="1">
        <f t="shared" si="1"/>
        <v>0.99956229938721919</v>
      </c>
    </row>
    <row r="103" spans="1:7">
      <c r="A103" t="s">
        <v>32</v>
      </c>
      <c r="B103">
        <v>19</v>
      </c>
      <c r="C103" t="s">
        <v>340</v>
      </c>
      <c r="D103">
        <v>25</v>
      </c>
      <c r="E103">
        <v>6854</v>
      </c>
      <c r="F103">
        <v>6901</v>
      </c>
      <c r="G103" s="1">
        <f t="shared" si="1"/>
        <v>1.0068573096002333</v>
      </c>
    </row>
    <row r="104" spans="1:7">
      <c r="A104" t="s">
        <v>32</v>
      </c>
      <c r="B104">
        <v>20</v>
      </c>
      <c r="C104" t="s">
        <v>357</v>
      </c>
      <c r="D104">
        <v>1</v>
      </c>
      <c r="E104">
        <v>4488</v>
      </c>
      <c r="F104">
        <v>3888</v>
      </c>
      <c r="G104" s="1">
        <f t="shared" si="1"/>
        <v>0.86631016042780751</v>
      </c>
    </row>
    <row r="105" spans="1:7">
      <c r="A105" t="s">
        <v>32</v>
      </c>
      <c r="B105">
        <v>20</v>
      </c>
      <c r="C105" t="s">
        <v>345</v>
      </c>
      <c r="D105">
        <v>2</v>
      </c>
      <c r="E105">
        <v>4488</v>
      </c>
      <c r="F105">
        <v>3926</v>
      </c>
      <c r="G105" s="1">
        <f t="shared" si="1"/>
        <v>0.87477718360071299</v>
      </c>
    </row>
    <row r="106" spans="1:7">
      <c r="A106" t="s">
        <v>32</v>
      </c>
      <c r="B106">
        <v>20</v>
      </c>
      <c r="C106" t="s">
        <v>344</v>
      </c>
      <c r="D106">
        <v>3</v>
      </c>
      <c r="E106">
        <v>4488</v>
      </c>
      <c r="F106">
        <v>3932</v>
      </c>
      <c r="G106" s="1">
        <f t="shared" si="1"/>
        <v>0.87611408199643492</v>
      </c>
    </row>
    <row r="107" spans="1:7">
      <c r="A107" t="s">
        <v>32</v>
      </c>
      <c r="B107">
        <v>20</v>
      </c>
      <c r="C107" t="s">
        <v>360</v>
      </c>
      <c r="D107">
        <v>4</v>
      </c>
      <c r="E107">
        <v>4488</v>
      </c>
      <c r="F107">
        <v>3945</v>
      </c>
      <c r="G107" s="1">
        <f t="shared" si="1"/>
        <v>0.87901069518716579</v>
      </c>
    </row>
    <row r="108" spans="1:7">
      <c r="A108" t="s">
        <v>32</v>
      </c>
      <c r="B108">
        <v>20</v>
      </c>
      <c r="C108" t="s">
        <v>353</v>
      </c>
      <c r="D108">
        <v>5</v>
      </c>
      <c r="E108">
        <v>4488</v>
      </c>
      <c r="F108">
        <v>3954</v>
      </c>
      <c r="G108" s="1">
        <f t="shared" si="1"/>
        <v>0.88101604278074863</v>
      </c>
    </row>
    <row r="109" spans="1:7">
      <c r="A109" t="s">
        <v>32</v>
      </c>
      <c r="B109">
        <v>20</v>
      </c>
      <c r="C109" t="s">
        <v>350</v>
      </c>
      <c r="D109">
        <v>6</v>
      </c>
      <c r="E109">
        <v>4488</v>
      </c>
      <c r="F109">
        <v>3967</v>
      </c>
      <c r="G109" s="1">
        <f t="shared" si="1"/>
        <v>0.8839126559714795</v>
      </c>
    </row>
    <row r="110" spans="1:7">
      <c r="A110" t="s">
        <v>32</v>
      </c>
      <c r="B110">
        <v>20</v>
      </c>
      <c r="C110" t="s">
        <v>356</v>
      </c>
      <c r="D110">
        <v>7</v>
      </c>
      <c r="E110">
        <v>4488</v>
      </c>
      <c r="F110">
        <v>3976</v>
      </c>
      <c r="G110" s="1">
        <f t="shared" si="1"/>
        <v>0.88591800356506234</v>
      </c>
    </row>
    <row r="111" spans="1:7">
      <c r="A111" t="s">
        <v>32</v>
      </c>
      <c r="B111">
        <v>20</v>
      </c>
      <c r="C111" t="s">
        <v>349</v>
      </c>
      <c r="D111">
        <v>8</v>
      </c>
      <c r="E111">
        <v>4488</v>
      </c>
      <c r="F111">
        <v>3977</v>
      </c>
      <c r="G111" s="1">
        <f t="shared" si="1"/>
        <v>0.88614081996434935</v>
      </c>
    </row>
    <row r="112" spans="1:7">
      <c r="A112" t="s">
        <v>32</v>
      </c>
      <c r="B112">
        <v>20</v>
      </c>
      <c r="C112" t="s">
        <v>347</v>
      </c>
      <c r="D112">
        <v>9</v>
      </c>
      <c r="E112">
        <v>4488</v>
      </c>
      <c r="F112">
        <v>3991</v>
      </c>
      <c r="G112" s="1">
        <f t="shared" si="1"/>
        <v>0.88926024955436722</v>
      </c>
    </row>
    <row r="113" spans="1:7">
      <c r="A113" t="s">
        <v>32</v>
      </c>
      <c r="B113">
        <v>20</v>
      </c>
      <c r="C113" t="s">
        <v>351</v>
      </c>
      <c r="D113">
        <v>10</v>
      </c>
      <c r="E113">
        <v>4488</v>
      </c>
      <c r="F113">
        <v>4011</v>
      </c>
      <c r="G113" s="1">
        <f t="shared" si="1"/>
        <v>0.89371657754010692</v>
      </c>
    </row>
    <row r="114" spans="1:7">
      <c r="A114" t="s">
        <v>32</v>
      </c>
      <c r="B114">
        <v>20</v>
      </c>
      <c r="C114" t="s">
        <v>346</v>
      </c>
      <c r="D114">
        <v>11</v>
      </c>
      <c r="E114">
        <v>4488</v>
      </c>
      <c r="F114">
        <v>4023</v>
      </c>
      <c r="G114" s="1">
        <f t="shared" si="1"/>
        <v>0.89639037433155078</v>
      </c>
    </row>
    <row r="115" spans="1:7">
      <c r="A115" t="s">
        <v>32</v>
      </c>
      <c r="B115">
        <v>20</v>
      </c>
      <c r="C115" t="s">
        <v>363</v>
      </c>
      <c r="D115">
        <v>12</v>
      </c>
      <c r="E115">
        <v>4488</v>
      </c>
      <c r="F115">
        <v>4024</v>
      </c>
      <c r="G115" s="1">
        <f t="shared" si="1"/>
        <v>0.89661319073083778</v>
      </c>
    </row>
    <row r="116" spans="1:7">
      <c r="A116" t="s">
        <v>32</v>
      </c>
      <c r="B116">
        <v>20</v>
      </c>
      <c r="C116" t="s">
        <v>359</v>
      </c>
      <c r="D116">
        <v>13</v>
      </c>
      <c r="E116">
        <v>4488</v>
      </c>
      <c r="F116">
        <v>4071</v>
      </c>
      <c r="G116" s="1">
        <f t="shared" si="1"/>
        <v>0.90708556149732622</v>
      </c>
    </row>
    <row r="117" spans="1:7">
      <c r="A117" t="s">
        <v>32</v>
      </c>
      <c r="B117">
        <v>20</v>
      </c>
      <c r="C117" t="s">
        <v>358</v>
      </c>
      <c r="D117">
        <v>14</v>
      </c>
      <c r="E117">
        <v>4488</v>
      </c>
      <c r="F117">
        <v>4090</v>
      </c>
      <c r="G117" s="1">
        <f t="shared" si="1"/>
        <v>0.91131907308377902</v>
      </c>
    </row>
    <row r="118" spans="1:7">
      <c r="A118" t="s">
        <v>32</v>
      </c>
      <c r="B118">
        <v>20</v>
      </c>
      <c r="C118" t="s">
        <v>362</v>
      </c>
      <c r="D118">
        <v>15</v>
      </c>
      <c r="E118">
        <v>4488</v>
      </c>
      <c r="F118">
        <v>4095</v>
      </c>
      <c r="G118" s="1">
        <f t="shared" si="1"/>
        <v>0.91243315508021394</v>
      </c>
    </row>
    <row r="119" spans="1:7">
      <c r="A119" t="s">
        <v>32</v>
      </c>
      <c r="B119">
        <v>20</v>
      </c>
      <c r="C119" t="s">
        <v>352</v>
      </c>
      <c r="D119">
        <v>16</v>
      </c>
      <c r="E119">
        <v>4488</v>
      </c>
      <c r="F119">
        <v>4118</v>
      </c>
      <c r="G119" s="1">
        <f t="shared" si="1"/>
        <v>0.91755793226381466</v>
      </c>
    </row>
    <row r="120" spans="1:7">
      <c r="A120" t="s">
        <v>32</v>
      </c>
      <c r="B120">
        <v>20</v>
      </c>
      <c r="C120" t="s">
        <v>361</v>
      </c>
      <c r="D120">
        <v>17</v>
      </c>
      <c r="E120">
        <v>4488</v>
      </c>
      <c r="F120">
        <v>4130</v>
      </c>
      <c r="G120" s="1">
        <f t="shared" si="1"/>
        <v>0.92023172905525852</v>
      </c>
    </row>
    <row r="121" spans="1:7">
      <c r="A121" t="s">
        <v>32</v>
      </c>
      <c r="B121">
        <v>20</v>
      </c>
      <c r="C121" t="s">
        <v>364</v>
      </c>
      <c r="D121">
        <v>18</v>
      </c>
      <c r="E121">
        <v>4488</v>
      </c>
      <c r="F121">
        <v>4145</v>
      </c>
      <c r="G121" s="1">
        <f t="shared" si="1"/>
        <v>0.92357397504456329</v>
      </c>
    </row>
    <row r="122" spans="1:7">
      <c r="A122" t="s">
        <v>32</v>
      </c>
      <c r="B122">
        <v>20</v>
      </c>
      <c r="C122" t="s">
        <v>354</v>
      </c>
      <c r="D122">
        <v>19</v>
      </c>
      <c r="E122">
        <v>4488</v>
      </c>
      <c r="F122">
        <v>4171</v>
      </c>
      <c r="G122" s="1">
        <f t="shared" si="1"/>
        <v>0.92936720142602491</v>
      </c>
    </row>
    <row r="123" spans="1:7">
      <c r="A123" t="s">
        <v>32</v>
      </c>
      <c r="B123">
        <v>20</v>
      </c>
      <c r="C123" t="s">
        <v>348</v>
      </c>
      <c r="D123">
        <v>20</v>
      </c>
      <c r="E123">
        <v>4488</v>
      </c>
      <c r="F123">
        <v>4215</v>
      </c>
      <c r="G123" s="1">
        <f t="shared" si="1"/>
        <v>0.93917112299465244</v>
      </c>
    </row>
    <row r="124" spans="1:7">
      <c r="A124" t="s">
        <v>32</v>
      </c>
      <c r="B124">
        <v>20</v>
      </c>
      <c r="C124" t="s">
        <v>355</v>
      </c>
      <c r="D124">
        <v>21</v>
      </c>
      <c r="E124">
        <v>4488</v>
      </c>
      <c r="F124">
        <v>4320</v>
      </c>
      <c r="G124" s="1">
        <f t="shared" si="1"/>
        <v>0.96256684491978606</v>
      </c>
    </row>
    <row r="125" spans="1:7">
      <c r="A125" t="s">
        <v>56</v>
      </c>
      <c r="B125">
        <v>10</v>
      </c>
      <c r="C125" t="s">
        <v>367</v>
      </c>
      <c r="D125">
        <v>1</v>
      </c>
      <c r="E125">
        <v>11589</v>
      </c>
      <c r="F125">
        <v>1302</v>
      </c>
      <c r="G125" s="1">
        <f t="shared" si="1"/>
        <v>0.11234791612736215</v>
      </c>
    </row>
    <row r="126" spans="1:7">
      <c r="A126" t="s">
        <v>56</v>
      </c>
      <c r="B126">
        <v>10</v>
      </c>
      <c r="C126" t="s">
        <v>365</v>
      </c>
      <c r="D126">
        <v>2</v>
      </c>
      <c r="E126">
        <v>11589</v>
      </c>
      <c r="F126">
        <v>1327</v>
      </c>
      <c r="G126" s="1">
        <f t="shared" si="1"/>
        <v>0.11450513417896281</v>
      </c>
    </row>
    <row r="127" spans="1:7">
      <c r="A127" t="s">
        <v>56</v>
      </c>
      <c r="B127">
        <v>10</v>
      </c>
      <c r="C127" t="s">
        <v>368</v>
      </c>
      <c r="D127">
        <v>3</v>
      </c>
      <c r="E127">
        <v>11589</v>
      </c>
      <c r="F127">
        <v>1393</v>
      </c>
      <c r="G127" s="1">
        <f t="shared" si="1"/>
        <v>0.12020018983518854</v>
      </c>
    </row>
    <row r="128" spans="1:7">
      <c r="A128" t="s">
        <v>56</v>
      </c>
      <c r="B128">
        <v>10</v>
      </c>
      <c r="C128" t="s">
        <v>366</v>
      </c>
      <c r="D128">
        <v>4</v>
      </c>
      <c r="E128">
        <v>11589</v>
      </c>
      <c r="F128">
        <v>1449</v>
      </c>
      <c r="G128" s="1">
        <f t="shared" si="1"/>
        <v>0.125032358270774</v>
      </c>
    </row>
    <row r="129" spans="1:7">
      <c r="A129" t="s">
        <v>56</v>
      </c>
      <c r="B129">
        <v>10</v>
      </c>
      <c r="C129" t="s">
        <v>58</v>
      </c>
      <c r="D129">
        <v>5</v>
      </c>
      <c r="E129">
        <v>11589</v>
      </c>
      <c r="F129">
        <v>1982</v>
      </c>
      <c r="G129" s="1">
        <f t="shared" si="1"/>
        <v>0.1710242471309</v>
      </c>
    </row>
    <row r="130" spans="1:7">
      <c r="A130" t="s">
        <v>56</v>
      </c>
      <c r="B130">
        <v>10</v>
      </c>
      <c r="C130" t="s">
        <v>372</v>
      </c>
      <c r="D130">
        <v>6</v>
      </c>
      <c r="E130">
        <v>11589</v>
      </c>
      <c r="F130">
        <v>2080</v>
      </c>
      <c r="G130" s="1">
        <f t="shared" ref="G130:G193" si="2">F130/E130</f>
        <v>0.17948054189317456</v>
      </c>
    </row>
    <row r="131" spans="1:7">
      <c r="A131" t="s">
        <v>56</v>
      </c>
      <c r="B131">
        <v>10</v>
      </c>
      <c r="C131" t="s">
        <v>371</v>
      </c>
      <c r="D131">
        <v>7</v>
      </c>
      <c r="E131">
        <v>11589</v>
      </c>
      <c r="F131">
        <v>2577</v>
      </c>
      <c r="G131" s="1">
        <f t="shared" si="2"/>
        <v>0.22236603675899561</v>
      </c>
    </row>
    <row r="132" spans="1:7">
      <c r="A132" t="s">
        <v>56</v>
      </c>
      <c r="B132">
        <v>10</v>
      </c>
      <c r="C132" t="s">
        <v>370</v>
      </c>
      <c r="D132">
        <v>8</v>
      </c>
      <c r="E132">
        <v>11589</v>
      </c>
      <c r="F132">
        <v>2610</v>
      </c>
      <c r="G132" s="1">
        <f t="shared" si="2"/>
        <v>0.22521356458710848</v>
      </c>
    </row>
    <row r="133" spans="1:7">
      <c r="A133" t="s">
        <v>56</v>
      </c>
      <c r="B133">
        <v>10</v>
      </c>
      <c r="C133" t="s">
        <v>381</v>
      </c>
      <c r="D133">
        <v>9</v>
      </c>
      <c r="E133">
        <v>11589</v>
      </c>
      <c r="F133">
        <v>2670</v>
      </c>
      <c r="G133" s="1">
        <f t="shared" si="2"/>
        <v>0.23039088791095003</v>
      </c>
    </row>
    <row r="134" spans="1:7">
      <c r="A134" t="s">
        <v>56</v>
      </c>
      <c r="B134">
        <v>10</v>
      </c>
      <c r="C134" t="s">
        <v>369</v>
      </c>
      <c r="D134">
        <v>10</v>
      </c>
      <c r="E134">
        <v>11589</v>
      </c>
      <c r="F134">
        <v>2675</v>
      </c>
      <c r="G134" s="1">
        <f t="shared" si="2"/>
        <v>0.23082233152127016</v>
      </c>
    </row>
    <row r="135" spans="1:7">
      <c r="A135" t="s">
        <v>56</v>
      </c>
      <c r="B135">
        <v>10</v>
      </c>
      <c r="C135" t="s">
        <v>382</v>
      </c>
      <c r="D135">
        <v>11</v>
      </c>
      <c r="E135">
        <v>11589</v>
      </c>
      <c r="F135">
        <v>2772</v>
      </c>
      <c r="G135" s="1">
        <f t="shared" si="2"/>
        <v>0.23919233756148073</v>
      </c>
    </row>
    <row r="136" spans="1:7">
      <c r="A136" t="s">
        <v>56</v>
      </c>
      <c r="B136">
        <v>10</v>
      </c>
      <c r="C136" t="s">
        <v>377</v>
      </c>
      <c r="D136">
        <v>12</v>
      </c>
      <c r="E136">
        <v>11589</v>
      </c>
      <c r="F136">
        <v>2787</v>
      </c>
      <c r="G136" s="1">
        <f t="shared" si="2"/>
        <v>0.24048666839244109</v>
      </c>
    </row>
    <row r="137" spans="1:7">
      <c r="A137" t="s">
        <v>56</v>
      </c>
      <c r="B137">
        <v>10</v>
      </c>
      <c r="C137" t="s">
        <v>375</v>
      </c>
      <c r="D137">
        <v>13</v>
      </c>
      <c r="E137">
        <v>11589</v>
      </c>
      <c r="F137">
        <v>2840</v>
      </c>
      <c r="G137" s="1">
        <f t="shared" si="2"/>
        <v>0.24505997066183449</v>
      </c>
    </row>
    <row r="138" spans="1:7">
      <c r="A138" t="s">
        <v>56</v>
      </c>
      <c r="B138">
        <v>10</v>
      </c>
      <c r="C138" t="s">
        <v>389</v>
      </c>
      <c r="D138">
        <v>14</v>
      </c>
      <c r="E138">
        <v>11589</v>
      </c>
      <c r="F138">
        <v>2841</v>
      </c>
      <c r="G138" s="1">
        <f t="shared" si="2"/>
        <v>0.24514625938389853</v>
      </c>
    </row>
    <row r="139" spans="1:7">
      <c r="A139" t="s">
        <v>56</v>
      </c>
      <c r="B139">
        <v>10</v>
      </c>
      <c r="C139" t="s">
        <v>388</v>
      </c>
      <c r="D139">
        <v>15</v>
      </c>
      <c r="E139">
        <v>11589</v>
      </c>
      <c r="F139">
        <v>2861</v>
      </c>
      <c r="G139" s="1">
        <f t="shared" si="2"/>
        <v>0.24687203382517905</v>
      </c>
    </row>
    <row r="140" spans="1:7">
      <c r="A140" t="s">
        <v>56</v>
      </c>
      <c r="B140">
        <v>10</v>
      </c>
      <c r="C140" t="s">
        <v>379</v>
      </c>
      <c r="D140">
        <v>16</v>
      </c>
      <c r="E140">
        <v>11589</v>
      </c>
      <c r="F140">
        <v>2931</v>
      </c>
      <c r="G140" s="1">
        <f t="shared" si="2"/>
        <v>0.25291224436966087</v>
      </c>
    </row>
    <row r="141" spans="1:7">
      <c r="A141" t="s">
        <v>56</v>
      </c>
      <c r="B141">
        <v>10</v>
      </c>
      <c r="C141" t="s">
        <v>380</v>
      </c>
      <c r="D141">
        <v>17</v>
      </c>
      <c r="E141">
        <v>11589</v>
      </c>
      <c r="F141">
        <v>2997</v>
      </c>
      <c r="G141" s="1">
        <f t="shared" si="2"/>
        <v>0.25860730002588661</v>
      </c>
    </row>
    <row r="142" spans="1:7">
      <c r="A142" t="s">
        <v>56</v>
      </c>
      <c r="B142">
        <v>10</v>
      </c>
      <c r="C142" t="s">
        <v>376</v>
      </c>
      <c r="D142">
        <v>18</v>
      </c>
      <c r="E142">
        <v>11589</v>
      </c>
      <c r="F142">
        <v>3017</v>
      </c>
      <c r="G142" s="1">
        <f t="shared" si="2"/>
        <v>0.26033307446716714</v>
      </c>
    </row>
    <row r="143" spans="1:7">
      <c r="A143" t="s">
        <v>56</v>
      </c>
      <c r="B143">
        <v>10</v>
      </c>
      <c r="C143" t="s">
        <v>384</v>
      </c>
      <c r="D143">
        <v>19</v>
      </c>
      <c r="E143">
        <v>11589</v>
      </c>
      <c r="F143">
        <v>3023</v>
      </c>
      <c r="G143" s="1">
        <f t="shared" si="2"/>
        <v>0.2608508067995513</v>
      </c>
    </row>
    <row r="144" spans="1:7">
      <c r="A144" t="s">
        <v>56</v>
      </c>
      <c r="B144">
        <v>10</v>
      </c>
      <c r="C144" t="s">
        <v>373</v>
      </c>
      <c r="D144">
        <v>20</v>
      </c>
      <c r="E144">
        <v>11589</v>
      </c>
      <c r="F144">
        <v>3047</v>
      </c>
      <c r="G144" s="1">
        <f t="shared" si="2"/>
        <v>0.26292173612908792</v>
      </c>
    </row>
    <row r="145" spans="1:7">
      <c r="A145" t="s">
        <v>56</v>
      </c>
      <c r="B145">
        <v>10</v>
      </c>
      <c r="C145" t="s">
        <v>383</v>
      </c>
      <c r="D145">
        <v>21</v>
      </c>
      <c r="E145">
        <v>11589</v>
      </c>
      <c r="F145">
        <v>3108</v>
      </c>
      <c r="G145" s="1">
        <f t="shared" si="2"/>
        <v>0.26818534817499351</v>
      </c>
    </row>
    <row r="146" spans="1:7">
      <c r="A146" t="s">
        <v>56</v>
      </c>
      <c r="B146">
        <v>10</v>
      </c>
      <c r="C146" t="s">
        <v>385</v>
      </c>
      <c r="D146">
        <v>22</v>
      </c>
      <c r="E146">
        <v>11589</v>
      </c>
      <c r="F146">
        <v>3139</v>
      </c>
      <c r="G146" s="1">
        <f t="shared" si="2"/>
        <v>0.27086029855897836</v>
      </c>
    </row>
    <row r="147" spans="1:7">
      <c r="A147" t="s">
        <v>56</v>
      </c>
      <c r="B147">
        <v>10</v>
      </c>
      <c r="C147" t="s">
        <v>374</v>
      </c>
      <c r="D147">
        <v>23</v>
      </c>
      <c r="E147">
        <v>11589</v>
      </c>
      <c r="F147">
        <v>3143</v>
      </c>
      <c r="G147" s="1">
        <f t="shared" si="2"/>
        <v>0.27120545344723446</v>
      </c>
    </row>
    <row r="148" spans="1:7">
      <c r="A148" t="s">
        <v>56</v>
      </c>
      <c r="B148">
        <v>10</v>
      </c>
      <c r="C148" t="s">
        <v>378</v>
      </c>
      <c r="D148">
        <v>24</v>
      </c>
      <c r="E148">
        <v>11589</v>
      </c>
      <c r="F148">
        <v>3263</v>
      </c>
      <c r="G148" s="1">
        <f t="shared" si="2"/>
        <v>0.28156010009491761</v>
      </c>
    </row>
    <row r="149" spans="1:7">
      <c r="A149" t="s">
        <v>56</v>
      </c>
      <c r="B149">
        <v>10</v>
      </c>
      <c r="C149" t="s">
        <v>390</v>
      </c>
      <c r="D149">
        <v>25</v>
      </c>
      <c r="E149">
        <v>11589</v>
      </c>
      <c r="F149">
        <v>3278</v>
      </c>
      <c r="G149" s="1">
        <f t="shared" si="2"/>
        <v>0.28285443092587798</v>
      </c>
    </row>
    <row r="150" spans="1:7">
      <c r="A150" t="s">
        <v>56</v>
      </c>
      <c r="B150">
        <v>10</v>
      </c>
      <c r="C150" t="s">
        <v>386</v>
      </c>
      <c r="D150">
        <v>26</v>
      </c>
      <c r="E150">
        <v>11589</v>
      </c>
      <c r="F150">
        <v>3295</v>
      </c>
      <c r="G150" s="1">
        <f t="shared" si="2"/>
        <v>0.28432133920096642</v>
      </c>
    </row>
    <row r="151" spans="1:7">
      <c r="A151" t="s">
        <v>56</v>
      </c>
      <c r="B151">
        <v>10</v>
      </c>
      <c r="C151" t="s">
        <v>391</v>
      </c>
      <c r="D151">
        <v>27</v>
      </c>
      <c r="E151">
        <v>11589</v>
      </c>
      <c r="F151">
        <v>3336</v>
      </c>
      <c r="G151" s="1">
        <f t="shared" si="2"/>
        <v>0.28785917680559153</v>
      </c>
    </row>
    <row r="152" spans="1:7">
      <c r="A152" t="s">
        <v>56</v>
      </c>
      <c r="B152">
        <v>10</v>
      </c>
      <c r="C152" t="s">
        <v>387</v>
      </c>
      <c r="D152">
        <v>28</v>
      </c>
      <c r="E152">
        <v>11589</v>
      </c>
      <c r="F152">
        <v>3402</v>
      </c>
      <c r="G152" s="1">
        <f t="shared" si="2"/>
        <v>0.29355423246181722</v>
      </c>
    </row>
    <row r="153" spans="1:7">
      <c r="A153" t="s">
        <v>56</v>
      </c>
      <c r="B153">
        <v>10</v>
      </c>
      <c r="C153" t="s">
        <v>5</v>
      </c>
      <c r="D153">
        <v>29</v>
      </c>
      <c r="E153">
        <v>11589</v>
      </c>
      <c r="F153">
        <v>8408</v>
      </c>
      <c r="G153" s="1">
        <f t="shared" si="2"/>
        <v>0.72551557511433251</v>
      </c>
    </row>
    <row r="154" spans="1:7">
      <c r="A154" t="s">
        <v>56</v>
      </c>
      <c r="B154">
        <v>10</v>
      </c>
      <c r="C154" t="s">
        <v>392</v>
      </c>
      <c r="D154">
        <v>30</v>
      </c>
      <c r="E154">
        <v>11589</v>
      </c>
      <c r="F154">
        <v>8528</v>
      </c>
      <c r="G154" s="1">
        <f t="shared" si="2"/>
        <v>0.73587022176201566</v>
      </c>
    </row>
    <row r="155" spans="1:7">
      <c r="A155" t="s">
        <v>56</v>
      </c>
      <c r="B155">
        <v>10</v>
      </c>
      <c r="C155" t="s">
        <v>393</v>
      </c>
      <c r="D155">
        <v>31</v>
      </c>
      <c r="E155">
        <v>11589</v>
      </c>
      <c r="F155">
        <v>9539</v>
      </c>
      <c r="G155" s="1">
        <f t="shared" si="2"/>
        <v>0.8231081197687462</v>
      </c>
    </row>
    <row r="156" spans="1:7">
      <c r="A156" t="s">
        <v>56</v>
      </c>
      <c r="B156">
        <v>10</v>
      </c>
      <c r="C156" t="s">
        <v>33</v>
      </c>
      <c r="D156">
        <v>32</v>
      </c>
      <c r="E156">
        <v>11589</v>
      </c>
      <c r="F156">
        <v>11723</v>
      </c>
      <c r="G156" s="1">
        <f t="shared" si="2"/>
        <v>1.0115626887565796</v>
      </c>
    </row>
    <row r="157" spans="1:7">
      <c r="A157" t="s">
        <v>56</v>
      </c>
      <c r="B157">
        <v>11</v>
      </c>
      <c r="C157" t="s">
        <v>33</v>
      </c>
      <c r="D157">
        <v>1</v>
      </c>
      <c r="E157">
        <v>5198</v>
      </c>
      <c r="F157">
        <v>81</v>
      </c>
      <c r="G157" s="1">
        <f t="shared" si="2"/>
        <v>1.5582916506348595E-2</v>
      </c>
    </row>
    <row r="158" spans="1:7">
      <c r="A158" t="s">
        <v>56</v>
      </c>
      <c r="B158">
        <v>11</v>
      </c>
      <c r="C158" t="s">
        <v>59</v>
      </c>
      <c r="D158">
        <v>2</v>
      </c>
      <c r="E158">
        <v>5198</v>
      </c>
      <c r="F158">
        <v>2148</v>
      </c>
      <c r="G158" s="1">
        <f t="shared" si="2"/>
        <v>0.41323585994613315</v>
      </c>
    </row>
    <row r="159" spans="1:7">
      <c r="A159" t="s">
        <v>56</v>
      </c>
      <c r="B159">
        <v>11</v>
      </c>
      <c r="C159" t="s">
        <v>394</v>
      </c>
      <c r="D159">
        <v>3</v>
      </c>
      <c r="E159">
        <v>5198</v>
      </c>
      <c r="F159">
        <v>2220</v>
      </c>
      <c r="G159" s="1">
        <f t="shared" si="2"/>
        <v>0.42708734128510967</v>
      </c>
    </row>
    <row r="160" spans="1:7">
      <c r="A160" t="s">
        <v>56</v>
      </c>
      <c r="B160">
        <v>11</v>
      </c>
      <c r="C160" t="s">
        <v>63</v>
      </c>
      <c r="D160">
        <v>4</v>
      </c>
      <c r="E160">
        <v>5198</v>
      </c>
      <c r="F160">
        <v>2655</v>
      </c>
      <c r="G160" s="1">
        <f t="shared" si="2"/>
        <v>0.51077337437475956</v>
      </c>
    </row>
    <row r="161" spans="1:7">
      <c r="A161" t="s">
        <v>56</v>
      </c>
      <c r="B161">
        <v>11</v>
      </c>
      <c r="C161" t="s">
        <v>61</v>
      </c>
      <c r="D161">
        <v>5</v>
      </c>
      <c r="E161">
        <v>5198</v>
      </c>
      <c r="F161">
        <v>2783</v>
      </c>
      <c r="G161" s="1">
        <f t="shared" si="2"/>
        <v>0.53539823008849563</v>
      </c>
    </row>
    <row r="162" spans="1:7">
      <c r="A162" t="s">
        <v>56</v>
      </c>
      <c r="B162">
        <v>11</v>
      </c>
      <c r="C162" t="s">
        <v>398</v>
      </c>
      <c r="D162">
        <v>6</v>
      </c>
      <c r="E162">
        <v>5198</v>
      </c>
      <c r="F162">
        <v>2805</v>
      </c>
      <c r="G162" s="1">
        <f t="shared" si="2"/>
        <v>0.539630627164294</v>
      </c>
    </row>
    <row r="163" spans="1:7">
      <c r="A163" t="s">
        <v>56</v>
      </c>
      <c r="B163">
        <v>11</v>
      </c>
      <c r="C163" t="s">
        <v>396</v>
      </c>
      <c r="D163">
        <v>7</v>
      </c>
      <c r="E163">
        <v>5198</v>
      </c>
      <c r="F163">
        <v>2820</v>
      </c>
      <c r="G163" s="1">
        <f t="shared" si="2"/>
        <v>0.54251635244324736</v>
      </c>
    </row>
    <row r="164" spans="1:7">
      <c r="A164" t="s">
        <v>56</v>
      </c>
      <c r="B164">
        <v>11</v>
      </c>
      <c r="C164" t="s">
        <v>62</v>
      </c>
      <c r="D164">
        <v>8</v>
      </c>
      <c r="E164">
        <v>5198</v>
      </c>
      <c r="F164">
        <v>2832</v>
      </c>
      <c r="G164" s="1">
        <f t="shared" si="2"/>
        <v>0.54482493266641019</v>
      </c>
    </row>
    <row r="165" spans="1:7">
      <c r="A165" t="s">
        <v>56</v>
      </c>
      <c r="B165">
        <v>11</v>
      </c>
      <c r="C165" t="s">
        <v>397</v>
      </c>
      <c r="D165">
        <v>9</v>
      </c>
      <c r="E165">
        <v>5198</v>
      </c>
      <c r="F165">
        <v>2857</v>
      </c>
      <c r="G165" s="1">
        <f t="shared" si="2"/>
        <v>0.54963447479799921</v>
      </c>
    </row>
    <row r="166" spans="1:7">
      <c r="A166" t="s">
        <v>56</v>
      </c>
      <c r="B166">
        <v>11</v>
      </c>
      <c r="C166" t="s">
        <v>60</v>
      </c>
      <c r="D166">
        <v>10</v>
      </c>
      <c r="E166">
        <v>5198</v>
      </c>
      <c r="F166">
        <v>2859</v>
      </c>
      <c r="G166" s="1">
        <f t="shared" si="2"/>
        <v>0.55001923816852638</v>
      </c>
    </row>
    <row r="167" spans="1:7">
      <c r="A167" t="s">
        <v>56</v>
      </c>
      <c r="B167">
        <v>11</v>
      </c>
      <c r="C167" t="s">
        <v>395</v>
      </c>
      <c r="D167">
        <v>11</v>
      </c>
      <c r="E167">
        <v>5198</v>
      </c>
      <c r="F167">
        <v>2997</v>
      </c>
      <c r="G167" s="1">
        <f t="shared" si="2"/>
        <v>0.57656791073489799</v>
      </c>
    </row>
    <row r="168" spans="1:7">
      <c r="A168" t="s">
        <v>56</v>
      </c>
      <c r="B168">
        <v>11</v>
      </c>
      <c r="C168" t="s">
        <v>2</v>
      </c>
      <c r="D168">
        <v>12</v>
      </c>
      <c r="E168">
        <v>5198</v>
      </c>
      <c r="F168">
        <v>5367</v>
      </c>
      <c r="G168" s="1">
        <f t="shared" si="2"/>
        <v>1.032512504809542</v>
      </c>
    </row>
    <row r="169" spans="1:7">
      <c r="A169" t="s">
        <v>56</v>
      </c>
      <c r="B169">
        <v>12</v>
      </c>
      <c r="C169" t="s">
        <v>33</v>
      </c>
      <c r="D169">
        <v>1</v>
      </c>
      <c r="E169">
        <v>3281</v>
      </c>
      <c r="F169">
        <v>74</v>
      </c>
      <c r="G169" s="1">
        <f t="shared" si="2"/>
        <v>2.2554099359951233E-2</v>
      </c>
    </row>
    <row r="170" spans="1:7">
      <c r="A170" t="s">
        <v>56</v>
      </c>
      <c r="B170">
        <v>12</v>
      </c>
      <c r="C170" t="s">
        <v>407</v>
      </c>
      <c r="D170">
        <v>2</v>
      </c>
      <c r="E170">
        <v>3281</v>
      </c>
      <c r="F170">
        <v>1795</v>
      </c>
      <c r="G170" s="1">
        <f t="shared" si="2"/>
        <v>0.5470893020420603</v>
      </c>
    </row>
    <row r="171" spans="1:7">
      <c r="A171" t="s">
        <v>56</v>
      </c>
      <c r="B171">
        <v>12</v>
      </c>
      <c r="C171" t="s">
        <v>401</v>
      </c>
      <c r="D171">
        <v>3</v>
      </c>
      <c r="E171">
        <v>3281</v>
      </c>
      <c r="F171">
        <v>1908</v>
      </c>
      <c r="G171" s="1">
        <f t="shared" si="2"/>
        <v>0.5815300213349589</v>
      </c>
    </row>
    <row r="172" spans="1:7">
      <c r="A172" t="s">
        <v>56</v>
      </c>
      <c r="B172">
        <v>12</v>
      </c>
      <c r="C172" t="s">
        <v>403</v>
      </c>
      <c r="D172">
        <v>4</v>
      </c>
      <c r="E172">
        <v>3281</v>
      </c>
      <c r="F172">
        <v>1983</v>
      </c>
      <c r="G172" s="1">
        <f t="shared" si="2"/>
        <v>0.60438890582139593</v>
      </c>
    </row>
    <row r="173" spans="1:7">
      <c r="A173" t="s">
        <v>56</v>
      </c>
      <c r="B173">
        <v>12</v>
      </c>
      <c r="C173" t="s">
        <v>399</v>
      </c>
      <c r="D173">
        <v>5</v>
      </c>
      <c r="E173">
        <v>3281</v>
      </c>
      <c r="F173">
        <v>1998</v>
      </c>
      <c r="G173" s="1">
        <f t="shared" si="2"/>
        <v>0.60896068271868331</v>
      </c>
    </row>
    <row r="174" spans="1:7">
      <c r="A174" t="s">
        <v>56</v>
      </c>
      <c r="B174">
        <v>12</v>
      </c>
      <c r="C174" t="s">
        <v>400</v>
      </c>
      <c r="D174">
        <v>6</v>
      </c>
      <c r="E174">
        <v>3281</v>
      </c>
      <c r="F174">
        <v>2066</v>
      </c>
      <c r="G174" s="1">
        <f t="shared" si="2"/>
        <v>0.62968607131971954</v>
      </c>
    </row>
    <row r="175" spans="1:7">
      <c r="A175" t="s">
        <v>56</v>
      </c>
      <c r="B175">
        <v>12</v>
      </c>
      <c r="C175" t="s">
        <v>404</v>
      </c>
      <c r="D175">
        <v>7</v>
      </c>
      <c r="E175">
        <v>3281</v>
      </c>
      <c r="F175">
        <v>2198</v>
      </c>
      <c r="G175" s="1">
        <f t="shared" si="2"/>
        <v>0.66991770801584882</v>
      </c>
    </row>
    <row r="176" spans="1:7">
      <c r="A176" t="s">
        <v>56</v>
      </c>
      <c r="B176">
        <v>12</v>
      </c>
      <c r="C176" t="s">
        <v>405</v>
      </c>
      <c r="D176">
        <v>8</v>
      </c>
      <c r="E176">
        <v>3281</v>
      </c>
      <c r="F176">
        <v>2241</v>
      </c>
      <c r="G176" s="1">
        <f t="shared" si="2"/>
        <v>0.68302346845473938</v>
      </c>
    </row>
    <row r="177" spans="1:7">
      <c r="A177" t="s">
        <v>56</v>
      </c>
      <c r="B177">
        <v>12</v>
      </c>
      <c r="C177" t="s">
        <v>402</v>
      </c>
      <c r="D177">
        <v>9</v>
      </c>
      <c r="E177">
        <v>3281</v>
      </c>
      <c r="F177">
        <v>2353</v>
      </c>
      <c r="G177" s="1">
        <f t="shared" si="2"/>
        <v>0.71715940262115208</v>
      </c>
    </row>
    <row r="178" spans="1:7">
      <c r="A178" t="s">
        <v>56</v>
      </c>
      <c r="B178">
        <v>12</v>
      </c>
      <c r="C178" t="s">
        <v>406</v>
      </c>
      <c r="D178">
        <v>10</v>
      </c>
      <c r="E178">
        <v>3281</v>
      </c>
      <c r="F178">
        <v>2406</v>
      </c>
      <c r="G178" s="1">
        <f t="shared" si="2"/>
        <v>0.73331301432490092</v>
      </c>
    </row>
    <row r="179" spans="1:7">
      <c r="A179" t="s">
        <v>56</v>
      </c>
      <c r="B179">
        <v>12</v>
      </c>
      <c r="C179" t="s">
        <v>408</v>
      </c>
      <c r="D179">
        <v>11</v>
      </c>
      <c r="E179">
        <v>3281</v>
      </c>
      <c r="F179">
        <v>2932</v>
      </c>
      <c r="G179" s="1">
        <f t="shared" si="2"/>
        <v>0.89362999085644623</v>
      </c>
    </row>
    <row r="180" spans="1:7">
      <c r="A180" t="s">
        <v>56</v>
      </c>
      <c r="B180">
        <v>12</v>
      </c>
      <c r="C180" t="s">
        <v>2</v>
      </c>
      <c r="D180">
        <v>12</v>
      </c>
      <c r="E180">
        <v>3281</v>
      </c>
      <c r="F180">
        <v>3283</v>
      </c>
      <c r="G180" s="1">
        <f t="shared" si="2"/>
        <v>1.0006095702529716</v>
      </c>
    </row>
    <row r="181" spans="1:7">
      <c r="A181" t="s">
        <v>65</v>
      </c>
      <c r="B181">
        <v>1</v>
      </c>
      <c r="C181" t="s">
        <v>409</v>
      </c>
      <c r="D181">
        <v>1</v>
      </c>
      <c r="E181">
        <v>11099</v>
      </c>
      <c r="F181">
        <v>420</v>
      </c>
      <c r="G181" s="1">
        <f t="shared" si="2"/>
        <v>3.7841246959185511E-2</v>
      </c>
    </row>
    <row r="182" spans="1:7">
      <c r="A182" t="s">
        <v>65</v>
      </c>
      <c r="B182">
        <v>1</v>
      </c>
      <c r="C182" t="s">
        <v>410</v>
      </c>
      <c r="D182">
        <v>2</v>
      </c>
      <c r="E182">
        <v>11099</v>
      </c>
      <c r="F182">
        <v>640</v>
      </c>
      <c r="G182" s="1">
        <f t="shared" si="2"/>
        <v>5.7662852509235064E-2</v>
      </c>
    </row>
    <row r="183" spans="1:7">
      <c r="A183" t="s">
        <v>65</v>
      </c>
      <c r="B183">
        <v>1</v>
      </c>
      <c r="C183" t="s">
        <v>411</v>
      </c>
      <c r="D183">
        <v>3</v>
      </c>
      <c r="E183">
        <v>11099</v>
      </c>
      <c r="F183">
        <v>642</v>
      </c>
      <c r="G183" s="1">
        <f t="shared" si="2"/>
        <v>5.7843048923326423E-2</v>
      </c>
    </row>
    <row r="184" spans="1:7">
      <c r="A184" t="s">
        <v>65</v>
      </c>
      <c r="B184">
        <v>1</v>
      </c>
      <c r="C184" t="s">
        <v>414</v>
      </c>
      <c r="D184">
        <v>4</v>
      </c>
      <c r="E184">
        <v>11099</v>
      </c>
      <c r="F184">
        <v>10636</v>
      </c>
      <c r="G184" s="1">
        <f t="shared" si="2"/>
        <v>0.95828453013785031</v>
      </c>
    </row>
    <row r="185" spans="1:7">
      <c r="A185" t="s">
        <v>65</v>
      </c>
      <c r="B185">
        <v>1</v>
      </c>
      <c r="C185" t="s">
        <v>413</v>
      </c>
      <c r="D185">
        <v>5</v>
      </c>
      <c r="E185">
        <v>11099</v>
      </c>
      <c r="F185">
        <v>10885</v>
      </c>
      <c r="G185" s="1">
        <f t="shared" si="2"/>
        <v>0.98071898369222454</v>
      </c>
    </row>
    <row r="186" spans="1:7">
      <c r="A186" t="s">
        <v>65</v>
      </c>
      <c r="B186">
        <v>1</v>
      </c>
      <c r="C186" t="s">
        <v>415</v>
      </c>
      <c r="D186">
        <v>6</v>
      </c>
      <c r="E186">
        <v>11099</v>
      </c>
      <c r="F186">
        <v>11153</v>
      </c>
      <c r="G186" s="1">
        <f t="shared" si="2"/>
        <v>1.0048653031804666</v>
      </c>
    </row>
    <row r="187" spans="1:7">
      <c r="A187" t="s">
        <v>65</v>
      </c>
      <c r="B187">
        <v>1</v>
      </c>
      <c r="C187" t="s">
        <v>412</v>
      </c>
      <c r="D187">
        <v>7</v>
      </c>
      <c r="E187">
        <v>11099</v>
      </c>
      <c r="F187">
        <v>11748</v>
      </c>
      <c r="G187" s="1">
        <f t="shared" si="2"/>
        <v>1.0584737363726462</v>
      </c>
    </row>
    <row r="188" spans="1:7">
      <c r="A188" t="s">
        <v>65</v>
      </c>
      <c r="B188">
        <v>3</v>
      </c>
      <c r="C188" t="s">
        <v>67</v>
      </c>
      <c r="D188">
        <v>1</v>
      </c>
      <c r="E188">
        <v>18058</v>
      </c>
      <c r="F188">
        <v>13981</v>
      </c>
      <c r="G188" s="1">
        <f t="shared" si="2"/>
        <v>0.774227489201462</v>
      </c>
    </row>
    <row r="189" spans="1:7">
      <c r="A189" t="s">
        <v>65</v>
      </c>
      <c r="B189">
        <v>3</v>
      </c>
      <c r="C189" t="s">
        <v>66</v>
      </c>
      <c r="D189">
        <v>2</v>
      </c>
      <c r="E189">
        <v>18058</v>
      </c>
      <c r="F189">
        <v>16533</v>
      </c>
      <c r="G189" s="1">
        <f t="shared" si="2"/>
        <v>0.91554989478347548</v>
      </c>
    </row>
    <row r="190" spans="1:7">
      <c r="A190" t="s">
        <v>65</v>
      </c>
      <c r="B190">
        <v>3</v>
      </c>
      <c r="C190" t="s">
        <v>68</v>
      </c>
      <c r="D190">
        <v>3</v>
      </c>
      <c r="E190">
        <v>18058</v>
      </c>
      <c r="F190">
        <v>18600</v>
      </c>
      <c r="G190" s="1">
        <f t="shared" si="2"/>
        <v>1.0300143980507255</v>
      </c>
    </row>
    <row r="191" spans="1:7">
      <c r="A191" t="s">
        <v>65</v>
      </c>
      <c r="B191">
        <v>4</v>
      </c>
      <c r="C191" t="s">
        <v>416</v>
      </c>
      <c r="D191">
        <v>1</v>
      </c>
      <c r="E191">
        <v>3843</v>
      </c>
      <c r="F191">
        <v>3187</v>
      </c>
      <c r="G191" s="1">
        <f t="shared" si="2"/>
        <v>0.82930002602133746</v>
      </c>
    </row>
    <row r="192" spans="1:7">
      <c r="A192" t="s">
        <v>65</v>
      </c>
      <c r="B192">
        <v>4</v>
      </c>
      <c r="C192" t="s">
        <v>417</v>
      </c>
      <c r="D192">
        <v>2</v>
      </c>
      <c r="E192">
        <v>3843</v>
      </c>
      <c r="F192">
        <v>3202</v>
      </c>
      <c r="G192" s="1">
        <f t="shared" si="2"/>
        <v>0.83320322664584956</v>
      </c>
    </row>
    <row r="193" spans="1:7">
      <c r="A193" t="s">
        <v>65</v>
      </c>
      <c r="B193">
        <v>4</v>
      </c>
      <c r="C193" t="s">
        <v>422</v>
      </c>
      <c r="D193">
        <v>3</v>
      </c>
      <c r="E193">
        <v>3843</v>
      </c>
      <c r="F193">
        <v>3279</v>
      </c>
      <c r="G193" s="1">
        <f t="shared" si="2"/>
        <v>0.85323965651834499</v>
      </c>
    </row>
    <row r="194" spans="1:7">
      <c r="A194" t="s">
        <v>65</v>
      </c>
      <c r="B194">
        <v>4</v>
      </c>
      <c r="C194" t="s">
        <v>418</v>
      </c>
      <c r="D194">
        <v>4</v>
      </c>
      <c r="E194">
        <v>3843</v>
      </c>
      <c r="F194">
        <v>3299</v>
      </c>
      <c r="G194" s="1">
        <f t="shared" ref="G194:G257" si="3">F194/E194</f>
        <v>0.85844392401769454</v>
      </c>
    </row>
    <row r="195" spans="1:7">
      <c r="A195" t="s">
        <v>65</v>
      </c>
      <c r="B195">
        <v>4</v>
      </c>
      <c r="C195" t="s">
        <v>421</v>
      </c>
      <c r="D195">
        <v>5</v>
      </c>
      <c r="E195">
        <v>3843</v>
      </c>
      <c r="F195">
        <v>3346</v>
      </c>
      <c r="G195" s="1">
        <f t="shared" si="3"/>
        <v>0.87067395264116576</v>
      </c>
    </row>
    <row r="196" spans="1:7">
      <c r="A196" t="s">
        <v>65</v>
      </c>
      <c r="B196">
        <v>4</v>
      </c>
      <c r="C196" t="s">
        <v>420</v>
      </c>
      <c r="D196">
        <v>6</v>
      </c>
      <c r="E196">
        <v>3843</v>
      </c>
      <c r="F196">
        <v>3503</v>
      </c>
      <c r="G196" s="1">
        <f t="shared" si="3"/>
        <v>0.91152745251105904</v>
      </c>
    </row>
    <row r="197" spans="1:7">
      <c r="A197" t="s">
        <v>65</v>
      </c>
      <c r="B197">
        <v>4</v>
      </c>
      <c r="C197" t="s">
        <v>427</v>
      </c>
      <c r="D197">
        <v>7</v>
      </c>
      <c r="E197">
        <v>3843</v>
      </c>
      <c r="F197">
        <v>3507</v>
      </c>
      <c r="G197" s="1">
        <f t="shared" si="3"/>
        <v>0.91256830601092898</v>
      </c>
    </row>
    <row r="198" spans="1:7">
      <c r="A198" t="s">
        <v>65</v>
      </c>
      <c r="B198">
        <v>4</v>
      </c>
      <c r="C198" t="s">
        <v>428</v>
      </c>
      <c r="D198">
        <v>8</v>
      </c>
      <c r="E198">
        <v>3843</v>
      </c>
      <c r="F198">
        <v>3537</v>
      </c>
      <c r="G198" s="1">
        <f t="shared" si="3"/>
        <v>0.92037470725995318</v>
      </c>
    </row>
    <row r="199" spans="1:7">
      <c r="A199" t="s">
        <v>65</v>
      </c>
      <c r="B199">
        <v>4</v>
      </c>
      <c r="C199" t="s">
        <v>431</v>
      </c>
      <c r="D199">
        <v>9</v>
      </c>
      <c r="E199">
        <v>3843</v>
      </c>
      <c r="F199">
        <v>3599</v>
      </c>
      <c r="G199" s="1">
        <f t="shared" si="3"/>
        <v>0.93650793650793651</v>
      </c>
    </row>
    <row r="200" spans="1:7">
      <c r="A200" t="s">
        <v>65</v>
      </c>
      <c r="B200">
        <v>4</v>
      </c>
      <c r="C200" t="s">
        <v>425</v>
      </c>
      <c r="D200">
        <v>10</v>
      </c>
      <c r="E200">
        <v>3843</v>
      </c>
      <c r="F200">
        <v>3608</v>
      </c>
      <c r="G200" s="1">
        <f t="shared" si="3"/>
        <v>0.93884985688264377</v>
      </c>
    </row>
    <row r="201" spans="1:7">
      <c r="A201" t="s">
        <v>65</v>
      </c>
      <c r="B201">
        <v>4</v>
      </c>
      <c r="C201" t="s">
        <v>423</v>
      </c>
      <c r="D201">
        <v>11</v>
      </c>
      <c r="E201">
        <v>3843</v>
      </c>
      <c r="F201">
        <v>3633</v>
      </c>
      <c r="G201" s="1">
        <f t="shared" si="3"/>
        <v>0.94535519125683065</v>
      </c>
    </row>
    <row r="202" spans="1:7">
      <c r="A202" t="s">
        <v>65</v>
      </c>
      <c r="B202">
        <v>4</v>
      </c>
      <c r="C202" t="s">
        <v>424</v>
      </c>
      <c r="D202">
        <v>12</v>
      </c>
      <c r="E202">
        <v>3843</v>
      </c>
      <c r="F202">
        <v>3678</v>
      </c>
      <c r="G202" s="1">
        <f t="shared" si="3"/>
        <v>0.95706479313036685</v>
      </c>
    </row>
    <row r="203" spans="1:7">
      <c r="A203" t="s">
        <v>65</v>
      </c>
      <c r="B203">
        <v>4</v>
      </c>
      <c r="C203" t="s">
        <v>429</v>
      </c>
      <c r="D203">
        <v>13</v>
      </c>
      <c r="E203">
        <v>3843</v>
      </c>
      <c r="F203">
        <v>4036</v>
      </c>
      <c r="G203" s="1">
        <f t="shared" si="3"/>
        <v>1.0502211813687223</v>
      </c>
    </row>
    <row r="204" spans="1:7">
      <c r="A204" t="s">
        <v>65</v>
      </c>
      <c r="B204">
        <v>4</v>
      </c>
      <c r="C204" t="s">
        <v>419</v>
      </c>
      <c r="D204">
        <v>14</v>
      </c>
      <c r="E204">
        <v>3843</v>
      </c>
      <c r="F204">
        <v>5244</v>
      </c>
      <c r="G204" s="1">
        <f t="shared" si="3"/>
        <v>1.3645589383294301</v>
      </c>
    </row>
    <row r="205" spans="1:7">
      <c r="A205" t="s">
        <v>65</v>
      </c>
      <c r="B205">
        <v>4</v>
      </c>
      <c r="C205" t="s">
        <v>430</v>
      </c>
      <c r="D205">
        <v>15</v>
      </c>
      <c r="E205">
        <v>3843</v>
      </c>
      <c r="F205">
        <v>5298</v>
      </c>
      <c r="G205" s="1">
        <f t="shared" si="3"/>
        <v>1.3786104605776737</v>
      </c>
    </row>
    <row r="206" spans="1:7">
      <c r="A206" t="s">
        <v>65</v>
      </c>
      <c r="B206">
        <v>4</v>
      </c>
      <c r="C206" t="s">
        <v>426</v>
      </c>
      <c r="D206">
        <v>16</v>
      </c>
      <c r="E206">
        <v>3843</v>
      </c>
      <c r="F206">
        <v>5923</v>
      </c>
      <c r="G206" s="1">
        <f t="shared" si="3"/>
        <v>1.5412438199323446</v>
      </c>
    </row>
    <row r="207" spans="1:7">
      <c r="A207" t="s">
        <v>65</v>
      </c>
      <c r="B207">
        <v>6</v>
      </c>
      <c r="C207" t="s">
        <v>69</v>
      </c>
      <c r="D207">
        <v>1</v>
      </c>
      <c r="E207">
        <v>5290</v>
      </c>
      <c r="F207">
        <v>3310</v>
      </c>
      <c r="G207" s="1">
        <f t="shared" si="3"/>
        <v>0.62570888468809072</v>
      </c>
    </row>
    <row r="208" spans="1:7">
      <c r="A208" t="s">
        <v>65</v>
      </c>
      <c r="B208">
        <v>6</v>
      </c>
      <c r="C208" t="s">
        <v>70</v>
      </c>
      <c r="D208">
        <v>2</v>
      </c>
      <c r="E208">
        <v>5290</v>
      </c>
      <c r="F208">
        <v>3359</v>
      </c>
      <c r="G208" s="1">
        <f t="shared" si="3"/>
        <v>0.63497164461247635</v>
      </c>
    </row>
    <row r="209" spans="1:7">
      <c r="A209" t="s">
        <v>65</v>
      </c>
      <c r="B209">
        <v>7</v>
      </c>
      <c r="C209" t="s">
        <v>19</v>
      </c>
      <c r="D209">
        <v>1</v>
      </c>
      <c r="E209">
        <v>1021</v>
      </c>
      <c r="F209">
        <v>75</v>
      </c>
      <c r="G209" s="1">
        <f t="shared" si="3"/>
        <v>7.3457394711067575E-2</v>
      </c>
    </row>
    <row r="210" spans="1:7">
      <c r="A210" t="s">
        <v>65</v>
      </c>
      <c r="B210">
        <v>7</v>
      </c>
      <c r="C210" t="s">
        <v>1</v>
      </c>
      <c r="D210">
        <v>2</v>
      </c>
      <c r="E210">
        <v>1021</v>
      </c>
      <c r="F210">
        <v>144</v>
      </c>
      <c r="G210" s="1">
        <f t="shared" si="3"/>
        <v>0.14103819784524976</v>
      </c>
    </row>
    <row r="211" spans="1:7">
      <c r="A211" t="s">
        <v>65</v>
      </c>
      <c r="B211">
        <v>7</v>
      </c>
      <c r="C211" t="s">
        <v>22</v>
      </c>
      <c r="D211">
        <v>3</v>
      </c>
      <c r="E211">
        <v>1021</v>
      </c>
      <c r="F211">
        <v>175</v>
      </c>
      <c r="G211" s="1">
        <f t="shared" si="3"/>
        <v>0.17140058765915769</v>
      </c>
    </row>
    <row r="212" spans="1:7">
      <c r="A212" t="s">
        <v>65</v>
      </c>
      <c r="B212">
        <v>7</v>
      </c>
      <c r="C212" t="s">
        <v>20</v>
      </c>
      <c r="D212">
        <v>4</v>
      </c>
      <c r="E212">
        <v>1021</v>
      </c>
      <c r="F212">
        <v>211</v>
      </c>
      <c r="G212" s="1">
        <f t="shared" si="3"/>
        <v>0.20666013712047013</v>
      </c>
    </row>
    <row r="213" spans="1:7">
      <c r="A213" t="s">
        <v>65</v>
      </c>
      <c r="B213">
        <v>7</v>
      </c>
      <c r="C213" t="s">
        <v>433</v>
      </c>
      <c r="D213">
        <v>5</v>
      </c>
      <c r="E213">
        <v>1021</v>
      </c>
      <c r="F213">
        <v>983</v>
      </c>
      <c r="G213" s="1">
        <f t="shared" si="3"/>
        <v>0.9627815866797258</v>
      </c>
    </row>
    <row r="214" spans="1:7">
      <c r="A214" t="s">
        <v>65</v>
      </c>
      <c r="B214">
        <v>7</v>
      </c>
      <c r="C214" t="s">
        <v>432</v>
      </c>
      <c r="D214">
        <v>6</v>
      </c>
      <c r="E214">
        <v>1021</v>
      </c>
      <c r="F214">
        <v>1042</v>
      </c>
      <c r="G214" s="1">
        <f t="shared" si="3"/>
        <v>1.0205680705190989</v>
      </c>
    </row>
    <row r="215" spans="1:7">
      <c r="A215" t="s">
        <v>71</v>
      </c>
      <c r="B215">
        <v>3</v>
      </c>
      <c r="C215" t="s">
        <v>33</v>
      </c>
      <c r="D215">
        <v>1</v>
      </c>
      <c r="E215">
        <v>4601</v>
      </c>
      <c r="F215">
        <v>303</v>
      </c>
      <c r="G215" s="1">
        <f t="shared" si="3"/>
        <v>6.5855248858943713E-2</v>
      </c>
    </row>
    <row r="216" spans="1:7">
      <c r="A216" t="s">
        <v>71</v>
      </c>
      <c r="B216">
        <v>3</v>
      </c>
      <c r="C216" t="s">
        <v>73</v>
      </c>
      <c r="D216">
        <v>2</v>
      </c>
      <c r="E216">
        <v>4601</v>
      </c>
      <c r="F216">
        <v>2881</v>
      </c>
      <c r="G216" s="1">
        <f t="shared" si="3"/>
        <v>0.62616822429906538</v>
      </c>
    </row>
    <row r="217" spans="1:7">
      <c r="A217" t="s">
        <v>71</v>
      </c>
      <c r="B217">
        <v>3</v>
      </c>
      <c r="C217" t="s">
        <v>72</v>
      </c>
      <c r="D217">
        <v>3</v>
      </c>
      <c r="E217">
        <v>4601</v>
      </c>
      <c r="F217">
        <v>8089</v>
      </c>
      <c r="G217" s="1">
        <f t="shared" si="3"/>
        <v>1.7580960660725928</v>
      </c>
    </row>
    <row r="218" spans="1:7">
      <c r="A218" t="s">
        <v>71</v>
      </c>
      <c r="B218">
        <v>7</v>
      </c>
      <c r="C218" t="s">
        <v>2</v>
      </c>
      <c r="D218">
        <v>1</v>
      </c>
      <c r="E218">
        <v>4258</v>
      </c>
      <c r="F218">
        <v>37</v>
      </c>
      <c r="G218" s="1">
        <f t="shared" si="3"/>
        <v>8.6895255988727101E-3</v>
      </c>
    </row>
    <row r="219" spans="1:7">
      <c r="A219" t="s">
        <v>71</v>
      </c>
      <c r="B219">
        <v>7</v>
      </c>
      <c r="C219" t="s">
        <v>3</v>
      </c>
      <c r="D219">
        <v>2</v>
      </c>
      <c r="E219">
        <v>4258</v>
      </c>
      <c r="F219">
        <v>44</v>
      </c>
      <c r="G219" s="1">
        <f t="shared" si="3"/>
        <v>1.0333489901362142E-2</v>
      </c>
    </row>
    <row r="220" spans="1:7">
      <c r="A220" t="s">
        <v>71</v>
      </c>
      <c r="B220">
        <v>7</v>
      </c>
      <c r="C220" t="s">
        <v>25</v>
      </c>
      <c r="D220">
        <v>3</v>
      </c>
      <c r="E220">
        <v>4258</v>
      </c>
      <c r="F220">
        <v>106</v>
      </c>
      <c r="G220" s="1">
        <f t="shared" si="3"/>
        <v>2.489431658055425E-2</v>
      </c>
    </row>
    <row r="221" spans="1:7">
      <c r="A221" t="s">
        <v>71</v>
      </c>
      <c r="B221">
        <v>7</v>
      </c>
      <c r="C221" t="s">
        <v>434</v>
      </c>
      <c r="D221">
        <v>4</v>
      </c>
      <c r="E221">
        <v>4258</v>
      </c>
      <c r="F221">
        <v>117</v>
      </c>
      <c r="G221" s="1">
        <f t="shared" si="3"/>
        <v>2.7477689055894785E-2</v>
      </c>
    </row>
    <row r="222" spans="1:7">
      <c r="A222" t="s">
        <v>71</v>
      </c>
      <c r="B222">
        <v>7</v>
      </c>
      <c r="C222" t="s">
        <v>435</v>
      </c>
      <c r="D222">
        <v>5</v>
      </c>
      <c r="E222">
        <v>4258</v>
      </c>
      <c r="F222">
        <v>319</v>
      </c>
      <c r="G222" s="1">
        <f t="shared" si="3"/>
        <v>7.4917801784875532E-2</v>
      </c>
    </row>
    <row r="223" spans="1:7">
      <c r="A223" t="s">
        <v>71</v>
      </c>
      <c r="B223">
        <v>7</v>
      </c>
      <c r="C223" t="s">
        <v>26</v>
      </c>
      <c r="D223">
        <v>6</v>
      </c>
      <c r="E223">
        <v>4258</v>
      </c>
      <c r="F223">
        <v>353</v>
      </c>
      <c r="G223" s="1">
        <f t="shared" si="3"/>
        <v>8.2902771254109914E-2</v>
      </c>
    </row>
    <row r="224" spans="1:7">
      <c r="A224" t="s">
        <v>71</v>
      </c>
      <c r="B224">
        <v>7</v>
      </c>
      <c r="C224" t="s">
        <v>437</v>
      </c>
      <c r="D224">
        <v>7</v>
      </c>
      <c r="E224">
        <v>4258</v>
      </c>
      <c r="F224">
        <v>433</v>
      </c>
      <c r="G224" s="1">
        <f t="shared" si="3"/>
        <v>0.10169093471113198</v>
      </c>
    </row>
    <row r="225" spans="1:7">
      <c r="A225" t="s">
        <v>71</v>
      </c>
      <c r="B225">
        <v>7</v>
      </c>
      <c r="C225" t="s">
        <v>436</v>
      </c>
      <c r="D225">
        <v>8</v>
      </c>
      <c r="E225">
        <v>4258</v>
      </c>
      <c r="F225">
        <v>445</v>
      </c>
      <c r="G225" s="1">
        <f t="shared" si="3"/>
        <v>0.1045091592296853</v>
      </c>
    </row>
    <row r="226" spans="1:7">
      <c r="A226" t="s">
        <v>71</v>
      </c>
      <c r="B226">
        <v>7</v>
      </c>
      <c r="C226" t="s">
        <v>438</v>
      </c>
      <c r="D226">
        <v>9</v>
      </c>
      <c r="E226">
        <v>4258</v>
      </c>
      <c r="F226">
        <v>4331</v>
      </c>
      <c r="G226" s="1">
        <f t="shared" si="3"/>
        <v>1.0171441991545327</v>
      </c>
    </row>
    <row r="227" spans="1:7">
      <c r="A227" t="s">
        <v>71</v>
      </c>
      <c r="B227">
        <v>7</v>
      </c>
      <c r="C227" t="s">
        <v>439</v>
      </c>
      <c r="D227">
        <v>10</v>
      </c>
      <c r="E227">
        <v>4258</v>
      </c>
      <c r="F227">
        <v>4355</v>
      </c>
      <c r="G227" s="1">
        <f t="shared" si="3"/>
        <v>1.0227806481916393</v>
      </c>
    </row>
    <row r="228" spans="1:7">
      <c r="A228" t="s">
        <v>71</v>
      </c>
      <c r="B228">
        <v>8</v>
      </c>
      <c r="C228" t="s">
        <v>33</v>
      </c>
      <c r="D228">
        <v>1</v>
      </c>
      <c r="E228">
        <v>2930</v>
      </c>
      <c r="F228">
        <v>163</v>
      </c>
      <c r="G228" s="1">
        <f t="shared" si="3"/>
        <v>5.5631399317406141E-2</v>
      </c>
    </row>
    <row r="229" spans="1:7">
      <c r="A229" t="s">
        <v>71</v>
      </c>
      <c r="B229">
        <v>8</v>
      </c>
      <c r="C229" t="s">
        <v>34</v>
      </c>
      <c r="D229">
        <v>2</v>
      </c>
      <c r="E229">
        <v>2930</v>
      </c>
      <c r="F229">
        <v>380</v>
      </c>
      <c r="G229" s="1">
        <f t="shared" si="3"/>
        <v>0.12969283276450511</v>
      </c>
    </row>
    <row r="230" spans="1:7">
      <c r="A230" t="s">
        <v>71</v>
      </c>
      <c r="B230">
        <v>8</v>
      </c>
      <c r="C230" t="s">
        <v>35</v>
      </c>
      <c r="D230">
        <v>3</v>
      </c>
      <c r="E230">
        <v>2930</v>
      </c>
      <c r="F230">
        <v>491</v>
      </c>
      <c r="G230" s="1">
        <f t="shared" si="3"/>
        <v>0.16757679180887372</v>
      </c>
    </row>
    <row r="231" spans="1:7">
      <c r="A231" t="s">
        <v>71</v>
      </c>
      <c r="B231">
        <v>8</v>
      </c>
      <c r="C231" t="s">
        <v>75</v>
      </c>
      <c r="D231">
        <v>4</v>
      </c>
      <c r="E231">
        <v>2930</v>
      </c>
      <c r="F231">
        <v>581</v>
      </c>
      <c r="G231" s="1">
        <f t="shared" si="3"/>
        <v>0.19829351535836179</v>
      </c>
    </row>
    <row r="232" spans="1:7">
      <c r="A232" t="s">
        <v>71</v>
      </c>
      <c r="B232">
        <v>8</v>
      </c>
      <c r="C232" t="s">
        <v>76</v>
      </c>
      <c r="D232">
        <v>5</v>
      </c>
      <c r="E232">
        <v>2930</v>
      </c>
      <c r="F232">
        <v>605</v>
      </c>
      <c r="G232" s="1">
        <f t="shared" si="3"/>
        <v>0.20648464163822525</v>
      </c>
    </row>
    <row r="233" spans="1:7">
      <c r="A233" t="s">
        <v>71</v>
      </c>
      <c r="B233">
        <v>8</v>
      </c>
      <c r="C233" t="s">
        <v>77</v>
      </c>
      <c r="D233">
        <v>6</v>
      </c>
      <c r="E233">
        <v>2930</v>
      </c>
      <c r="F233">
        <v>2309</v>
      </c>
      <c r="G233" s="1">
        <f t="shared" si="3"/>
        <v>0.7880546075085324</v>
      </c>
    </row>
    <row r="234" spans="1:7">
      <c r="A234" t="s">
        <v>71</v>
      </c>
      <c r="B234">
        <v>8</v>
      </c>
      <c r="C234" t="s">
        <v>79</v>
      </c>
      <c r="D234">
        <v>7</v>
      </c>
      <c r="E234">
        <v>2930</v>
      </c>
      <c r="F234">
        <v>2345</v>
      </c>
      <c r="G234" s="1">
        <f t="shared" si="3"/>
        <v>0.80034129692832767</v>
      </c>
    </row>
    <row r="235" spans="1:7">
      <c r="A235" t="s">
        <v>71</v>
      </c>
      <c r="B235">
        <v>8</v>
      </c>
      <c r="C235" t="s">
        <v>78</v>
      </c>
      <c r="D235">
        <v>8</v>
      </c>
      <c r="E235">
        <v>2930</v>
      </c>
      <c r="F235">
        <v>2401</v>
      </c>
      <c r="G235" s="1">
        <f t="shared" si="3"/>
        <v>0.81945392491467572</v>
      </c>
    </row>
    <row r="236" spans="1:7">
      <c r="A236" t="s">
        <v>71</v>
      </c>
      <c r="B236">
        <v>8</v>
      </c>
      <c r="C236" t="s">
        <v>80</v>
      </c>
      <c r="D236">
        <v>9</v>
      </c>
      <c r="E236">
        <v>2930</v>
      </c>
      <c r="F236">
        <v>2519</v>
      </c>
      <c r="G236" s="1">
        <f t="shared" si="3"/>
        <v>0.85972696245733793</v>
      </c>
    </row>
    <row r="237" spans="1:7">
      <c r="A237" t="s">
        <v>71</v>
      </c>
      <c r="B237">
        <v>8</v>
      </c>
      <c r="C237" t="s">
        <v>81</v>
      </c>
      <c r="D237">
        <v>10</v>
      </c>
      <c r="E237">
        <v>2930</v>
      </c>
      <c r="F237">
        <v>2532</v>
      </c>
      <c r="G237" s="1">
        <f t="shared" si="3"/>
        <v>0.86416382252559731</v>
      </c>
    </row>
    <row r="238" spans="1:7">
      <c r="A238" t="s">
        <v>71</v>
      </c>
      <c r="B238">
        <v>8</v>
      </c>
      <c r="C238" t="s">
        <v>440</v>
      </c>
      <c r="D238">
        <v>11</v>
      </c>
      <c r="E238">
        <v>2930</v>
      </c>
      <c r="F238">
        <v>2777</v>
      </c>
      <c r="G238" s="1">
        <f t="shared" si="3"/>
        <v>0.94778156996587026</v>
      </c>
    </row>
    <row r="239" spans="1:7">
      <c r="A239" t="s">
        <v>71</v>
      </c>
      <c r="B239">
        <v>8</v>
      </c>
      <c r="C239" t="s">
        <v>441</v>
      </c>
      <c r="D239">
        <v>12</v>
      </c>
      <c r="E239">
        <v>2930</v>
      </c>
      <c r="F239">
        <v>2832</v>
      </c>
      <c r="G239" s="1">
        <f t="shared" si="3"/>
        <v>0.9665529010238908</v>
      </c>
    </row>
    <row r="240" spans="1:7">
      <c r="A240" t="s">
        <v>71</v>
      </c>
      <c r="B240">
        <v>9</v>
      </c>
      <c r="C240" t="s">
        <v>33</v>
      </c>
      <c r="D240">
        <v>1</v>
      </c>
      <c r="E240">
        <v>1887</v>
      </c>
      <c r="F240">
        <v>149</v>
      </c>
      <c r="G240" s="1">
        <f t="shared" si="3"/>
        <v>7.8961314255431903E-2</v>
      </c>
    </row>
    <row r="241" spans="1:7">
      <c r="A241" t="s">
        <v>71</v>
      </c>
      <c r="B241">
        <v>9</v>
      </c>
      <c r="C241" t="s">
        <v>2</v>
      </c>
      <c r="D241">
        <v>2</v>
      </c>
      <c r="E241">
        <v>1887</v>
      </c>
      <c r="F241">
        <v>238</v>
      </c>
      <c r="G241" s="1">
        <f t="shared" si="3"/>
        <v>0.12612612612612611</v>
      </c>
    </row>
    <row r="242" spans="1:7">
      <c r="A242" t="s">
        <v>71</v>
      </c>
      <c r="B242">
        <v>9</v>
      </c>
      <c r="C242" t="s">
        <v>442</v>
      </c>
      <c r="D242">
        <v>3</v>
      </c>
      <c r="E242">
        <v>1887</v>
      </c>
      <c r="F242">
        <v>568</v>
      </c>
      <c r="G242" s="1">
        <f t="shared" si="3"/>
        <v>0.30100688924218338</v>
      </c>
    </row>
    <row r="243" spans="1:7">
      <c r="A243" t="s">
        <v>71</v>
      </c>
      <c r="B243">
        <v>9</v>
      </c>
      <c r="C243" t="s">
        <v>76</v>
      </c>
      <c r="D243">
        <v>4</v>
      </c>
      <c r="E243">
        <v>1887</v>
      </c>
      <c r="F243">
        <v>1838</v>
      </c>
      <c r="G243" s="1">
        <f t="shared" si="3"/>
        <v>0.97403285638579751</v>
      </c>
    </row>
    <row r="244" spans="1:7">
      <c r="A244" t="s">
        <v>71</v>
      </c>
      <c r="B244">
        <v>10</v>
      </c>
      <c r="C244" t="s">
        <v>33</v>
      </c>
      <c r="D244">
        <v>1</v>
      </c>
      <c r="E244">
        <v>859</v>
      </c>
      <c r="F244">
        <v>76</v>
      </c>
      <c r="G244" s="1">
        <f t="shared" si="3"/>
        <v>8.8474970896391156E-2</v>
      </c>
    </row>
    <row r="245" spans="1:7">
      <c r="A245" t="s">
        <v>71</v>
      </c>
      <c r="B245">
        <v>10</v>
      </c>
      <c r="C245" t="s">
        <v>34</v>
      </c>
      <c r="D245">
        <v>2</v>
      </c>
      <c r="E245">
        <v>859</v>
      </c>
      <c r="F245">
        <v>305</v>
      </c>
      <c r="G245" s="1">
        <f t="shared" si="3"/>
        <v>0.35506402793946451</v>
      </c>
    </row>
    <row r="246" spans="1:7">
      <c r="A246" t="s">
        <v>71</v>
      </c>
      <c r="B246">
        <v>10</v>
      </c>
      <c r="C246" t="s">
        <v>82</v>
      </c>
      <c r="D246">
        <v>3</v>
      </c>
      <c r="E246">
        <v>859</v>
      </c>
      <c r="F246">
        <v>439</v>
      </c>
      <c r="G246" s="1">
        <f t="shared" si="3"/>
        <v>0.51105937136204893</v>
      </c>
    </row>
    <row r="247" spans="1:7">
      <c r="A247" t="s">
        <v>71</v>
      </c>
      <c r="B247">
        <v>10</v>
      </c>
      <c r="C247" t="s">
        <v>103</v>
      </c>
      <c r="D247">
        <v>4</v>
      </c>
      <c r="E247">
        <v>859</v>
      </c>
      <c r="F247">
        <v>487</v>
      </c>
      <c r="G247" s="1">
        <f t="shared" si="3"/>
        <v>0.56693830034924331</v>
      </c>
    </row>
    <row r="248" spans="1:7">
      <c r="A248" t="s">
        <v>71</v>
      </c>
      <c r="B248">
        <v>10</v>
      </c>
      <c r="C248" t="s">
        <v>107</v>
      </c>
      <c r="D248">
        <v>5</v>
      </c>
      <c r="E248">
        <v>859</v>
      </c>
      <c r="F248">
        <v>566</v>
      </c>
      <c r="G248" s="1">
        <f t="shared" si="3"/>
        <v>0.65890570430733408</v>
      </c>
    </row>
    <row r="249" spans="1:7">
      <c r="A249" t="s">
        <v>71</v>
      </c>
      <c r="B249">
        <v>10</v>
      </c>
      <c r="C249" t="s">
        <v>94</v>
      </c>
      <c r="D249">
        <v>6</v>
      </c>
      <c r="E249">
        <v>859</v>
      </c>
      <c r="F249">
        <v>617</v>
      </c>
      <c r="G249" s="1">
        <f t="shared" si="3"/>
        <v>0.71827706635622812</v>
      </c>
    </row>
    <row r="250" spans="1:7">
      <c r="A250" t="s">
        <v>71</v>
      </c>
      <c r="B250">
        <v>10</v>
      </c>
      <c r="C250" t="s">
        <v>95</v>
      </c>
      <c r="D250">
        <v>7</v>
      </c>
      <c r="E250">
        <v>859</v>
      </c>
      <c r="F250">
        <v>627</v>
      </c>
      <c r="G250" s="1">
        <f t="shared" si="3"/>
        <v>0.729918509895227</v>
      </c>
    </row>
    <row r="251" spans="1:7">
      <c r="A251" t="s">
        <v>71</v>
      </c>
      <c r="B251">
        <v>10</v>
      </c>
      <c r="C251" t="s">
        <v>88</v>
      </c>
      <c r="D251">
        <v>8</v>
      </c>
      <c r="E251">
        <v>859</v>
      </c>
      <c r="F251">
        <v>653</v>
      </c>
      <c r="G251" s="1">
        <f t="shared" si="3"/>
        <v>0.76018626309662396</v>
      </c>
    </row>
    <row r="252" spans="1:7">
      <c r="A252" t="s">
        <v>71</v>
      </c>
      <c r="B252">
        <v>10</v>
      </c>
      <c r="C252" t="s">
        <v>104</v>
      </c>
      <c r="D252">
        <v>9</v>
      </c>
      <c r="E252">
        <v>859</v>
      </c>
      <c r="F252">
        <v>693</v>
      </c>
      <c r="G252" s="1">
        <f t="shared" si="3"/>
        <v>0.80675203725261935</v>
      </c>
    </row>
    <row r="253" spans="1:7">
      <c r="A253" t="s">
        <v>71</v>
      </c>
      <c r="B253">
        <v>10</v>
      </c>
      <c r="C253" t="s">
        <v>97</v>
      </c>
      <c r="D253">
        <v>10</v>
      </c>
      <c r="E253">
        <v>859</v>
      </c>
      <c r="F253">
        <v>702</v>
      </c>
      <c r="G253" s="1">
        <f t="shared" si="3"/>
        <v>0.81722933643771822</v>
      </c>
    </row>
    <row r="254" spans="1:7">
      <c r="A254" t="s">
        <v>71</v>
      </c>
      <c r="B254">
        <v>10</v>
      </c>
      <c r="C254" t="s">
        <v>87</v>
      </c>
      <c r="D254">
        <v>11</v>
      </c>
      <c r="E254">
        <v>859</v>
      </c>
      <c r="F254">
        <v>703</v>
      </c>
      <c r="G254" s="1">
        <f t="shared" si="3"/>
        <v>0.81839348079161811</v>
      </c>
    </row>
    <row r="255" spans="1:7">
      <c r="A255" t="s">
        <v>71</v>
      </c>
      <c r="B255">
        <v>10</v>
      </c>
      <c r="C255" t="s">
        <v>84</v>
      </c>
      <c r="D255">
        <v>12</v>
      </c>
      <c r="E255">
        <v>859</v>
      </c>
      <c r="F255">
        <v>709</v>
      </c>
      <c r="G255" s="1">
        <f t="shared" si="3"/>
        <v>0.82537834691501744</v>
      </c>
    </row>
    <row r="256" spans="1:7">
      <c r="A256" t="s">
        <v>71</v>
      </c>
      <c r="B256">
        <v>10</v>
      </c>
      <c r="C256" t="s">
        <v>96</v>
      </c>
      <c r="D256">
        <v>13</v>
      </c>
      <c r="E256">
        <v>859</v>
      </c>
      <c r="F256">
        <v>711</v>
      </c>
      <c r="G256" s="1">
        <f t="shared" si="3"/>
        <v>0.82770663562281721</v>
      </c>
    </row>
    <row r="257" spans="1:7">
      <c r="A257" t="s">
        <v>71</v>
      </c>
      <c r="B257">
        <v>10</v>
      </c>
      <c r="C257" t="s">
        <v>105</v>
      </c>
      <c r="D257">
        <v>14</v>
      </c>
      <c r="E257">
        <v>859</v>
      </c>
      <c r="F257">
        <v>713</v>
      </c>
      <c r="G257" s="1">
        <f t="shared" si="3"/>
        <v>0.83003492433061699</v>
      </c>
    </row>
    <row r="258" spans="1:7">
      <c r="A258" t="s">
        <v>71</v>
      </c>
      <c r="B258">
        <v>10</v>
      </c>
      <c r="C258" t="s">
        <v>101</v>
      </c>
      <c r="D258">
        <v>15</v>
      </c>
      <c r="E258">
        <v>859</v>
      </c>
      <c r="F258">
        <v>746</v>
      </c>
      <c r="G258" s="1">
        <f t="shared" ref="G258:G321" si="4">F258/E258</f>
        <v>0.86845168800931316</v>
      </c>
    </row>
    <row r="259" spans="1:7">
      <c r="A259" t="s">
        <v>71</v>
      </c>
      <c r="B259">
        <v>10</v>
      </c>
      <c r="C259" t="s">
        <v>86</v>
      </c>
      <c r="D259">
        <v>16</v>
      </c>
      <c r="E259">
        <v>859</v>
      </c>
      <c r="F259">
        <v>757</v>
      </c>
      <c r="G259" s="1">
        <f t="shared" si="4"/>
        <v>0.88125727590221192</v>
      </c>
    </row>
    <row r="260" spans="1:7">
      <c r="A260" t="s">
        <v>71</v>
      </c>
      <c r="B260">
        <v>10</v>
      </c>
      <c r="C260" t="s">
        <v>98</v>
      </c>
      <c r="D260">
        <v>17</v>
      </c>
      <c r="E260">
        <v>859</v>
      </c>
      <c r="F260">
        <v>759</v>
      </c>
      <c r="G260" s="1">
        <f t="shared" si="4"/>
        <v>0.88358556461001159</v>
      </c>
    </row>
    <row r="261" spans="1:7">
      <c r="A261" t="s">
        <v>71</v>
      </c>
      <c r="B261">
        <v>10</v>
      </c>
      <c r="C261" t="s">
        <v>83</v>
      </c>
      <c r="D261">
        <v>18</v>
      </c>
      <c r="E261">
        <v>859</v>
      </c>
      <c r="F261">
        <v>761</v>
      </c>
      <c r="G261" s="1">
        <f t="shared" si="4"/>
        <v>0.88591385331781136</v>
      </c>
    </row>
    <row r="262" spans="1:7">
      <c r="A262" t="s">
        <v>71</v>
      </c>
      <c r="B262">
        <v>10</v>
      </c>
      <c r="C262" t="s">
        <v>99</v>
      </c>
      <c r="D262">
        <v>19</v>
      </c>
      <c r="E262">
        <v>859</v>
      </c>
      <c r="F262">
        <v>764</v>
      </c>
      <c r="G262" s="1">
        <f t="shared" si="4"/>
        <v>0.88940628637951102</v>
      </c>
    </row>
    <row r="263" spans="1:7">
      <c r="A263" t="s">
        <v>71</v>
      </c>
      <c r="B263">
        <v>10</v>
      </c>
      <c r="C263" t="s">
        <v>93</v>
      </c>
      <c r="D263">
        <v>20</v>
      </c>
      <c r="E263">
        <v>859</v>
      </c>
      <c r="F263">
        <v>775</v>
      </c>
      <c r="G263" s="1">
        <f t="shared" si="4"/>
        <v>0.90221187427240979</v>
      </c>
    </row>
    <row r="264" spans="1:7">
      <c r="A264" t="s">
        <v>71</v>
      </c>
      <c r="B264">
        <v>10</v>
      </c>
      <c r="C264" t="s">
        <v>109</v>
      </c>
      <c r="D264">
        <v>21</v>
      </c>
      <c r="E264">
        <v>859</v>
      </c>
      <c r="F264">
        <v>781</v>
      </c>
      <c r="G264" s="1">
        <f t="shared" si="4"/>
        <v>0.90919674039580911</v>
      </c>
    </row>
    <row r="265" spans="1:7">
      <c r="A265" t="s">
        <v>71</v>
      </c>
      <c r="B265">
        <v>10</v>
      </c>
      <c r="C265" t="s">
        <v>89</v>
      </c>
      <c r="D265">
        <v>22</v>
      </c>
      <c r="E265">
        <v>859</v>
      </c>
      <c r="F265">
        <v>798</v>
      </c>
      <c r="G265" s="1">
        <f t="shared" si="4"/>
        <v>0.92898719441210709</v>
      </c>
    </row>
    <row r="266" spans="1:7">
      <c r="A266" t="s">
        <v>71</v>
      </c>
      <c r="B266">
        <v>10</v>
      </c>
      <c r="C266" t="s">
        <v>100</v>
      </c>
      <c r="D266">
        <v>23</v>
      </c>
      <c r="E266">
        <v>859</v>
      </c>
      <c r="F266">
        <v>810</v>
      </c>
      <c r="G266" s="1">
        <f t="shared" si="4"/>
        <v>0.94295692665890574</v>
      </c>
    </row>
    <row r="267" spans="1:7">
      <c r="A267" t="s">
        <v>71</v>
      </c>
      <c r="B267">
        <v>10</v>
      </c>
      <c r="C267" t="s">
        <v>91</v>
      </c>
      <c r="D267">
        <v>24</v>
      </c>
      <c r="E267">
        <v>859</v>
      </c>
      <c r="F267">
        <v>811</v>
      </c>
      <c r="G267" s="1">
        <f t="shared" si="4"/>
        <v>0.94412107101280562</v>
      </c>
    </row>
    <row r="268" spans="1:7">
      <c r="A268" t="s">
        <v>71</v>
      </c>
      <c r="B268">
        <v>10</v>
      </c>
      <c r="C268" t="s">
        <v>92</v>
      </c>
      <c r="D268">
        <v>25</v>
      </c>
      <c r="E268">
        <v>859</v>
      </c>
      <c r="F268">
        <v>814</v>
      </c>
      <c r="G268" s="1">
        <f t="shared" si="4"/>
        <v>0.94761350407450529</v>
      </c>
    </row>
    <row r="269" spans="1:7">
      <c r="A269" t="s">
        <v>71</v>
      </c>
      <c r="B269">
        <v>10</v>
      </c>
      <c r="C269" t="s">
        <v>102</v>
      </c>
      <c r="D269">
        <v>26</v>
      </c>
      <c r="E269">
        <v>859</v>
      </c>
      <c r="F269">
        <v>819</v>
      </c>
      <c r="G269" s="1">
        <f t="shared" si="4"/>
        <v>0.95343422584400461</v>
      </c>
    </row>
    <row r="270" spans="1:7">
      <c r="A270" t="s">
        <v>71</v>
      </c>
      <c r="B270">
        <v>10</v>
      </c>
      <c r="C270" t="s">
        <v>110</v>
      </c>
      <c r="D270">
        <v>27</v>
      </c>
      <c r="E270">
        <v>859</v>
      </c>
      <c r="F270">
        <v>821</v>
      </c>
      <c r="G270" s="1">
        <f t="shared" si="4"/>
        <v>0.95576251455180439</v>
      </c>
    </row>
    <row r="271" spans="1:7">
      <c r="A271" t="s">
        <v>71</v>
      </c>
      <c r="B271">
        <v>10</v>
      </c>
      <c r="C271" t="s">
        <v>106</v>
      </c>
      <c r="D271">
        <v>28</v>
      </c>
      <c r="E271">
        <v>859</v>
      </c>
      <c r="F271">
        <v>824</v>
      </c>
      <c r="G271" s="1">
        <f t="shared" si="4"/>
        <v>0.95925494761350405</v>
      </c>
    </row>
    <row r="272" spans="1:7">
      <c r="A272" t="s">
        <v>71</v>
      </c>
      <c r="B272">
        <v>10</v>
      </c>
      <c r="C272" t="s">
        <v>108</v>
      </c>
      <c r="D272">
        <v>29</v>
      </c>
      <c r="E272">
        <v>859</v>
      </c>
      <c r="F272">
        <v>825</v>
      </c>
      <c r="G272" s="1">
        <f t="shared" si="4"/>
        <v>0.96041909196740394</v>
      </c>
    </row>
    <row r="273" spans="1:7">
      <c r="A273" t="s">
        <v>71</v>
      </c>
      <c r="B273">
        <v>10</v>
      </c>
      <c r="C273" t="s">
        <v>111</v>
      </c>
      <c r="D273">
        <v>30</v>
      </c>
      <c r="E273">
        <v>859</v>
      </c>
      <c r="F273">
        <v>832</v>
      </c>
      <c r="G273" s="1">
        <f t="shared" si="4"/>
        <v>0.96856810244470315</v>
      </c>
    </row>
    <row r="274" spans="1:7">
      <c r="A274" t="s">
        <v>71</v>
      </c>
      <c r="B274">
        <v>10</v>
      </c>
      <c r="C274" t="s">
        <v>90</v>
      </c>
      <c r="D274">
        <v>31</v>
      </c>
      <c r="E274">
        <v>859</v>
      </c>
      <c r="F274">
        <v>872</v>
      </c>
      <c r="G274" s="1">
        <f t="shared" si="4"/>
        <v>1.0151338766006985</v>
      </c>
    </row>
    <row r="275" spans="1:7">
      <c r="A275" t="s">
        <v>71</v>
      </c>
      <c r="B275">
        <v>10</v>
      </c>
      <c r="C275" t="s">
        <v>85</v>
      </c>
      <c r="D275">
        <v>32</v>
      </c>
      <c r="E275">
        <v>859</v>
      </c>
      <c r="F275">
        <v>882</v>
      </c>
      <c r="G275" s="1">
        <f t="shared" si="4"/>
        <v>1.0267753201396974</v>
      </c>
    </row>
    <row r="276" spans="1:7">
      <c r="A276" t="s">
        <v>112</v>
      </c>
      <c r="B276">
        <v>3</v>
      </c>
      <c r="C276" t="s">
        <v>36</v>
      </c>
      <c r="D276">
        <v>1</v>
      </c>
      <c r="E276">
        <v>30188</v>
      </c>
      <c r="F276">
        <v>30651</v>
      </c>
      <c r="G276" s="1">
        <f t="shared" si="4"/>
        <v>1.015337220087452</v>
      </c>
    </row>
    <row r="277" spans="1:7">
      <c r="A277" t="s">
        <v>112</v>
      </c>
      <c r="B277">
        <v>3</v>
      </c>
      <c r="C277" t="s">
        <v>57</v>
      </c>
      <c r="D277">
        <v>2</v>
      </c>
      <c r="E277">
        <v>30188</v>
      </c>
      <c r="F277">
        <v>31814</v>
      </c>
      <c r="G277" s="1">
        <f t="shared" si="4"/>
        <v>1.0538624619053929</v>
      </c>
    </row>
    <row r="278" spans="1:7">
      <c r="A278" t="s">
        <v>303</v>
      </c>
      <c r="B278">
        <v>2</v>
      </c>
      <c r="C278" t="s">
        <v>36</v>
      </c>
      <c r="D278">
        <v>1</v>
      </c>
      <c r="E278">
        <v>46798</v>
      </c>
      <c r="F278">
        <v>1553</v>
      </c>
      <c r="G278" s="1">
        <f t="shared" si="4"/>
        <v>3.3185178853797168E-2</v>
      </c>
    </row>
    <row r="279" spans="1:7">
      <c r="A279" t="s">
        <v>303</v>
      </c>
      <c r="B279">
        <v>2</v>
      </c>
      <c r="C279" t="s">
        <v>443</v>
      </c>
      <c r="D279">
        <v>2</v>
      </c>
      <c r="E279">
        <v>46798</v>
      </c>
      <c r="F279">
        <v>3014</v>
      </c>
      <c r="G279" s="1">
        <f t="shared" si="4"/>
        <v>6.4404461729133722E-2</v>
      </c>
    </row>
    <row r="280" spans="1:7">
      <c r="A280" t="s">
        <v>303</v>
      </c>
      <c r="B280">
        <v>2</v>
      </c>
      <c r="C280" t="s">
        <v>444</v>
      </c>
      <c r="D280">
        <v>3</v>
      </c>
      <c r="E280">
        <v>46798</v>
      </c>
      <c r="F280">
        <v>46563</v>
      </c>
      <c r="G280" s="1">
        <f t="shared" si="4"/>
        <v>0.99497841788110608</v>
      </c>
    </row>
    <row r="281" spans="1:7">
      <c r="A281" t="s">
        <v>113</v>
      </c>
      <c r="B281">
        <v>2</v>
      </c>
      <c r="C281" t="s">
        <v>64</v>
      </c>
      <c r="D281">
        <v>1</v>
      </c>
      <c r="E281">
        <v>2704</v>
      </c>
      <c r="F281">
        <v>790</v>
      </c>
      <c r="G281" s="1">
        <f t="shared" si="4"/>
        <v>0.29215976331360949</v>
      </c>
    </row>
    <row r="282" spans="1:7">
      <c r="A282" t="s">
        <v>113</v>
      </c>
      <c r="B282">
        <v>2</v>
      </c>
      <c r="C282" t="s">
        <v>114</v>
      </c>
      <c r="D282">
        <v>2</v>
      </c>
      <c r="E282">
        <v>2704</v>
      </c>
      <c r="F282">
        <v>812</v>
      </c>
      <c r="G282" s="1">
        <f t="shared" si="4"/>
        <v>0.30029585798816566</v>
      </c>
    </row>
    <row r="283" spans="1:7">
      <c r="A283" t="s">
        <v>113</v>
      </c>
      <c r="B283">
        <v>2</v>
      </c>
      <c r="C283" t="s">
        <v>118</v>
      </c>
      <c r="D283">
        <v>3</v>
      </c>
      <c r="E283">
        <v>2704</v>
      </c>
      <c r="F283">
        <v>839</v>
      </c>
      <c r="G283" s="1">
        <f t="shared" si="4"/>
        <v>0.31028106508875741</v>
      </c>
    </row>
    <row r="284" spans="1:7">
      <c r="A284" t="s">
        <v>113</v>
      </c>
      <c r="B284">
        <v>2</v>
      </c>
      <c r="C284" t="s">
        <v>129</v>
      </c>
      <c r="D284">
        <v>4</v>
      </c>
      <c r="E284">
        <v>2704</v>
      </c>
      <c r="F284">
        <v>869</v>
      </c>
      <c r="G284" s="1">
        <f t="shared" si="4"/>
        <v>0.3213757396449704</v>
      </c>
    </row>
    <row r="285" spans="1:7">
      <c r="A285" t="s">
        <v>113</v>
      </c>
      <c r="B285">
        <v>2</v>
      </c>
      <c r="C285" t="s">
        <v>116</v>
      </c>
      <c r="D285">
        <v>5</v>
      </c>
      <c r="E285">
        <v>2704</v>
      </c>
      <c r="F285">
        <v>955</v>
      </c>
      <c r="G285" s="1">
        <f t="shared" si="4"/>
        <v>0.35318047337278108</v>
      </c>
    </row>
    <row r="286" spans="1:7">
      <c r="A286" t="s">
        <v>113</v>
      </c>
      <c r="B286">
        <v>2</v>
      </c>
      <c r="C286" t="s">
        <v>115</v>
      </c>
      <c r="D286">
        <v>6</v>
      </c>
      <c r="E286">
        <v>2704</v>
      </c>
      <c r="F286">
        <v>995</v>
      </c>
      <c r="G286" s="1">
        <f t="shared" si="4"/>
        <v>0.36797337278106507</v>
      </c>
    </row>
    <row r="287" spans="1:7">
      <c r="A287" t="s">
        <v>113</v>
      </c>
      <c r="B287">
        <v>2</v>
      </c>
      <c r="C287" t="s">
        <v>117</v>
      </c>
      <c r="D287">
        <v>7</v>
      </c>
      <c r="E287">
        <v>2704</v>
      </c>
      <c r="F287">
        <v>1257</v>
      </c>
      <c r="G287" s="1">
        <f t="shared" si="4"/>
        <v>0.46486686390532544</v>
      </c>
    </row>
    <row r="288" spans="1:7">
      <c r="A288" t="s">
        <v>113</v>
      </c>
      <c r="B288">
        <v>2</v>
      </c>
      <c r="C288" t="s">
        <v>119</v>
      </c>
      <c r="D288">
        <v>8</v>
      </c>
      <c r="E288">
        <v>2704</v>
      </c>
      <c r="F288">
        <v>1326</v>
      </c>
      <c r="G288" s="1">
        <f t="shared" si="4"/>
        <v>0.49038461538461536</v>
      </c>
    </row>
    <row r="289" spans="1:7">
      <c r="A289" t="s">
        <v>113</v>
      </c>
      <c r="B289">
        <v>3</v>
      </c>
      <c r="C289" t="s">
        <v>70</v>
      </c>
      <c r="D289">
        <v>1</v>
      </c>
      <c r="E289">
        <v>7963</v>
      </c>
      <c r="F289">
        <v>545</v>
      </c>
      <c r="G289" s="1">
        <f t="shared" si="4"/>
        <v>6.8441542132362171E-2</v>
      </c>
    </row>
    <row r="290" spans="1:7">
      <c r="A290" t="s">
        <v>113</v>
      </c>
      <c r="B290">
        <v>3</v>
      </c>
      <c r="C290" t="s">
        <v>120</v>
      </c>
      <c r="D290">
        <v>2</v>
      </c>
      <c r="E290">
        <v>7963</v>
      </c>
      <c r="F290">
        <v>886</v>
      </c>
      <c r="G290" s="1">
        <f t="shared" si="4"/>
        <v>0.11126459876930805</v>
      </c>
    </row>
    <row r="291" spans="1:7">
      <c r="A291" t="s">
        <v>113</v>
      </c>
      <c r="B291">
        <v>3</v>
      </c>
      <c r="C291" t="s">
        <v>123</v>
      </c>
      <c r="D291">
        <v>3</v>
      </c>
      <c r="E291">
        <v>7963</v>
      </c>
      <c r="F291">
        <v>1818</v>
      </c>
      <c r="G291" s="1">
        <f t="shared" si="4"/>
        <v>0.22830591485620996</v>
      </c>
    </row>
    <row r="292" spans="1:7">
      <c r="A292" t="s">
        <v>113</v>
      </c>
      <c r="B292">
        <v>3</v>
      </c>
      <c r="C292" t="s">
        <v>122</v>
      </c>
      <c r="D292">
        <v>4</v>
      </c>
      <c r="E292">
        <v>7963</v>
      </c>
      <c r="F292">
        <v>1825</v>
      </c>
      <c r="G292" s="1">
        <f t="shared" si="4"/>
        <v>0.22918498053497427</v>
      </c>
    </row>
    <row r="293" spans="1:7">
      <c r="A293" t="s">
        <v>113</v>
      </c>
      <c r="B293">
        <v>3</v>
      </c>
      <c r="C293" t="s">
        <v>124</v>
      </c>
      <c r="D293">
        <v>5</v>
      </c>
      <c r="E293">
        <v>7963</v>
      </c>
      <c r="F293">
        <v>2582</v>
      </c>
      <c r="G293" s="1">
        <f t="shared" si="4"/>
        <v>0.32424965465276906</v>
      </c>
    </row>
    <row r="294" spans="1:7">
      <c r="A294" t="s">
        <v>113</v>
      </c>
      <c r="B294">
        <v>3</v>
      </c>
      <c r="C294" t="s">
        <v>121</v>
      </c>
      <c r="D294">
        <v>6</v>
      </c>
      <c r="E294">
        <v>7963</v>
      </c>
      <c r="F294">
        <v>4359</v>
      </c>
      <c r="G294" s="1">
        <f t="shared" si="4"/>
        <v>0.54740675624764534</v>
      </c>
    </row>
    <row r="295" spans="1:7">
      <c r="A295" t="s">
        <v>113</v>
      </c>
      <c r="B295">
        <v>4</v>
      </c>
      <c r="C295" t="s">
        <v>70</v>
      </c>
      <c r="D295">
        <v>1</v>
      </c>
      <c r="E295">
        <v>21804</v>
      </c>
      <c r="F295">
        <v>561</v>
      </c>
      <c r="G295" s="1">
        <f t="shared" si="4"/>
        <v>2.5729223995597138E-2</v>
      </c>
    </row>
    <row r="296" spans="1:7">
      <c r="A296" t="s">
        <v>113</v>
      </c>
      <c r="B296">
        <v>4</v>
      </c>
      <c r="C296" t="s">
        <v>125</v>
      </c>
      <c r="D296">
        <v>2</v>
      </c>
      <c r="E296">
        <v>21804</v>
      </c>
      <c r="F296">
        <v>1073</v>
      </c>
      <c r="G296" s="1">
        <f t="shared" si="4"/>
        <v>4.9211153916712533E-2</v>
      </c>
    </row>
    <row r="297" spans="1:7">
      <c r="A297" t="s">
        <v>113</v>
      </c>
      <c r="B297">
        <v>4</v>
      </c>
      <c r="C297" t="s">
        <v>123</v>
      </c>
      <c r="D297">
        <v>3</v>
      </c>
      <c r="E297">
        <v>21804</v>
      </c>
      <c r="F297">
        <v>1833</v>
      </c>
      <c r="G297" s="1">
        <f t="shared" si="4"/>
        <v>8.4067143643368189E-2</v>
      </c>
    </row>
    <row r="298" spans="1:7">
      <c r="A298" t="s">
        <v>113</v>
      </c>
      <c r="B298">
        <v>4</v>
      </c>
      <c r="C298" t="s">
        <v>122</v>
      </c>
      <c r="D298">
        <v>4</v>
      </c>
      <c r="E298">
        <v>21804</v>
      </c>
      <c r="F298">
        <v>1843</v>
      </c>
      <c r="G298" s="1">
        <f t="shared" si="4"/>
        <v>8.4525775087139973E-2</v>
      </c>
    </row>
    <row r="299" spans="1:7">
      <c r="A299" t="s">
        <v>113</v>
      </c>
      <c r="B299">
        <v>4</v>
      </c>
      <c r="C299" t="s">
        <v>124</v>
      </c>
      <c r="D299">
        <v>5</v>
      </c>
      <c r="E299">
        <v>21804</v>
      </c>
      <c r="F299">
        <v>2646</v>
      </c>
      <c r="G299" s="1">
        <f t="shared" si="4"/>
        <v>0.1213538800220143</v>
      </c>
    </row>
    <row r="300" spans="1:7">
      <c r="A300" t="s">
        <v>113</v>
      </c>
      <c r="B300">
        <v>4</v>
      </c>
      <c r="C300" t="s">
        <v>121</v>
      </c>
      <c r="D300">
        <v>6</v>
      </c>
      <c r="E300">
        <v>21804</v>
      </c>
      <c r="F300">
        <v>4410</v>
      </c>
      <c r="G300" s="1">
        <f t="shared" si="4"/>
        <v>0.20225646670335717</v>
      </c>
    </row>
    <row r="301" spans="1:7">
      <c r="A301" t="s">
        <v>113</v>
      </c>
      <c r="B301">
        <v>4</v>
      </c>
      <c r="C301" t="s">
        <v>126</v>
      </c>
      <c r="D301">
        <v>7</v>
      </c>
      <c r="E301">
        <v>21804</v>
      </c>
      <c r="F301">
        <v>5323</v>
      </c>
      <c r="G301" s="1">
        <f t="shared" si="4"/>
        <v>0.24412951751972115</v>
      </c>
    </row>
    <row r="302" spans="1:7">
      <c r="A302" t="s">
        <v>113</v>
      </c>
      <c r="B302">
        <v>4</v>
      </c>
      <c r="C302" t="s">
        <v>127</v>
      </c>
      <c r="D302">
        <v>8</v>
      </c>
      <c r="E302">
        <v>21804</v>
      </c>
      <c r="F302">
        <v>5607</v>
      </c>
      <c r="G302" s="1">
        <f t="shared" si="4"/>
        <v>0.25715465052283987</v>
      </c>
    </row>
    <row r="303" spans="1:7">
      <c r="A303" t="s">
        <v>113</v>
      </c>
      <c r="B303">
        <v>4</v>
      </c>
      <c r="C303" t="s">
        <v>128</v>
      </c>
      <c r="D303">
        <v>9</v>
      </c>
      <c r="E303">
        <v>21804</v>
      </c>
      <c r="F303">
        <v>6017</v>
      </c>
      <c r="G303" s="1">
        <f t="shared" si="4"/>
        <v>0.27595853971748302</v>
      </c>
    </row>
    <row r="304" spans="1:7">
      <c r="A304" t="s">
        <v>113</v>
      </c>
      <c r="B304">
        <v>6</v>
      </c>
      <c r="C304" t="s">
        <v>70</v>
      </c>
      <c r="D304">
        <v>1</v>
      </c>
      <c r="E304">
        <v>723</v>
      </c>
      <c r="F304">
        <v>597</v>
      </c>
      <c r="G304" s="1">
        <f t="shared" si="4"/>
        <v>0.82572614107883813</v>
      </c>
    </row>
    <row r="305" spans="1:7">
      <c r="A305" t="s">
        <v>113</v>
      </c>
      <c r="B305">
        <v>6</v>
      </c>
      <c r="C305" t="s">
        <v>69</v>
      </c>
      <c r="D305">
        <v>2</v>
      </c>
      <c r="E305">
        <v>723</v>
      </c>
      <c r="F305">
        <v>833</v>
      </c>
      <c r="G305" s="1">
        <f t="shared" si="4"/>
        <v>1.1521438450899031</v>
      </c>
    </row>
    <row r="306" spans="1:7">
      <c r="A306" t="s">
        <v>113</v>
      </c>
      <c r="B306">
        <v>7</v>
      </c>
      <c r="C306" t="s">
        <v>131</v>
      </c>
      <c r="D306">
        <v>1</v>
      </c>
      <c r="E306">
        <v>2509</v>
      </c>
      <c r="F306">
        <v>730</v>
      </c>
      <c r="G306" s="1">
        <f t="shared" si="4"/>
        <v>0.29095257074531689</v>
      </c>
    </row>
    <row r="307" spans="1:7">
      <c r="A307" t="s">
        <v>113</v>
      </c>
      <c r="B307">
        <v>7</v>
      </c>
      <c r="C307" t="s">
        <v>130</v>
      </c>
      <c r="D307">
        <v>2</v>
      </c>
      <c r="E307">
        <v>2509</v>
      </c>
      <c r="F307">
        <v>740</v>
      </c>
      <c r="G307" s="1">
        <f t="shared" si="4"/>
        <v>0.29493822239936229</v>
      </c>
    </row>
    <row r="308" spans="1:7">
      <c r="A308" t="s">
        <v>113</v>
      </c>
      <c r="B308">
        <v>7</v>
      </c>
      <c r="C308" t="s">
        <v>114</v>
      </c>
      <c r="D308">
        <v>3</v>
      </c>
      <c r="E308">
        <v>2509</v>
      </c>
      <c r="F308">
        <v>781</v>
      </c>
      <c r="G308" s="1">
        <f t="shared" si="4"/>
        <v>0.31127939418094858</v>
      </c>
    </row>
    <row r="309" spans="1:7">
      <c r="A309" t="s">
        <v>113</v>
      </c>
      <c r="B309">
        <v>7</v>
      </c>
      <c r="C309" t="s">
        <v>132</v>
      </c>
      <c r="D309">
        <v>4</v>
      </c>
      <c r="E309">
        <v>2509</v>
      </c>
      <c r="F309">
        <v>794</v>
      </c>
      <c r="G309" s="1">
        <f t="shared" si="4"/>
        <v>0.31646074133120766</v>
      </c>
    </row>
    <row r="310" spans="1:7">
      <c r="A310" t="s">
        <v>113</v>
      </c>
      <c r="B310">
        <v>7</v>
      </c>
      <c r="C310" t="s">
        <v>129</v>
      </c>
      <c r="D310">
        <v>5</v>
      </c>
      <c r="E310">
        <v>2509</v>
      </c>
      <c r="F310">
        <v>845</v>
      </c>
      <c r="G310" s="1">
        <f t="shared" si="4"/>
        <v>0.33678756476683935</v>
      </c>
    </row>
    <row r="311" spans="1:7">
      <c r="A311" t="s">
        <v>113</v>
      </c>
      <c r="B311">
        <v>7</v>
      </c>
      <c r="C311" t="s">
        <v>133</v>
      </c>
      <c r="D311">
        <v>6</v>
      </c>
      <c r="E311">
        <v>2509</v>
      </c>
      <c r="F311">
        <v>878</v>
      </c>
      <c r="G311" s="1">
        <f t="shared" si="4"/>
        <v>0.34994021522518931</v>
      </c>
    </row>
    <row r="312" spans="1:7">
      <c r="A312" t="s">
        <v>113</v>
      </c>
      <c r="B312">
        <v>7</v>
      </c>
      <c r="C312" t="s">
        <v>118</v>
      </c>
      <c r="D312">
        <v>7</v>
      </c>
      <c r="E312">
        <v>2509</v>
      </c>
      <c r="F312">
        <v>917</v>
      </c>
      <c r="G312" s="1">
        <f t="shared" si="4"/>
        <v>0.36548425667596651</v>
      </c>
    </row>
    <row r="313" spans="1:7">
      <c r="A313" t="s">
        <v>113</v>
      </c>
      <c r="B313">
        <v>7</v>
      </c>
      <c r="C313" t="s">
        <v>115</v>
      </c>
      <c r="D313">
        <v>8</v>
      </c>
      <c r="E313">
        <v>2509</v>
      </c>
      <c r="F313">
        <v>940</v>
      </c>
      <c r="G313" s="1">
        <f t="shared" si="4"/>
        <v>0.37465125548027101</v>
      </c>
    </row>
    <row r="314" spans="1:7">
      <c r="A314" t="s">
        <v>113</v>
      </c>
      <c r="B314">
        <v>7</v>
      </c>
      <c r="C314" t="s">
        <v>117</v>
      </c>
      <c r="D314">
        <v>9</v>
      </c>
      <c r="E314">
        <v>2509</v>
      </c>
      <c r="F314">
        <v>1096</v>
      </c>
      <c r="G314" s="1">
        <f t="shared" si="4"/>
        <v>0.43682742128337981</v>
      </c>
    </row>
    <row r="315" spans="1:7">
      <c r="A315" t="s">
        <v>113</v>
      </c>
      <c r="B315">
        <v>7</v>
      </c>
      <c r="C315" t="s">
        <v>119</v>
      </c>
      <c r="D315">
        <v>10</v>
      </c>
      <c r="E315">
        <v>2509</v>
      </c>
      <c r="F315">
        <v>1183</v>
      </c>
      <c r="G315" s="1">
        <f t="shared" si="4"/>
        <v>0.47150259067357514</v>
      </c>
    </row>
    <row r="316" spans="1:7">
      <c r="A316" t="s">
        <v>113</v>
      </c>
      <c r="B316">
        <v>8</v>
      </c>
      <c r="C316" t="s">
        <v>70</v>
      </c>
      <c r="D316">
        <v>1</v>
      </c>
      <c r="E316">
        <v>7972</v>
      </c>
      <c r="F316">
        <v>563</v>
      </c>
      <c r="G316" s="1">
        <f t="shared" si="4"/>
        <v>7.0622177621675872E-2</v>
      </c>
    </row>
    <row r="317" spans="1:7">
      <c r="A317" t="s">
        <v>113</v>
      </c>
      <c r="B317">
        <v>8</v>
      </c>
      <c r="C317" t="s">
        <v>134</v>
      </c>
      <c r="D317">
        <v>2</v>
      </c>
      <c r="E317">
        <v>7972</v>
      </c>
      <c r="F317">
        <v>873</v>
      </c>
      <c r="G317" s="1">
        <f t="shared" si="4"/>
        <v>0.10950827897641746</v>
      </c>
    </row>
    <row r="318" spans="1:7">
      <c r="A318" t="s">
        <v>113</v>
      </c>
      <c r="B318">
        <v>8</v>
      </c>
      <c r="C318" t="s">
        <v>123</v>
      </c>
      <c r="D318">
        <v>3</v>
      </c>
      <c r="E318">
        <v>7972</v>
      </c>
      <c r="F318">
        <v>1673</v>
      </c>
      <c r="G318" s="1">
        <f t="shared" si="4"/>
        <v>0.20985950827897643</v>
      </c>
    </row>
    <row r="319" spans="1:7">
      <c r="A319" t="s">
        <v>113</v>
      </c>
      <c r="B319">
        <v>8</v>
      </c>
      <c r="C319" t="s">
        <v>136</v>
      </c>
      <c r="D319">
        <v>4</v>
      </c>
      <c r="E319">
        <v>7972</v>
      </c>
      <c r="F319">
        <v>1992</v>
      </c>
      <c r="G319" s="1">
        <f t="shared" si="4"/>
        <v>0.24987456096337179</v>
      </c>
    </row>
    <row r="320" spans="1:7">
      <c r="A320" t="s">
        <v>113</v>
      </c>
      <c r="B320">
        <v>8</v>
      </c>
      <c r="C320" t="s">
        <v>137</v>
      </c>
      <c r="D320">
        <v>5</v>
      </c>
      <c r="E320">
        <v>7972</v>
      </c>
      <c r="F320">
        <v>2575</v>
      </c>
      <c r="G320" s="1">
        <f t="shared" si="4"/>
        <v>0.32300551931761162</v>
      </c>
    </row>
    <row r="321" spans="1:7">
      <c r="A321" t="s">
        <v>113</v>
      </c>
      <c r="B321">
        <v>8</v>
      </c>
      <c r="C321" t="s">
        <v>135</v>
      </c>
      <c r="D321">
        <v>6</v>
      </c>
      <c r="E321">
        <v>7972</v>
      </c>
      <c r="F321">
        <v>4392</v>
      </c>
      <c r="G321" s="1">
        <f t="shared" si="4"/>
        <v>0.55092824887104863</v>
      </c>
    </row>
    <row r="322" spans="1:7">
      <c r="A322" t="s">
        <v>113</v>
      </c>
      <c r="B322">
        <v>9</v>
      </c>
      <c r="C322" t="s">
        <v>70</v>
      </c>
      <c r="D322">
        <v>1</v>
      </c>
      <c r="E322">
        <v>26604</v>
      </c>
      <c r="F322">
        <v>593</v>
      </c>
      <c r="G322" s="1">
        <f t="shared" ref="G322:G385" si="5">F322/E322</f>
        <v>2.2289881220869043E-2</v>
      </c>
    </row>
    <row r="323" spans="1:7">
      <c r="A323" t="s">
        <v>113</v>
      </c>
      <c r="B323">
        <v>9</v>
      </c>
      <c r="C323" t="s">
        <v>138</v>
      </c>
      <c r="D323">
        <v>2</v>
      </c>
      <c r="E323">
        <v>26604</v>
      </c>
      <c r="F323">
        <v>1080</v>
      </c>
      <c r="G323" s="1">
        <f t="shared" si="5"/>
        <v>4.0595399188092018E-2</v>
      </c>
    </row>
    <row r="324" spans="1:7">
      <c r="A324" t="s">
        <v>113</v>
      </c>
      <c r="B324">
        <v>9</v>
      </c>
      <c r="C324" t="s">
        <v>123</v>
      </c>
      <c r="D324">
        <v>3</v>
      </c>
      <c r="E324">
        <v>26604</v>
      </c>
      <c r="F324">
        <v>1706</v>
      </c>
      <c r="G324" s="1">
        <f t="shared" si="5"/>
        <v>6.4125695384152762E-2</v>
      </c>
    </row>
    <row r="325" spans="1:7">
      <c r="A325" t="s">
        <v>113</v>
      </c>
      <c r="B325">
        <v>9</v>
      </c>
      <c r="C325" t="s">
        <v>136</v>
      </c>
      <c r="D325">
        <v>4</v>
      </c>
      <c r="E325">
        <v>26604</v>
      </c>
      <c r="F325">
        <v>1964</v>
      </c>
      <c r="G325" s="1">
        <f t="shared" si="5"/>
        <v>7.3823485190196964E-2</v>
      </c>
    </row>
    <row r="326" spans="1:7">
      <c r="A326" t="s">
        <v>113</v>
      </c>
      <c r="B326">
        <v>9</v>
      </c>
      <c r="C326" t="s">
        <v>137</v>
      </c>
      <c r="D326">
        <v>5</v>
      </c>
      <c r="E326">
        <v>26604</v>
      </c>
      <c r="F326">
        <v>2724</v>
      </c>
      <c r="G326" s="1">
        <f t="shared" si="5"/>
        <v>0.10239061795218764</v>
      </c>
    </row>
    <row r="327" spans="1:7">
      <c r="A327" t="s">
        <v>113</v>
      </c>
      <c r="B327">
        <v>9</v>
      </c>
      <c r="C327" t="s">
        <v>135</v>
      </c>
      <c r="D327">
        <v>6</v>
      </c>
      <c r="E327">
        <v>26604</v>
      </c>
      <c r="F327">
        <v>4578</v>
      </c>
      <c r="G327" s="1">
        <f t="shared" si="5"/>
        <v>0.17207938655841226</v>
      </c>
    </row>
    <row r="328" spans="1:7">
      <c r="A328" t="s">
        <v>113</v>
      </c>
      <c r="B328">
        <v>9</v>
      </c>
      <c r="C328" t="s">
        <v>139</v>
      </c>
      <c r="D328">
        <v>7</v>
      </c>
      <c r="E328">
        <v>26604</v>
      </c>
      <c r="F328">
        <v>4988</v>
      </c>
      <c r="G328" s="1">
        <f t="shared" si="5"/>
        <v>0.1874906029168546</v>
      </c>
    </row>
    <row r="329" spans="1:7">
      <c r="A329" t="s">
        <v>113</v>
      </c>
      <c r="B329">
        <v>9</v>
      </c>
      <c r="C329" t="s">
        <v>141</v>
      </c>
      <c r="D329">
        <v>8</v>
      </c>
      <c r="E329">
        <v>26604</v>
      </c>
      <c r="F329">
        <v>5515</v>
      </c>
      <c r="G329" s="1">
        <f t="shared" si="5"/>
        <v>0.20729965418734025</v>
      </c>
    </row>
    <row r="330" spans="1:7">
      <c r="A330" t="s">
        <v>113</v>
      </c>
      <c r="B330">
        <v>9</v>
      </c>
      <c r="C330" t="s">
        <v>140</v>
      </c>
      <c r="D330">
        <v>9</v>
      </c>
      <c r="E330">
        <v>26604</v>
      </c>
      <c r="F330">
        <v>6372</v>
      </c>
      <c r="G330" s="1">
        <f t="shared" si="5"/>
        <v>0.23951285520974289</v>
      </c>
    </row>
    <row r="331" spans="1:7">
      <c r="A331" t="s">
        <v>113</v>
      </c>
      <c r="B331">
        <v>11</v>
      </c>
      <c r="C331" t="s">
        <v>33</v>
      </c>
      <c r="D331">
        <v>1</v>
      </c>
      <c r="E331">
        <v>5528</v>
      </c>
      <c r="F331">
        <v>299</v>
      </c>
      <c r="G331" s="1">
        <f t="shared" si="5"/>
        <v>5.4088277858176555E-2</v>
      </c>
    </row>
    <row r="332" spans="1:7">
      <c r="A332" t="s">
        <v>113</v>
      </c>
      <c r="B332">
        <v>11</v>
      </c>
      <c r="C332" t="s">
        <v>19</v>
      </c>
      <c r="D332">
        <v>2</v>
      </c>
      <c r="E332">
        <v>5528</v>
      </c>
      <c r="F332">
        <v>5534</v>
      </c>
      <c r="G332" s="1">
        <f t="shared" si="5"/>
        <v>1.0010853835021707</v>
      </c>
    </row>
    <row r="333" spans="1:7">
      <c r="A333" t="s">
        <v>113</v>
      </c>
      <c r="B333">
        <v>13</v>
      </c>
      <c r="C333" t="s">
        <v>19</v>
      </c>
      <c r="D333">
        <v>1</v>
      </c>
      <c r="E333">
        <v>19389</v>
      </c>
      <c r="F333">
        <v>288</v>
      </c>
      <c r="G333" s="1">
        <f t="shared" si="5"/>
        <v>1.4853783072876374E-2</v>
      </c>
    </row>
    <row r="334" spans="1:7">
      <c r="A334" t="s">
        <v>113</v>
      </c>
      <c r="B334">
        <v>13</v>
      </c>
      <c r="C334" t="s">
        <v>142</v>
      </c>
      <c r="D334">
        <v>2</v>
      </c>
      <c r="E334">
        <v>19389</v>
      </c>
      <c r="F334">
        <v>325</v>
      </c>
      <c r="G334" s="1">
        <f t="shared" si="5"/>
        <v>1.6762081592655631E-2</v>
      </c>
    </row>
    <row r="335" spans="1:7">
      <c r="A335" t="s">
        <v>113</v>
      </c>
      <c r="B335">
        <v>13</v>
      </c>
      <c r="C335" t="s">
        <v>1</v>
      </c>
      <c r="D335">
        <v>3</v>
      </c>
      <c r="E335">
        <v>19389</v>
      </c>
      <c r="F335">
        <v>358</v>
      </c>
      <c r="G335" s="1">
        <f t="shared" si="5"/>
        <v>1.8464077569756047E-2</v>
      </c>
    </row>
    <row r="336" spans="1:7">
      <c r="A336" t="s">
        <v>113</v>
      </c>
      <c r="B336">
        <v>13</v>
      </c>
      <c r="C336" t="s">
        <v>22</v>
      </c>
      <c r="D336">
        <v>4</v>
      </c>
      <c r="E336">
        <v>19389</v>
      </c>
      <c r="F336">
        <v>20667</v>
      </c>
      <c r="G336" s="1">
        <f t="shared" si="5"/>
        <v>1.0659136623858889</v>
      </c>
    </row>
    <row r="337" spans="1:7">
      <c r="A337" t="s">
        <v>113</v>
      </c>
      <c r="B337">
        <v>14</v>
      </c>
      <c r="C337" t="s">
        <v>19</v>
      </c>
      <c r="D337">
        <v>1</v>
      </c>
      <c r="E337">
        <v>50300</v>
      </c>
      <c r="F337">
        <v>335</v>
      </c>
      <c r="G337" s="1">
        <f t="shared" si="5"/>
        <v>6.6600397614314114E-3</v>
      </c>
    </row>
    <row r="338" spans="1:7">
      <c r="A338" t="s">
        <v>113</v>
      </c>
      <c r="B338">
        <v>14</v>
      </c>
      <c r="C338" t="s">
        <v>1</v>
      </c>
      <c r="D338">
        <v>2</v>
      </c>
      <c r="E338">
        <v>50300</v>
      </c>
      <c r="F338">
        <v>1823</v>
      </c>
      <c r="G338" s="1">
        <f t="shared" si="5"/>
        <v>3.6242544731610336E-2</v>
      </c>
    </row>
    <row r="339" spans="1:7">
      <c r="A339" t="s">
        <v>113</v>
      </c>
      <c r="B339">
        <v>14</v>
      </c>
      <c r="C339" t="s">
        <v>142</v>
      </c>
      <c r="D339">
        <v>3</v>
      </c>
      <c r="E339">
        <v>50300</v>
      </c>
      <c r="F339">
        <v>1877</v>
      </c>
      <c r="G339" s="1">
        <f t="shared" si="5"/>
        <v>3.7316103379721667E-2</v>
      </c>
    </row>
    <row r="340" spans="1:7">
      <c r="A340" t="s">
        <v>113</v>
      </c>
      <c r="B340">
        <v>14</v>
      </c>
      <c r="C340" t="s">
        <v>446</v>
      </c>
      <c r="D340">
        <v>4</v>
      </c>
      <c r="E340">
        <v>50300</v>
      </c>
      <c r="F340">
        <v>23802</v>
      </c>
      <c r="G340" s="1">
        <f t="shared" si="5"/>
        <v>0.47320079522862823</v>
      </c>
    </row>
    <row r="341" spans="1:7">
      <c r="A341" t="s">
        <v>113</v>
      </c>
      <c r="B341">
        <v>14</v>
      </c>
      <c r="C341" t="s">
        <v>445</v>
      </c>
      <c r="D341">
        <v>5</v>
      </c>
      <c r="E341">
        <v>50300</v>
      </c>
      <c r="F341">
        <v>25602</v>
      </c>
      <c r="G341" s="1">
        <f t="shared" si="5"/>
        <v>0.50898608349900598</v>
      </c>
    </row>
    <row r="342" spans="1:7">
      <c r="A342" t="s">
        <v>113</v>
      </c>
      <c r="B342">
        <v>14</v>
      </c>
      <c r="C342" t="s">
        <v>447</v>
      </c>
      <c r="D342">
        <v>6</v>
      </c>
      <c r="E342">
        <v>50300</v>
      </c>
      <c r="F342">
        <v>29185</v>
      </c>
      <c r="G342" s="1">
        <f t="shared" si="5"/>
        <v>0.58021868787276343</v>
      </c>
    </row>
    <row r="343" spans="1:7">
      <c r="A343" t="s">
        <v>113</v>
      </c>
      <c r="B343">
        <v>14</v>
      </c>
      <c r="C343" t="s">
        <v>448</v>
      </c>
      <c r="D343">
        <v>7</v>
      </c>
      <c r="E343">
        <v>50300</v>
      </c>
      <c r="F343">
        <v>30864</v>
      </c>
      <c r="G343" s="1">
        <f t="shared" si="5"/>
        <v>0.61359840954274358</v>
      </c>
    </row>
    <row r="344" spans="1:7">
      <c r="A344" t="s">
        <v>113</v>
      </c>
      <c r="B344">
        <v>14</v>
      </c>
      <c r="C344" t="s">
        <v>143</v>
      </c>
      <c r="D344">
        <v>8</v>
      </c>
      <c r="E344">
        <v>50300</v>
      </c>
      <c r="F344">
        <v>40699</v>
      </c>
      <c r="G344" s="1">
        <f t="shared" si="5"/>
        <v>0.80912524850894629</v>
      </c>
    </row>
    <row r="345" spans="1:7">
      <c r="A345" t="s">
        <v>113</v>
      </c>
      <c r="B345">
        <v>14</v>
      </c>
      <c r="C345" t="s">
        <v>144</v>
      </c>
      <c r="D345">
        <v>9</v>
      </c>
      <c r="E345">
        <v>50300</v>
      </c>
      <c r="F345">
        <v>44423</v>
      </c>
      <c r="G345" s="1">
        <f t="shared" si="5"/>
        <v>0.88316103379721667</v>
      </c>
    </row>
    <row r="346" spans="1:7">
      <c r="A346" t="s">
        <v>113</v>
      </c>
      <c r="B346">
        <v>15</v>
      </c>
      <c r="C346" t="s">
        <v>19</v>
      </c>
      <c r="D346">
        <v>1</v>
      </c>
      <c r="E346">
        <v>15971</v>
      </c>
      <c r="F346">
        <v>145</v>
      </c>
      <c r="G346" s="1">
        <f t="shared" si="5"/>
        <v>9.0789556070377565E-3</v>
      </c>
    </row>
    <row r="347" spans="1:7">
      <c r="A347" t="s">
        <v>113</v>
      </c>
      <c r="B347">
        <v>15</v>
      </c>
      <c r="C347" t="s">
        <v>1</v>
      </c>
      <c r="D347">
        <v>2</v>
      </c>
      <c r="E347">
        <v>15971</v>
      </c>
      <c r="F347">
        <v>204</v>
      </c>
      <c r="G347" s="1">
        <f t="shared" si="5"/>
        <v>1.2773151336797947E-2</v>
      </c>
    </row>
    <row r="348" spans="1:7">
      <c r="A348" t="s">
        <v>113</v>
      </c>
      <c r="B348">
        <v>15</v>
      </c>
      <c r="C348" t="s">
        <v>142</v>
      </c>
      <c r="D348">
        <v>3</v>
      </c>
      <c r="E348">
        <v>15971</v>
      </c>
      <c r="F348">
        <v>246</v>
      </c>
      <c r="G348" s="1">
        <f t="shared" si="5"/>
        <v>1.540291778849164E-2</v>
      </c>
    </row>
    <row r="349" spans="1:7">
      <c r="A349" t="s">
        <v>113</v>
      </c>
      <c r="B349">
        <v>15</v>
      </c>
      <c r="C349" t="s">
        <v>22</v>
      </c>
      <c r="D349">
        <v>4</v>
      </c>
      <c r="E349">
        <v>15971</v>
      </c>
      <c r="F349">
        <v>13688</v>
      </c>
      <c r="G349" s="1">
        <f t="shared" si="5"/>
        <v>0.85705340930436413</v>
      </c>
    </row>
    <row r="350" spans="1:7">
      <c r="A350" t="s">
        <v>113</v>
      </c>
      <c r="B350">
        <v>16</v>
      </c>
      <c r="C350" t="s">
        <v>19</v>
      </c>
      <c r="D350">
        <v>1</v>
      </c>
      <c r="E350">
        <v>25908</v>
      </c>
      <c r="F350">
        <v>166</v>
      </c>
      <c r="G350" s="1">
        <f t="shared" si="5"/>
        <v>6.4072873243785702E-3</v>
      </c>
    </row>
    <row r="351" spans="1:7">
      <c r="A351" t="s">
        <v>113</v>
      </c>
      <c r="B351">
        <v>16</v>
      </c>
      <c r="C351" t="s">
        <v>1</v>
      </c>
      <c r="D351">
        <v>2</v>
      </c>
      <c r="E351">
        <v>25908</v>
      </c>
      <c r="F351">
        <v>278</v>
      </c>
      <c r="G351" s="1">
        <f t="shared" si="5"/>
        <v>1.0730276362513509E-2</v>
      </c>
    </row>
    <row r="352" spans="1:7">
      <c r="A352" t="s">
        <v>113</v>
      </c>
      <c r="B352">
        <v>16</v>
      </c>
      <c r="C352" t="s">
        <v>142</v>
      </c>
      <c r="D352">
        <v>3</v>
      </c>
      <c r="E352">
        <v>25908</v>
      </c>
      <c r="F352">
        <v>310</v>
      </c>
      <c r="G352" s="1">
        <f t="shared" si="5"/>
        <v>1.196541608769492E-2</v>
      </c>
    </row>
    <row r="353" spans="1:7">
      <c r="A353" t="s">
        <v>113</v>
      </c>
      <c r="B353">
        <v>16</v>
      </c>
      <c r="C353" t="s">
        <v>22</v>
      </c>
      <c r="D353">
        <v>4</v>
      </c>
      <c r="E353">
        <v>25908</v>
      </c>
      <c r="F353">
        <v>26041</v>
      </c>
      <c r="G353" s="1">
        <f t="shared" si="5"/>
        <v>1.0051335494827853</v>
      </c>
    </row>
    <row r="354" spans="1:7">
      <c r="A354" t="s">
        <v>113</v>
      </c>
      <c r="B354">
        <v>20</v>
      </c>
      <c r="C354" t="s">
        <v>19</v>
      </c>
      <c r="D354">
        <v>1</v>
      </c>
      <c r="E354">
        <v>2855</v>
      </c>
      <c r="F354">
        <v>1604</v>
      </c>
      <c r="G354" s="1">
        <f t="shared" si="5"/>
        <v>0.56182136602451838</v>
      </c>
    </row>
    <row r="355" spans="1:7">
      <c r="A355" t="s">
        <v>113</v>
      </c>
      <c r="B355">
        <v>20</v>
      </c>
      <c r="C355" t="s">
        <v>33</v>
      </c>
      <c r="D355">
        <v>2</v>
      </c>
      <c r="E355">
        <v>2855</v>
      </c>
      <c r="F355">
        <v>1657</v>
      </c>
      <c r="G355" s="1">
        <f t="shared" si="5"/>
        <v>0.58038528896672503</v>
      </c>
    </row>
    <row r="356" spans="1:7">
      <c r="A356" t="s">
        <v>113</v>
      </c>
      <c r="B356">
        <v>21</v>
      </c>
      <c r="C356" t="s">
        <v>33</v>
      </c>
      <c r="D356">
        <v>1</v>
      </c>
      <c r="E356">
        <v>11603</v>
      </c>
      <c r="F356">
        <v>5897</v>
      </c>
      <c r="G356" s="1">
        <f t="shared" si="5"/>
        <v>0.50823063000948032</v>
      </c>
    </row>
    <row r="357" spans="1:7">
      <c r="A357" t="s">
        <v>113</v>
      </c>
      <c r="B357">
        <v>21</v>
      </c>
      <c r="C357" t="s">
        <v>19</v>
      </c>
      <c r="D357">
        <v>2</v>
      </c>
      <c r="E357">
        <v>11603</v>
      </c>
      <c r="F357">
        <v>5922</v>
      </c>
      <c r="G357" s="1">
        <f t="shared" si="5"/>
        <v>0.51038524519520811</v>
      </c>
    </row>
    <row r="358" spans="1:7">
      <c r="A358" t="s">
        <v>145</v>
      </c>
      <c r="B358">
        <v>0</v>
      </c>
      <c r="C358" t="s">
        <v>33</v>
      </c>
      <c r="D358">
        <v>1</v>
      </c>
      <c r="E358">
        <v>181</v>
      </c>
      <c r="F358">
        <v>74</v>
      </c>
      <c r="G358" s="1">
        <f t="shared" si="5"/>
        <v>0.40883977900552487</v>
      </c>
    </row>
    <row r="359" spans="1:7">
      <c r="A359" t="s">
        <v>145</v>
      </c>
      <c r="B359">
        <v>0</v>
      </c>
      <c r="C359" t="s">
        <v>147</v>
      </c>
      <c r="D359">
        <v>2</v>
      </c>
      <c r="E359">
        <v>181</v>
      </c>
      <c r="F359">
        <v>137</v>
      </c>
      <c r="G359" s="1">
        <f t="shared" si="5"/>
        <v>0.75690607734806625</v>
      </c>
    </row>
    <row r="360" spans="1:7">
      <c r="A360" t="s">
        <v>145</v>
      </c>
      <c r="B360">
        <v>0</v>
      </c>
      <c r="C360" t="s">
        <v>192</v>
      </c>
      <c r="D360">
        <v>3</v>
      </c>
      <c r="E360">
        <v>181</v>
      </c>
      <c r="F360">
        <v>175</v>
      </c>
      <c r="G360" s="1">
        <f t="shared" si="5"/>
        <v>0.96685082872928174</v>
      </c>
    </row>
    <row r="361" spans="1:7">
      <c r="A361" t="s">
        <v>145</v>
      </c>
      <c r="B361">
        <v>1</v>
      </c>
      <c r="C361" t="s">
        <v>146</v>
      </c>
      <c r="D361">
        <v>1</v>
      </c>
      <c r="E361">
        <v>7737</v>
      </c>
      <c r="F361">
        <v>610</v>
      </c>
      <c r="G361" s="1">
        <f t="shared" si="5"/>
        <v>7.8841928396019126E-2</v>
      </c>
    </row>
    <row r="362" spans="1:7">
      <c r="A362" t="s">
        <v>145</v>
      </c>
      <c r="B362">
        <v>1</v>
      </c>
      <c r="C362" t="s">
        <v>33</v>
      </c>
      <c r="D362">
        <v>2</v>
      </c>
      <c r="E362">
        <v>7737</v>
      </c>
      <c r="F362">
        <v>1534</v>
      </c>
      <c r="G362" s="1">
        <f t="shared" si="5"/>
        <v>0.19826806255654647</v>
      </c>
    </row>
    <row r="363" spans="1:7">
      <c r="A363" t="s">
        <v>145</v>
      </c>
      <c r="B363">
        <v>1</v>
      </c>
      <c r="C363" t="s">
        <v>147</v>
      </c>
      <c r="D363">
        <v>3</v>
      </c>
      <c r="E363">
        <v>7737</v>
      </c>
      <c r="F363">
        <v>2202</v>
      </c>
      <c r="G363" s="1">
        <f t="shared" si="5"/>
        <v>0.28460643660333462</v>
      </c>
    </row>
    <row r="364" spans="1:7">
      <c r="A364" t="s">
        <v>145</v>
      </c>
      <c r="B364">
        <v>1</v>
      </c>
      <c r="C364" t="s">
        <v>148</v>
      </c>
      <c r="D364">
        <v>4</v>
      </c>
      <c r="E364">
        <v>7737</v>
      </c>
      <c r="F364">
        <v>4510</v>
      </c>
      <c r="G364" s="1">
        <f t="shared" si="5"/>
        <v>0.58291327387876435</v>
      </c>
    </row>
    <row r="365" spans="1:7">
      <c r="A365" t="s">
        <v>149</v>
      </c>
      <c r="B365">
        <v>1</v>
      </c>
      <c r="C365" t="s">
        <v>23</v>
      </c>
      <c r="D365">
        <v>1</v>
      </c>
      <c r="E365">
        <v>3111</v>
      </c>
      <c r="F365">
        <v>400</v>
      </c>
      <c r="G365" s="1">
        <f t="shared" si="5"/>
        <v>0.1285760205721633</v>
      </c>
    </row>
    <row r="366" spans="1:7">
      <c r="A366" t="s">
        <v>149</v>
      </c>
      <c r="B366">
        <v>1</v>
      </c>
      <c r="C366" t="s">
        <v>150</v>
      </c>
      <c r="D366">
        <v>2</v>
      </c>
      <c r="E366">
        <v>3111</v>
      </c>
      <c r="F366">
        <v>406</v>
      </c>
      <c r="G366" s="1">
        <f t="shared" si="5"/>
        <v>0.13050466088074575</v>
      </c>
    </row>
    <row r="367" spans="1:7">
      <c r="A367" t="s">
        <v>149</v>
      </c>
      <c r="B367">
        <v>1</v>
      </c>
      <c r="C367" t="s">
        <v>151</v>
      </c>
      <c r="D367">
        <v>3</v>
      </c>
      <c r="E367">
        <v>3111</v>
      </c>
      <c r="F367">
        <v>756</v>
      </c>
      <c r="G367" s="1">
        <f t="shared" si="5"/>
        <v>0.24300867888138863</v>
      </c>
    </row>
    <row r="368" spans="1:7">
      <c r="A368" t="s">
        <v>149</v>
      </c>
      <c r="B368">
        <v>1</v>
      </c>
      <c r="C368" t="s">
        <v>152</v>
      </c>
      <c r="D368">
        <v>4</v>
      </c>
      <c r="E368">
        <v>3111</v>
      </c>
      <c r="F368">
        <v>779</v>
      </c>
      <c r="G368" s="1">
        <f t="shared" si="5"/>
        <v>0.25040180006428803</v>
      </c>
    </row>
    <row r="369" spans="1:7">
      <c r="A369" t="s">
        <v>149</v>
      </c>
      <c r="B369">
        <v>1</v>
      </c>
      <c r="C369" t="s">
        <v>154</v>
      </c>
      <c r="D369">
        <v>5</v>
      </c>
      <c r="E369">
        <v>3111</v>
      </c>
      <c r="F369">
        <v>784</v>
      </c>
      <c r="G369" s="1">
        <f t="shared" si="5"/>
        <v>0.25200900032144002</v>
      </c>
    </row>
    <row r="370" spans="1:7">
      <c r="A370" t="s">
        <v>149</v>
      </c>
      <c r="B370">
        <v>1</v>
      </c>
      <c r="C370" t="s">
        <v>153</v>
      </c>
      <c r="D370">
        <v>6</v>
      </c>
      <c r="E370">
        <v>3111</v>
      </c>
      <c r="F370">
        <v>802</v>
      </c>
      <c r="G370" s="1">
        <f t="shared" si="5"/>
        <v>0.25779492124718739</v>
      </c>
    </row>
    <row r="371" spans="1:7">
      <c r="A371" t="s">
        <v>149</v>
      </c>
      <c r="B371">
        <v>1</v>
      </c>
      <c r="C371" t="s">
        <v>22</v>
      </c>
      <c r="D371">
        <v>7</v>
      </c>
      <c r="E371">
        <v>3111</v>
      </c>
      <c r="F371">
        <v>816</v>
      </c>
      <c r="G371" s="1">
        <f t="shared" si="5"/>
        <v>0.26229508196721313</v>
      </c>
    </row>
    <row r="372" spans="1:7">
      <c r="A372" t="s">
        <v>149</v>
      </c>
      <c r="B372">
        <v>1</v>
      </c>
      <c r="C372" t="s">
        <v>142</v>
      </c>
      <c r="D372">
        <v>8</v>
      </c>
      <c r="E372">
        <v>3111</v>
      </c>
      <c r="F372">
        <v>928</v>
      </c>
      <c r="G372" s="1">
        <f t="shared" si="5"/>
        <v>0.29829636772741885</v>
      </c>
    </row>
    <row r="373" spans="1:7">
      <c r="A373" t="s">
        <v>304</v>
      </c>
      <c r="B373">
        <v>5</v>
      </c>
      <c r="C373" t="s">
        <v>451</v>
      </c>
      <c r="D373">
        <v>1</v>
      </c>
      <c r="E373">
        <v>4558</v>
      </c>
      <c r="F373">
        <v>815</v>
      </c>
      <c r="G373" s="1">
        <f t="shared" si="5"/>
        <v>0.17880649407634927</v>
      </c>
    </row>
    <row r="374" spans="1:7">
      <c r="A374" t="s">
        <v>304</v>
      </c>
      <c r="B374">
        <v>5</v>
      </c>
      <c r="C374" t="s">
        <v>458</v>
      </c>
      <c r="D374">
        <v>2</v>
      </c>
      <c r="E374">
        <v>4558</v>
      </c>
      <c r="F374">
        <v>819</v>
      </c>
      <c r="G374" s="1">
        <f t="shared" si="5"/>
        <v>0.17968407196138658</v>
      </c>
    </row>
    <row r="375" spans="1:7">
      <c r="A375" t="s">
        <v>304</v>
      </c>
      <c r="B375">
        <v>5</v>
      </c>
      <c r="C375" t="s">
        <v>450</v>
      </c>
      <c r="D375">
        <v>3</v>
      </c>
      <c r="E375">
        <v>4558</v>
      </c>
      <c r="F375">
        <v>859</v>
      </c>
      <c r="G375" s="1">
        <f t="shared" si="5"/>
        <v>0.18845985081175953</v>
      </c>
    </row>
    <row r="376" spans="1:7">
      <c r="A376" t="s">
        <v>304</v>
      </c>
      <c r="B376">
        <v>5</v>
      </c>
      <c r="C376" t="s">
        <v>453</v>
      </c>
      <c r="D376">
        <v>4</v>
      </c>
      <c r="E376">
        <v>4558</v>
      </c>
      <c r="F376">
        <v>882</v>
      </c>
      <c r="G376" s="1">
        <f t="shared" si="5"/>
        <v>0.193505923650724</v>
      </c>
    </row>
    <row r="377" spans="1:7">
      <c r="A377" t="s">
        <v>304</v>
      </c>
      <c r="B377">
        <v>5</v>
      </c>
      <c r="C377" t="s">
        <v>455</v>
      </c>
      <c r="D377">
        <v>5</v>
      </c>
      <c r="E377">
        <v>4558</v>
      </c>
      <c r="F377">
        <v>920</v>
      </c>
      <c r="G377" s="1">
        <f t="shared" si="5"/>
        <v>0.20184291355857834</v>
      </c>
    </row>
    <row r="378" spans="1:7">
      <c r="A378" t="s">
        <v>304</v>
      </c>
      <c r="B378">
        <v>5</v>
      </c>
      <c r="C378" t="s">
        <v>456</v>
      </c>
      <c r="D378">
        <v>6</v>
      </c>
      <c r="E378">
        <v>4558</v>
      </c>
      <c r="F378">
        <v>940</v>
      </c>
      <c r="G378" s="1">
        <f t="shared" si="5"/>
        <v>0.20623080298376481</v>
      </c>
    </row>
    <row r="379" spans="1:7">
      <c r="A379" t="s">
        <v>304</v>
      </c>
      <c r="B379">
        <v>5</v>
      </c>
      <c r="C379" t="s">
        <v>192</v>
      </c>
      <c r="D379">
        <v>7</v>
      </c>
      <c r="E379">
        <v>4558</v>
      </c>
      <c r="F379">
        <v>965</v>
      </c>
      <c r="G379" s="1">
        <f t="shared" si="5"/>
        <v>0.21171566476524792</v>
      </c>
    </row>
    <row r="380" spans="1:7">
      <c r="A380" t="s">
        <v>304</v>
      </c>
      <c r="B380">
        <v>5</v>
      </c>
      <c r="C380" t="s">
        <v>457</v>
      </c>
      <c r="D380">
        <v>8</v>
      </c>
      <c r="E380">
        <v>4558</v>
      </c>
      <c r="F380">
        <v>971</v>
      </c>
      <c r="G380" s="1">
        <f t="shared" si="5"/>
        <v>0.21303203159280387</v>
      </c>
    </row>
    <row r="381" spans="1:7">
      <c r="A381" t="s">
        <v>304</v>
      </c>
      <c r="B381">
        <v>5</v>
      </c>
      <c r="C381" t="s">
        <v>5</v>
      </c>
      <c r="D381">
        <v>9</v>
      </c>
      <c r="E381">
        <v>4558</v>
      </c>
      <c r="F381">
        <v>1006</v>
      </c>
      <c r="G381" s="1">
        <f t="shared" si="5"/>
        <v>0.22071083808688022</v>
      </c>
    </row>
    <row r="382" spans="1:7">
      <c r="A382" t="s">
        <v>304</v>
      </c>
      <c r="B382">
        <v>5</v>
      </c>
      <c r="C382" t="s">
        <v>452</v>
      </c>
      <c r="D382">
        <v>10</v>
      </c>
      <c r="E382">
        <v>4558</v>
      </c>
      <c r="F382">
        <v>1019</v>
      </c>
      <c r="G382" s="1">
        <f t="shared" si="5"/>
        <v>0.22356296621325142</v>
      </c>
    </row>
    <row r="383" spans="1:7">
      <c r="A383" t="s">
        <v>304</v>
      </c>
      <c r="B383">
        <v>5</v>
      </c>
      <c r="C383" t="s">
        <v>449</v>
      </c>
      <c r="D383">
        <v>11</v>
      </c>
      <c r="E383">
        <v>4558</v>
      </c>
      <c r="F383">
        <v>1070</v>
      </c>
      <c r="G383" s="1">
        <f t="shared" si="5"/>
        <v>0.23475208424747696</v>
      </c>
    </row>
    <row r="384" spans="1:7">
      <c r="A384" t="s">
        <v>304</v>
      </c>
      <c r="B384">
        <v>5</v>
      </c>
      <c r="C384" t="s">
        <v>22</v>
      </c>
      <c r="D384">
        <v>12</v>
      </c>
      <c r="E384">
        <v>4558</v>
      </c>
      <c r="F384">
        <v>1089</v>
      </c>
      <c r="G384" s="1">
        <f t="shared" si="5"/>
        <v>0.23892057920140414</v>
      </c>
    </row>
    <row r="385" spans="1:7">
      <c r="A385" t="s">
        <v>304</v>
      </c>
      <c r="B385">
        <v>5</v>
      </c>
      <c r="C385" t="s">
        <v>462</v>
      </c>
      <c r="D385">
        <v>13</v>
      </c>
      <c r="E385">
        <v>4558</v>
      </c>
      <c r="F385">
        <v>1113</v>
      </c>
      <c r="G385" s="1">
        <f t="shared" si="5"/>
        <v>0.2441860465116279</v>
      </c>
    </row>
    <row r="386" spans="1:7">
      <c r="A386" t="s">
        <v>304</v>
      </c>
      <c r="B386">
        <v>5</v>
      </c>
      <c r="C386" t="s">
        <v>454</v>
      </c>
      <c r="D386">
        <v>14</v>
      </c>
      <c r="E386">
        <v>4558</v>
      </c>
      <c r="F386">
        <v>1243</v>
      </c>
      <c r="G386" s="1">
        <f t="shared" ref="G386:G449" si="6">F386/E386</f>
        <v>0.27270732777534007</v>
      </c>
    </row>
    <row r="387" spans="1:7">
      <c r="A387" t="s">
        <v>304</v>
      </c>
      <c r="B387">
        <v>5</v>
      </c>
      <c r="C387" t="s">
        <v>21</v>
      </c>
      <c r="D387">
        <v>15</v>
      </c>
      <c r="E387">
        <v>4558</v>
      </c>
      <c r="F387">
        <v>1295</v>
      </c>
      <c r="G387" s="1">
        <f t="shared" si="6"/>
        <v>0.28411584028082493</v>
      </c>
    </row>
    <row r="388" spans="1:7">
      <c r="A388" t="s">
        <v>304</v>
      </c>
      <c r="B388">
        <v>5</v>
      </c>
      <c r="C388" t="s">
        <v>459</v>
      </c>
      <c r="D388">
        <v>16</v>
      </c>
      <c r="E388">
        <v>4558</v>
      </c>
      <c r="F388">
        <v>1381</v>
      </c>
      <c r="G388" s="1">
        <f t="shared" si="6"/>
        <v>0.30298376480912681</v>
      </c>
    </row>
    <row r="389" spans="1:7">
      <c r="A389" t="s">
        <v>304</v>
      </c>
      <c r="B389">
        <v>5</v>
      </c>
      <c r="C389" t="s">
        <v>460</v>
      </c>
      <c r="D389">
        <v>17</v>
      </c>
      <c r="E389">
        <v>4558</v>
      </c>
      <c r="F389">
        <v>1600</v>
      </c>
      <c r="G389" s="1">
        <f t="shared" si="6"/>
        <v>0.3510311540149188</v>
      </c>
    </row>
    <row r="390" spans="1:7">
      <c r="A390" t="s">
        <v>304</v>
      </c>
      <c r="B390">
        <v>5</v>
      </c>
      <c r="C390" t="s">
        <v>461</v>
      </c>
      <c r="D390">
        <v>18</v>
      </c>
      <c r="E390">
        <v>4558</v>
      </c>
      <c r="F390">
        <v>1971</v>
      </c>
      <c r="G390" s="1">
        <f t="shared" si="6"/>
        <v>0.43242650285212814</v>
      </c>
    </row>
    <row r="391" spans="1:7">
      <c r="A391" t="s">
        <v>304</v>
      </c>
      <c r="B391">
        <v>6</v>
      </c>
      <c r="C391" t="s">
        <v>463</v>
      </c>
      <c r="D391">
        <v>1</v>
      </c>
      <c r="E391">
        <v>40843</v>
      </c>
      <c r="F391">
        <v>26930</v>
      </c>
      <c r="G391" s="1">
        <f t="shared" si="6"/>
        <v>0.65935411208775063</v>
      </c>
    </row>
    <row r="392" spans="1:7">
      <c r="A392" t="s">
        <v>304</v>
      </c>
      <c r="B392">
        <v>6</v>
      </c>
      <c r="C392" t="s">
        <v>464</v>
      </c>
      <c r="D392">
        <v>2</v>
      </c>
      <c r="E392">
        <v>40843</v>
      </c>
      <c r="F392">
        <v>27094</v>
      </c>
      <c r="G392" s="1">
        <f t="shared" si="6"/>
        <v>0.66336948803956619</v>
      </c>
    </row>
    <row r="393" spans="1:7">
      <c r="A393" t="s">
        <v>304</v>
      </c>
      <c r="B393">
        <v>6</v>
      </c>
      <c r="C393" t="s">
        <v>465</v>
      </c>
      <c r="D393">
        <v>3</v>
      </c>
      <c r="E393">
        <v>40843</v>
      </c>
      <c r="F393">
        <v>27105</v>
      </c>
      <c r="G393" s="1">
        <f t="shared" si="6"/>
        <v>0.66363881203633424</v>
      </c>
    </row>
    <row r="394" spans="1:7">
      <c r="A394" t="s">
        <v>304</v>
      </c>
      <c r="B394">
        <v>6</v>
      </c>
      <c r="C394" t="s">
        <v>477</v>
      </c>
      <c r="D394">
        <v>4</v>
      </c>
      <c r="E394">
        <v>40843</v>
      </c>
      <c r="F394">
        <v>27532</v>
      </c>
      <c r="G394" s="1">
        <f t="shared" si="6"/>
        <v>0.6740934799108782</v>
      </c>
    </row>
    <row r="395" spans="1:7">
      <c r="A395" t="s">
        <v>304</v>
      </c>
      <c r="B395">
        <v>6</v>
      </c>
      <c r="C395" t="s">
        <v>466</v>
      </c>
      <c r="D395">
        <v>5</v>
      </c>
      <c r="E395">
        <v>40843</v>
      </c>
      <c r="F395">
        <v>27857</v>
      </c>
      <c r="G395" s="1">
        <f t="shared" si="6"/>
        <v>0.68205077981539064</v>
      </c>
    </row>
    <row r="396" spans="1:7">
      <c r="A396" t="s">
        <v>304</v>
      </c>
      <c r="B396">
        <v>6</v>
      </c>
      <c r="C396" t="s">
        <v>470</v>
      </c>
      <c r="D396">
        <v>6</v>
      </c>
      <c r="E396">
        <v>40843</v>
      </c>
      <c r="F396">
        <v>28068</v>
      </c>
      <c r="G396" s="1">
        <f t="shared" si="6"/>
        <v>0.68721690375339717</v>
      </c>
    </row>
    <row r="397" spans="1:7">
      <c r="A397" t="s">
        <v>304</v>
      </c>
      <c r="B397">
        <v>6</v>
      </c>
      <c r="C397" t="s">
        <v>475</v>
      </c>
      <c r="D397">
        <v>7</v>
      </c>
      <c r="E397">
        <v>40843</v>
      </c>
      <c r="F397">
        <v>28154</v>
      </c>
      <c r="G397" s="1">
        <f t="shared" si="6"/>
        <v>0.68932252772812963</v>
      </c>
    </row>
    <row r="398" spans="1:7">
      <c r="A398" t="s">
        <v>304</v>
      </c>
      <c r="B398">
        <v>6</v>
      </c>
      <c r="C398" t="s">
        <v>469</v>
      </c>
      <c r="D398">
        <v>8</v>
      </c>
      <c r="E398">
        <v>40843</v>
      </c>
      <c r="F398">
        <v>28249</v>
      </c>
      <c r="G398" s="1">
        <f t="shared" si="6"/>
        <v>0.69164850770021791</v>
      </c>
    </row>
    <row r="399" spans="1:7">
      <c r="A399" t="s">
        <v>304</v>
      </c>
      <c r="B399">
        <v>6</v>
      </c>
      <c r="C399" t="s">
        <v>473</v>
      </c>
      <c r="D399">
        <v>9</v>
      </c>
      <c r="E399">
        <v>40843</v>
      </c>
      <c r="F399">
        <v>28432</v>
      </c>
      <c r="G399" s="1">
        <f t="shared" si="6"/>
        <v>0.6961290796464511</v>
      </c>
    </row>
    <row r="400" spans="1:7">
      <c r="A400" t="s">
        <v>304</v>
      </c>
      <c r="B400">
        <v>6</v>
      </c>
      <c r="C400" t="s">
        <v>471</v>
      </c>
      <c r="D400">
        <v>10</v>
      </c>
      <c r="E400">
        <v>40843</v>
      </c>
      <c r="F400">
        <v>29615</v>
      </c>
      <c r="G400" s="1">
        <f t="shared" si="6"/>
        <v>0.72509365129887615</v>
      </c>
    </row>
    <row r="401" spans="1:7">
      <c r="A401" t="s">
        <v>304</v>
      </c>
      <c r="B401">
        <v>6</v>
      </c>
      <c r="C401" t="s">
        <v>474</v>
      </c>
      <c r="D401">
        <v>11</v>
      </c>
      <c r="E401">
        <v>40843</v>
      </c>
      <c r="F401">
        <v>30206</v>
      </c>
      <c r="G401" s="1">
        <f t="shared" si="6"/>
        <v>0.73956369512523568</v>
      </c>
    </row>
    <row r="402" spans="1:7">
      <c r="A402" t="s">
        <v>304</v>
      </c>
      <c r="B402">
        <v>6</v>
      </c>
      <c r="C402" t="s">
        <v>472</v>
      </c>
      <c r="D402">
        <v>12</v>
      </c>
      <c r="E402">
        <v>40843</v>
      </c>
      <c r="F402">
        <v>30587</v>
      </c>
      <c r="G402" s="1">
        <f t="shared" si="6"/>
        <v>0.74889209901329479</v>
      </c>
    </row>
    <row r="403" spans="1:7">
      <c r="A403" t="s">
        <v>304</v>
      </c>
      <c r="B403">
        <v>6</v>
      </c>
      <c r="C403" t="s">
        <v>468</v>
      </c>
      <c r="D403">
        <v>13</v>
      </c>
      <c r="E403">
        <v>40843</v>
      </c>
      <c r="F403">
        <v>32587</v>
      </c>
      <c r="G403" s="1">
        <f t="shared" si="6"/>
        <v>0.79786009842567884</v>
      </c>
    </row>
    <row r="404" spans="1:7">
      <c r="A404" t="s">
        <v>304</v>
      </c>
      <c r="B404">
        <v>6</v>
      </c>
      <c r="C404" t="s">
        <v>467</v>
      </c>
      <c r="D404">
        <v>14</v>
      </c>
      <c r="E404">
        <v>40843</v>
      </c>
      <c r="F404">
        <v>32676</v>
      </c>
      <c r="G404" s="1">
        <f t="shared" si="6"/>
        <v>0.80003917439952987</v>
      </c>
    </row>
    <row r="405" spans="1:7">
      <c r="A405" t="s">
        <v>304</v>
      </c>
      <c r="B405">
        <v>6</v>
      </c>
      <c r="C405" t="s">
        <v>476</v>
      </c>
      <c r="D405">
        <v>15</v>
      </c>
      <c r="E405">
        <v>40843</v>
      </c>
      <c r="F405">
        <v>32930</v>
      </c>
      <c r="G405" s="1">
        <f t="shared" si="6"/>
        <v>0.80625811032490269</v>
      </c>
    </row>
    <row r="406" spans="1:7">
      <c r="A406" t="s">
        <v>155</v>
      </c>
      <c r="B406">
        <v>9</v>
      </c>
      <c r="C406" t="s">
        <v>171</v>
      </c>
      <c r="D406">
        <v>1</v>
      </c>
      <c r="E406">
        <v>770</v>
      </c>
      <c r="F406">
        <v>190</v>
      </c>
      <c r="G406" s="1">
        <f t="shared" si="6"/>
        <v>0.24675324675324675</v>
      </c>
    </row>
    <row r="407" spans="1:7">
      <c r="A407" t="s">
        <v>155</v>
      </c>
      <c r="B407">
        <v>9</v>
      </c>
      <c r="C407" t="s">
        <v>169</v>
      </c>
      <c r="D407">
        <v>2</v>
      </c>
      <c r="E407">
        <v>770</v>
      </c>
      <c r="F407">
        <v>192</v>
      </c>
      <c r="G407" s="1">
        <f t="shared" si="6"/>
        <v>0.24935064935064935</v>
      </c>
    </row>
    <row r="408" spans="1:7">
      <c r="A408" t="s">
        <v>155</v>
      </c>
      <c r="B408">
        <v>9</v>
      </c>
      <c r="C408" t="s">
        <v>156</v>
      </c>
      <c r="D408">
        <v>3</v>
      </c>
      <c r="E408">
        <v>770</v>
      </c>
      <c r="F408">
        <v>203</v>
      </c>
      <c r="G408" s="1">
        <f t="shared" si="6"/>
        <v>0.26363636363636361</v>
      </c>
    </row>
    <row r="409" spans="1:7">
      <c r="A409" t="s">
        <v>155</v>
      </c>
      <c r="B409">
        <v>9</v>
      </c>
      <c r="C409" t="s">
        <v>167</v>
      </c>
      <c r="D409">
        <v>4</v>
      </c>
      <c r="E409">
        <v>770</v>
      </c>
      <c r="F409">
        <v>219</v>
      </c>
      <c r="G409" s="1">
        <f t="shared" si="6"/>
        <v>0.2844155844155844</v>
      </c>
    </row>
    <row r="410" spans="1:7">
      <c r="A410" t="s">
        <v>155</v>
      </c>
      <c r="B410">
        <v>9</v>
      </c>
      <c r="C410" t="s">
        <v>21</v>
      </c>
      <c r="D410">
        <v>5</v>
      </c>
      <c r="E410">
        <v>770</v>
      </c>
      <c r="F410">
        <v>245</v>
      </c>
      <c r="G410" s="1">
        <f t="shared" si="6"/>
        <v>0.31818181818181818</v>
      </c>
    </row>
    <row r="411" spans="1:7">
      <c r="A411" t="s">
        <v>155</v>
      </c>
      <c r="B411">
        <v>9</v>
      </c>
      <c r="C411" t="s">
        <v>161</v>
      </c>
      <c r="D411">
        <v>6</v>
      </c>
      <c r="E411">
        <v>770</v>
      </c>
      <c r="F411">
        <v>247</v>
      </c>
      <c r="G411" s="1">
        <f t="shared" si="6"/>
        <v>0.32077922077922078</v>
      </c>
    </row>
    <row r="412" spans="1:7">
      <c r="A412" t="s">
        <v>155</v>
      </c>
      <c r="B412">
        <v>9</v>
      </c>
      <c r="C412" t="s">
        <v>165</v>
      </c>
      <c r="D412">
        <v>7</v>
      </c>
      <c r="E412">
        <v>770</v>
      </c>
      <c r="F412">
        <v>249</v>
      </c>
      <c r="G412" s="1">
        <f t="shared" si="6"/>
        <v>0.32337662337662337</v>
      </c>
    </row>
    <row r="413" spans="1:7">
      <c r="A413" t="s">
        <v>155</v>
      </c>
      <c r="B413">
        <v>9</v>
      </c>
      <c r="C413" t="s">
        <v>162</v>
      </c>
      <c r="D413">
        <v>8</v>
      </c>
      <c r="E413">
        <v>770</v>
      </c>
      <c r="F413">
        <v>251</v>
      </c>
      <c r="G413" s="1">
        <f t="shared" si="6"/>
        <v>0.32597402597402597</v>
      </c>
    </row>
    <row r="414" spans="1:7">
      <c r="A414" t="s">
        <v>155</v>
      </c>
      <c r="B414">
        <v>9</v>
      </c>
      <c r="C414" t="s">
        <v>160</v>
      </c>
      <c r="D414">
        <v>9</v>
      </c>
      <c r="E414">
        <v>770</v>
      </c>
      <c r="F414">
        <v>303</v>
      </c>
      <c r="G414" s="1">
        <f t="shared" si="6"/>
        <v>0.39350649350649353</v>
      </c>
    </row>
    <row r="415" spans="1:7">
      <c r="A415" t="s">
        <v>155</v>
      </c>
      <c r="B415">
        <v>9</v>
      </c>
      <c r="C415" t="s">
        <v>164</v>
      </c>
      <c r="D415">
        <v>10</v>
      </c>
      <c r="E415">
        <v>770</v>
      </c>
      <c r="F415">
        <v>304</v>
      </c>
      <c r="G415" s="1">
        <f t="shared" si="6"/>
        <v>0.39480519480519483</v>
      </c>
    </row>
    <row r="416" spans="1:7">
      <c r="A416" t="s">
        <v>155</v>
      </c>
      <c r="B416">
        <v>9</v>
      </c>
      <c r="C416" t="s">
        <v>159</v>
      </c>
      <c r="D416">
        <v>11</v>
      </c>
      <c r="E416">
        <v>770</v>
      </c>
      <c r="F416">
        <v>309</v>
      </c>
      <c r="G416" s="1">
        <f t="shared" si="6"/>
        <v>0.40129870129870132</v>
      </c>
    </row>
    <row r="417" spans="1:7">
      <c r="A417" t="s">
        <v>155</v>
      </c>
      <c r="B417">
        <v>9</v>
      </c>
      <c r="C417" t="s">
        <v>158</v>
      </c>
      <c r="D417">
        <v>12</v>
      </c>
      <c r="E417">
        <v>770</v>
      </c>
      <c r="F417">
        <v>353</v>
      </c>
      <c r="G417" s="1">
        <f t="shared" si="6"/>
        <v>0.45844155844155843</v>
      </c>
    </row>
    <row r="418" spans="1:7">
      <c r="A418" t="s">
        <v>155</v>
      </c>
      <c r="B418">
        <v>9</v>
      </c>
      <c r="C418" t="s">
        <v>157</v>
      </c>
      <c r="D418">
        <v>13</v>
      </c>
      <c r="E418">
        <v>770</v>
      </c>
      <c r="F418">
        <v>357</v>
      </c>
      <c r="G418" s="1">
        <f t="shared" si="6"/>
        <v>0.46363636363636362</v>
      </c>
    </row>
    <row r="419" spans="1:7">
      <c r="A419" t="s">
        <v>155</v>
      </c>
      <c r="B419">
        <v>9</v>
      </c>
      <c r="C419" t="s">
        <v>168</v>
      </c>
      <c r="D419">
        <v>14</v>
      </c>
      <c r="E419">
        <v>770</v>
      </c>
      <c r="F419">
        <v>360</v>
      </c>
      <c r="G419" s="1">
        <f t="shared" si="6"/>
        <v>0.46753246753246752</v>
      </c>
    </row>
    <row r="420" spans="1:7">
      <c r="A420" t="s">
        <v>155</v>
      </c>
      <c r="B420">
        <v>9</v>
      </c>
      <c r="C420" t="s">
        <v>166</v>
      </c>
      <c r="D420">
        <v>15</v>
      </c>
      <c r="E420">
        <v>770</v>
      </c>
      <c r="F420">
        <v>479</v>
      </c>
      <c r="G420" s="1">
        <f t="shared" si="6"/>
        <v>0.62207792207792212</v>
      </c>
    </row>
    <row r="421" spans="1:7">
      <c r="A421" t="s">
        <v>155</v>
      </c>
      <c r="B421">
        <v>9</v>
      </c>
      <c r="C421" t="s">
        <v>170</v>
      </c>
      <c r="D421">
        <v>16</v>
      </c>
      <c r="E421">
        <v>770</v>
      </c>
      <c r="F421">
        <v>482</v>
      </c>
      <c r="G421" s="1">
        <f t="shared" si="6"/>
        <v>0.62597402597402596</v>
      </c>
    </row>
    <row r="422" spans="1:7">
      <c r="A422" t="s">
        <v>155</v>
      </c>
      <c r="B422">
        <v>9</v>
      </c>
      <c r="C422" t="s">
        <v>172</v>
      </c>
      <c r="D422">
        <v>17</v>
      </c>
      <c r="E422">
        <v>770</v>
      </c>
      <c r="F422">
        <v>557</v>
      </c>
      <c r="G422" s="1">
        <f t="shared" si="6"/>
        <v>0.72337662337662334</v>
      </c>
    </row>
    <row r="423" spans="1:7">
      <c r="A423" t="s">
        <v>155</v>
      </c>
      <c r="B423">
        <v>9</v>
      </c>
      <c r="C423" t="s">
        <v>163</v>
      </c>
      <c r="D423">
        <v>18</v>
      </c>
      <c r="E423">
        <v>770</v>
      </c>
      <c r="F423">
        <v>558</v>
      </c>
      <c r="G423" s="1">
        <f t="shared" si="6"/>
        <v>0.72467532467532469</v>
      </c>
    </row>
    <row r="424" spans="1:7">
      <c r="A424" t="s">
        <v>155</v>
      </c>
      <c r="B424">
        <v>10</v>
      </c>
      <c r="C424" t="s">
        <v>0</v>
      </c>
      <c r="D424">
        <v>1</v>
      </c>
      <c r="E424">
        <v>900</v>
      </c>
      <c r="F424">
        <v>850</v>
      </c>
      <c r="G424" s="1">
        <f t="shared" si="6"/>
        <v>0.94444444444444442</v>
      </c>
    </row>
    <row r="425" spans="1:7">
      <c r="A425" t="s">
        <v>155</v>
      </c>
      <c r="B425">
        <v>10</v>
      </c>
      <c r="C425" t="s">
        <v>3</v>
      </c>
      <c r="D425">
        <v>2</v>
      </c>
      <c r="E425">
        <v>900</v>
      </c>
      <c r="F425">
        <v>872</v>
      </c>
      <c r="G425" s="1">
        <f t="shared" si="6"/>
        <v>0.96888888888888891</v>
      </c>
    </row>
    <row r="426" spans="1:7">
      <c r="A426" t="s">
        <v>155</v>
      </c>
      <c r="B426">
        <v>10</v>
      </c>
      <c r="C426" t="s">
        <v>1</v>
      </c>
      <c r="D426">
        <v>3</v>
      </c>
      <c r="E426">
        <v>900</v>
      </c>
      <c r="F426">
        <v>880</v>
      </c>
      <c r="G426" s="1">
        <f t="shared" si="6"/>
        <v>0.97777777777777775</v>
      </c>
    </row>
    <row r="427" spans="1:7">
      <c r="A427" t="s">
        <v>155</v>
      </c>
      <c r="B427">
        <v>10</v>
      </c>
      <c r="C427" t="s">
        <v>2</v>
      </c>
      <c r="D427">
        <v>4</v>
      </c>
      <c r="E427">
        <v>900</v>
      </c>
      <c r="F427">
        <v>903</v>
      </c>
      <c r="G427" s="1">
        <f t="shared" si="6"/>
        <v>1.0033333333333334</v>
      </c>
    </row>
    <row r="428" spans="1:7">
      <c r="A428" t="s">
        <v>155</v>
      </c>
      <c r="B428">
        <v>11</v>
      </c>
      <c r="C428" t="s">
        <v>173</v>
      </c>
      <c r="D428">
        <v>1</v>
      </c>
      <c r="E428">
        <v>1589</v>
      </c>
      <c r="F428">
        <v>178</v>
      </c>
      <c r="G428" s="1">
        <f t="shared" si="6"/>
        <v>0.11202013845185652</v>
      </c>
    </row>
    <row r="429" spans="1:7">
      <c r="A429" t="s">
        <v>155</v>
      </c>
      <c r="B429">
        <v>11</v>
      </c>
      <c r="C429" t="s">
        <v>176</v>
      </c>
      <c r="D429">
        <v>2</v>
      </c>
      <c r="E429">
        <v>1589</v>
      </c>
      <c r="F429">
        <v>693</v>
      </c>
      <c r="G429" s="1">
        <f t="shared" si="6"/>
        <v>0.43612334801762115</v>
      </c>
    </row>
    <row r="430" spans="1:7">
      <c r="A430" t="s">
        <v>155</v>
      </c>
      <c r="B430">
        <v>11</v>
      </c>
      <c r="C430" t="s">
        <v>188</v>
      </c>
      <c r="D430">
        <v>3</v>
      </c>
      <c r="E430">
        <v>1589</v>
      </c>
      <c r="F430">
        <v>737</v>
      </c>
      <c r="G430" s="1">
        <f t="shared" si="6"/>
        <v>0.46381371932032722</v>
      </c>
    </row>
    <row r="431" spans="1:7">
      <c r="A431" t="s">
        <v>155</v>
      </c>
      <c r="B431">
        <v>11</v>
      </c>
      <c r="C431" t="s">
        <v>180</v>
      </c>
      <c r="D431">
        <v>4</v>
      </c>
      <c r="E431">
        <v>1589</v>
      </c>
      <c r="F431">
        <v>750</v>
      </c>
      <c r="G431" s="1">
        <f t="shared" si="6"/>
        <v>0.47199496538703589</v>
      </c>
    </row>
    <row r="432" spans="1:7">
      <c r="A432" t="s">
        <v>155</v>
      </c>
      <c r="B432">
        <v>11</v>
      </c>
      <c r="C432" t="s">
        <v>174</v>
      </c>
      <c r="D432">
        <v>5</v>
      </c>
      <c r="E432">
        <v>1589</v>
      </c>
      <c r="F432">
        <v>753</v>
      </c>
      <c r="G432" s="1">
        <f t="shared" si="6"/>
        <v>0.47388294524858404</v>
      </c>
    </row>
    <row r="433" spans="1:7">
      <c r="A433" t="s">
        <v>155</v>
      </c>
      <c r="B433">
        <v>11</v>
      </c>
      <c r="C433" t="s">
        <v>185</v>
      </c>
      <c r="D433">
        <v>6</v>
      </c>
      <c r="E433">
        <v>1589</v>
      </c>
      <c r="F433">
        <v>772</v>
      </c>
      <c r="G433" s="1">
        <f t="shared" si="6"/>
        <v>0.4858401510383889</v>
      </c>
    </row>
    <row r="434" spans="1:7">
      <c r="A434" t="s">
        <v>155</v>
      </c>
      <c r="B434">
        <v>11</v>
      </c>
      <c r="C434" t="s">
        <v>183</v>
      </c>
      <c r="D434">
        <v>7</v>
      </c>
      <c r="E434">
        <v>1589</v>
      </c>
      <c r="F434">
        <v>795</v>
      </c>
      <c r="G434" s="1">
        <f t="shared" si="6"/>
        <v>0.50031466331025798</v>
      </c>
    </row>
    <row r="435" spans="1:7">
      <c r="A435" t="s">
        <v>155</v>
      </c>
      <c r="B435">
        <v>11</v>
      </c>
      <c r="C435" t="s">
        <v>177</v>
      </c>
      <c r="D435">
        <v>8</v>
      </c>
      <c r="E435">
        <v>1589</v>
      </c>
      <c r="F435">
        <v>862</v>
      </c>
      <c r="G435" s="1">
        <f t="shared" si="6"/>
        <v>0.54247954688483324</v>
      </c>
    </row>
    <row r="436" spans="1:7">
      <c r="A436" t="s">
        <v>155</v>
      </c>
      <c r="B436">
        <v>11</v>
      </c>
      <c r="C436" t="s">
        <v>181</v>
      </c>
      <c r="D436">
        <v>9</v>
      </c>
      <c r="E436">
        <v>1589</v>
      </c>
      <c r="F436">
        <v>882</v>
      </c>
      <c r="G436" s="1">
        <f t="shared" si="6"/>
        <v>0.55506607929515417</v>
      </c>
    </row>
    <row r="437" spans="1:7">
      <c r="A437" t="s">
        <v>155</v>
      </c>
      <c r="B437">
        <v>11</v>
      </c>
      <c r="C437" t="s">
        <v>184</v>
      </c>
      <c r="D437">
        <v>10</v>
      </c>
      <c r="E437">
        <v>1589</v>
      </c>
      <c r="F437">
        <v>894</v>
      </c>
      <c r="G437" s="1">
        <f t="shared" si="6"/>
        <v>0.56261799874134677</v>
      </c>
    </row>
    <row r="438" spans="1:7">
      <c r="A438" t="s">
        <v>155</v>
      </c>
      <c r="B438">
        <v>11</v>
      </c>
      <c r="C438" t="s">
        <v>175</v>
      </c>
      <c r="D438">
        <v>11</v>
      </c>
      <c r="E438">
        <v>1589</v>
      </c>
      <c r="F438">
        <v>901</v>
      </c>
      <c r="G438" s="1">
        <f t="shared" si="6"/>
        <v>0.56702328508495914</v>
      </c>
    </row>
    <row r="439" spans="1:7">
      <c r="A439" t="s">
        <v>155</v>
      </c>
      <c r="B439">
        <v>11</v>
      </c>
      <c r="C439" t="s">
        <v>178</v>
      </c>
      <c r="D439">
        <v>12</v>
      </c>
      <c r="E439">
        <v>1589</v>
      </c>
      <c r="F439">
        <v>925</v>
      </c>
      <c r="G439" s="1">
        <f t="shared" si="6"/>
        <v>0.58212712397734423</v>
      </c>
    </row>
    <row r="440" spans="1:7">
      <c r="A440" t="s">
        <v>155</v>
      </c>
      <c r="B440">
        <v>11</v>
      </c>
      <c r="C440" t="s">
        <v>182</v>
      </c>
      <c r="D440">
        <v>13</v>
      </c>
      <c r="E440">
        <v>1589</v>
      </c>
      <c r="F440">
        <v>934</v>
      </c>
      <c r="G440" s="1">
        <f t="shared" si="6"/>
        <v>0.58779106356198862</v>
      </c>
    </row>
    <row r="441" spans="1:7">
      <c r="A441" t="s">
        <v>155</v>
      </c>
      <c r="B441">
        <v>11</v>
      </c>
      <c r="C441" t="s">
        <v>187</v>
      </c>
      <c r="D441">
        <v>14</v>
      </c>
      <c r="E441">
        <v>1589</v>
      </c>
      <c r="F441">
        <v>940</v>
      </c>
      <c r="G441" s="1">
        <f t="shared" si="6"/>
        <v>0.59156702328508493</v>
      </c>
    </row>
    <row r="442" spans="1:7">
      <c r="A442" t="s">
        <v>155</v>
      </c>
      <c r="B442">
        <v>11</v>
      </c>
      <c r="C442" t="s">
        <v>190</v>
      </c>
      <c r="D442">
        <v>15</v>
      </c>
      <c r="E442">
        <v>1589</v>
      </c>
      <c r="F442">
        <v>941</v>
      </c>
      <c r="G442" s="1">
        <f t="shared" si="6"/>
        <v>0.59219634990560099</v>
      </c>
    </row>
    <row r="443" spans="1:7">
      <c r="A443" t="s">
        <v>155</v>
      </c>
      <c r="B443">
        <v>11</v>
      </c>
      <c r="C443" t="s">
        <v>179</v>
      </c>
      <c r="D443">
        <v>16</v>
      </c>
      <c r="E443">
        <v>1589</v>
      </c>
      <c r="F443">
        <v>950</v>
      </c>
      <c r="G443" s="1">
        <f t="shared" si="6"/>
        <v>0.59786028949024539</v>
      </c>
    </row>
    <row r="444" spans="1:7">
      <c r="A444" t="s">
        <v>155</v>
      </c>
      <c r="B444">
        <v>11</v>
      </c>
      <c r="C444" t="s">
        <v>189</v>
      </c>
      <c r="D444">
        <v>17</v>
      </c>
      <c r="E444">
        <v>1589</v>
      </c>
      <c r="F444">
        <v>951</v>
      </c>
      <c r="G444" s="1">
        <f t="shared" si="6"/>
        <v>0.59848961611076146</v>
      </c>
    </row>
    <row r="445" spans="1:7">
      <c r="A445" t="s">
        <v>155</v>
      </c>
      <c r="B445">
        <v>11</v>
      </c>
      <c r="C445" t="s">
        <v>186</v>
      </c>
      <c r="D445">
        <v>18</v>
      </c>
      <c r="E445">
        <v>1589</v>
      </c>
      <c r="F445">
        <v>969</v>
      </c>
      <c r="G445" s="1">
        <f t="shared" si="6"/>
        <v>0.60981749528005036</v>
      </c>
    </row>
    <row r="446" spans="1:7">
      <c r="A446" t="s">
        <v>155</v>
      </c>
      <c r="B446">
        <v>11</v>
      </c>
      <c r="C446" t="s">
        <v>191</v>
      </c>
      <c r="D446">
        <v>19</v>
      </c>
      <c r="E446">
        <v>1589</v>
      </c>
      <c r="F446">
        <v>1004</v>
      </c>
      <c r="G446" s="1">
        <f t="shared" si="6"/>
        <v>0.63184392699811198</v>
      </c>
    </row>
    <row r="447" spans="1:7">
      <c r="A447" t="s">
        <v>155</v>
      </c>
      <c r="B447">
        <v>12</v>
      </c>
      <c r="C447" t="s">
        <v>192</v>
      </c>
      <c r="D447">
        <v>1</v>
      </c>
      <c r="E447">
        <v>936</v>
      </c>
      <c r="F447">
        <v>171</v>
      </c>
      <c r="G447" s="1">
        <f t="shared" si="6"/>
        <v>0.18269230769230768</v>
      </c>
    </row>
    <row r="448" spans="1:7">
      <c r="A448" t="s">
        <v>155</v>
      </c>
      <c r="B448">
        <v>12</v>
      </c>
      <c r="C448" t="s">
        <v>194</v>
      </c>
      <c r="D448">
        <v>2</v>
      </c>
      <c r="E448">
        <v>936</v>
      </c>
      <c r="F448">
        <v>540</v>
      </c>
      <c r="G448" s="1">
        <f t="shared" si="6"/>
        <v>0.57692307692307687</v>
      </c>
    </row>
    <row r="449" spans="1:7">
      <c r="A449" t="s">
        <v>155</v>
      </c>
      <c r="B449">
        <v>12</v>
      </c>
      <c r="C449" t="s">
        <v>197</v>
      </c>
      <c r="D449">
        <v>3</v>
      </c>
      <c r="E449">
        <v>936</v>
      </c>
      <c r="F449">
        <v>547</v>
      </c>
      <c r="G449" s="1">
        <f t="shared" si="6"/>
        <v>0.58440170940170943</v>
      </c>
    </row>
    <row r="450" spans="1:7">
      <c r="A450" t="s">
        <v>155</v>
      </c>
      <c r="B450">
        <v>12</v>
      </c>
      <c r="C450" t="s">
        <v>193</v>
      </c>
      <c r="D450">
        <v>4</v>
      </c>
      <c r="E450">
        <v>936</v>
      </c>
      <c r="F450">
        <v>560</v>
      </c>
      <c r="G450" s="1">
        <f t="shared" ref="G450:G513" si="7">F450/E450</f>
        <v>0.59829059829059827</v>
      </c>
    </row>
    <row r="451" spans="1:7">
      <c r="A451" t="s">
        <v>155</v>
      </c>
      <c r="B451">
        <v>12</v>
      </c>
      <c r="C451" t="s">
        <v>169</v>
      </c>
      <c r="D451">
        <v>5</v>
      </c>
      <c r="E451">
        <v>936</v>
      </c>
      <c r="F451">
        <v>565</v>
      </c>
      <c r="G451" s="1">
        <f t="shared" si="7"/>
        <v>0.6036324786324786</v>
      </c>
    </row>
    <row r="452" spans="1:7">
      <c r="A452" t="s">
        <v>155</v>
      </c>
      <c r="B452">
        <v>12</v>
      </c>
      <c r="C452" t="s">
        <v>196</v>
      </c>
      <c r="D452">
        <v>6</v>
      </c>
      <c r="E452">
        <v>936</v>
      </c>
      <c r="F452">
        <v>592</v>
      </c>
      <c r="G452" s="1">
        <f t="shared" si="7"/>
        <v>0.63247863247863245</v>
      </c>
    </row>
    <row r="453" spans="1:7">
      <c r="A453" t="s">
        <v>155</v>
      </c>
      <c r="B453">
        <v>12</v>
      </c>
      <c r="C453" t="s">
        <v>17</v>
      </c>
      <c r="D453">
        <v>7</v>
      </c>
      <c r="E453">
        <v>936</v>
      </c>
      <c r="F453">
        <v>593</v>
      </c>
      <c r="G453" s="1">
        <f t="shared" si="7"/>
        <v>0.63354700854700852</v>
      </c>
    </row>
    <row r="454" spans="1:7">
      <c r="A454" t="s">
        <v>155</v>
      </c>
      <c r="B454">
        <v>12</v>
      </c>
      <c r="C454" t="s">
        <v>198</v>
      </c>
      <c r="D454">
        <v>8</v>
      </c>
      <c r="E454">
        <v>936</v>
      </c>
      <c r="F454">
        <v>622</v>
      </c>
      <c r="G454" s="1">
        <f t="shared" si="7"/>
        <v>0.6645299145299145</v>
      </c>
    </row>
    <row r="455" spans="1:7">
      <c r="A455" t="s">
        <v>155</v>
      </c>
      <c r="B455">
        <v>12</v>
      </c>
      <c r="C455" t="s">
        <v>195</v>
      </c>
      <c r="D455">
        <v>9</v>
      </c>
      <c r="E455">
        <v>936</v>
      </c>
      <c r="F455">
        <v>660</v>
      </c>
      <c r="G455" s="1">
        <f t="shared" si="7"/>
        <v>0.70512820512820518</v>
      </c>
    </row>
    <row r="456" spans="1:7">
      <c r="A456" t="s">
        <v>155</v>
      </c>
      <c r="B456">
        <v>13</v>
      </c>
      <c r="C456" t="s">
        <v>19</v>
      </c>
      <c r="D456">
        <v>1</v>
      </c>
      <c r="E456">
        <v>173</v>
      </c>
      <c r="F456">
        <v>114</v>
      </c>
      <c r="G456" s="1">
        <f t="shared" si="7"/>
        <v>0.65895953757225434</v>
      </c>
    </row>
    <row r="457" spans="1:7">
      <c r="A457" t="s">
        <v>155</v>
      </c>
      <c r="B457">
        <v>13</v>
      </c>
      <c r="C457" t="s">
        <v>33</v>
      </c>
      <c r="D457">
        <v>2</v>
      </c>
      <c r="E457">
        <v>173</v>
      </c>
      <c r="F457">
        <v>181</v>
      </c>
      <c r="G457" s="1">
        <f t="shared" si="7"/>
        <v>1.046242774566474</v>
      </c>
    </row>
    <row r="458" spans="1:7">
      <c r="A458" t="s">
        <v>199</v>
      </c>
      <c r="B458">
        <v>2</v>
      </c>
      <c r="C458" t="s">
        <v>33</v>
      </c>
      <c r="D458">
        <v>1</v>
      </c>
      <c r="E458">
        <v>1980</v>
      </c>
      <c r="F458">
        <v>6</v>
      </c>
      <c r="G458" s="1">
        <f t="shared" si="7"/>
        <v>3.0303030303030303E-3</v>
      </c>
    </row>
    <row r="459" spans="1:7">
      <c r="A459" t="s">
        <v>199</v>
      </c>
      <c r="B459">
        <v>2</v>
      </c>
      <c r="C459" t="s">
        <v>75</v>
      </c>
      <c r="D459">
        <v>2</v>
      </c>
      <c r="E459">
        <v>1980</v>
      </c>
      <c r="F459">
        <v>569</v>
      </c>
      <c r="G459" s="1">
        <f t="shared" si="7"/>
        <v>0.28737373737373739</v>
      </c>
    </row>
    <row r="460" spans="1:7">
      <c r="A460" t="s">
        <v>199</v>
      </c>
      <c r="B460">
        <v>2</v>
      </c>
      <c r="C460" t="s">
        <v>479</v>
      </c>
      <c r="D460">
        <v>3</v>
      </c>
      <c r="E460">
        <v>1980</v>
      </c>
      <c r="F460">
        <v>579</v>
      </c>
      <c r="G460" s="1">
        <f t="shared" si="7"/>
        <v>0.29242424242424242</v>
      </c>
    </row>
    <row r="461" spans="1:7">
      <c r="A461" t="s">
        <v>199</v>
      </c>
      <c r="B461">
        <v>2</v>
      </c>
      <c r="C461" t="s">
        <v>481</v>
      </c>
      <c r="D461">
        <v>4</v>
      </c>
      <c r="E461">
        <v>1980</v>
      </c>
      <c r="F461">
        <v>837</v>
      </c>
      <c r="G461" s="1">
        <f t="shared" si="7"/>
        <v>0.42272727272727273</v>
      </c>
    </row>
    <row r="462" spans="1:7">
      <c r="A462" t="s">
        <v>199</v>
      </c>
      <c r="B462">
        <v>2</v>
      </c>
      <c r="C462" t="s">
        <v>480</v>
      </c>
      <c r="D462">
        <v>5</v>
      </c>
      <c r="E462">
        <v>1980</v>
      </c>
      <c r="F462">
        <v>846</v>
      </c>
      <c r="G462" s="1">
        <f t="shared" si="7"/>
        <v>0.42727272727272725</v>
      </c>
    </row>
    <row r="463" spans="1:7">
      <c r="A463" t="s">
        <v>199</v>
      </c>
      <c r="B463">
        <v>2</v>
      </c>
      <c r="C463" t="s">
        <v>478</v>
      </c>
      <c r="D463">
        <v>6</v>
      </c>
      <c r="E463">
        <v>1980</v>
      </c>
      <c r="F463">
        <v>1267</v>
      </c>
      <c r="G463" s="1">
        <f t="shared" si="7"/>
        <v>0.63989898989898986</v>
      </c>
    </row>
    <row r="464" spans="1:7">
      <c r="A464" t="s">
        <v>199</v>
      </c>
      <c r="B464">
        <v>2</v>
      </c>
      <c r="C464" t="s">
        <v>482</v>
      </c>
      <c r="D464">
        <v>7</v>
      </c>
      <c r="E464">
        <v>1980</v>
      </c>
      <c r="F464">
        <v>1275</v>
      </c>
      <c r="G464" s="1">
        <f t="shared" si="7"/>
        <v>0.64393939393939392</v>
      </c>
    </row>
    <row r="465" spans="1:7">
      <c r="A465" t="s">
        <v>199</v>
      </c>
      <c r="B465">
        <v>6</v>
      </c>
      <c r="C465" t="s">
        <v>200</v>
      </c>
      <c r="D465">
        <v>1</v>
      </c>
      <c r="E465">
        <v>836</v>
      </c>
      <c r="F465">
        <v>620</v>
      </c>
      <c r="G465" s="1">
        <f t="shared" si="7"/>
        <v>0.74162679425837319</v>
      </c>
    </row>
    <row r="466" spans="1:7">
      <c r="A466" t="s">
        <v>199</v>
      </c>
      <c r="B466">
        <v>6</v>
      </c>
      <c r="C466" t="s">
        <v>37</v>
      </c>
      <c r="D466">
        <v>2</v>
      </c>
      <c r="E466">
        <v>836</v>
      </c>
      <c r="F466">
        <v>622</v>
      </c>
      <c r="G466" s="1">
        <f t="shared" si="7"/>
        <v>0.74401913875598091</v>
      </c>
    </row>
    <row r="467" spans="1:7">
      <c r="A467" t="s">
        <v>199</v>
      </c>
      <c r="B467">
        <v>6</v>
      </c>
      <c r="C467" t="s">
        <v>74</v>
      </c>
      <c r="D467">
        <v>3</v>
      </c>
      <c r="E467">
        <v>836</v>
      </c>
      <c r="F467">
        <v>700</v>
      </c>
      <c r="G467" s="1">
        <f t="shared" si="7"/>
        <v>0.83732057416267947</v>
      </c>
    </row>
    <row r="468" spans="1:7">
      <c r="A468" t="s">
        <v>199</v>
      </c>
      <c r="B468">
        <v>6</v>
      </c>
      <c r="C468" t="s">
        <v>203</v>
      </c>
      <c r="D468">
        <v>4</v>
      </c>
      <c r="E468">
        <v>836</v>
      </c>
      <c r="F468">
        <v>703</v>
      </c>
      <c r="G468" s="1">
        <f t="shared" si="7"/>
        <v>0.84090909090909094</v>
      </c>
    </row>
    <row r="469" spans="1:7">
      <c r="A469" t="s">
        <v>199</v>
      </c>
      <c r="B469">
        <v>6</v>
      </c>
      <c r="C469" t="s">
        <v>201</v>
      </c>
      <c r="D469">
        <v>5</v>
      </c>
      <c r="E469">
        <v>836</v>
      </c>
      <c r="F469">
        <v>704</v>
      </c>
      <c r="G469" s="1">
        <f t="shared" si="7"/>
        <v>0.84210526315789469</v>
      </c>
    </row>
    <row r="470" spans="1:7">
      <c r="A470" t="s">
        <v>199</v>
      </c>
      <c r="B470">
        <v>6</v>
      </c>
      <c r="C470" t="s">
        <v>202</v>
      </c>
      <c r="D470">
        <v>6</v>
      </c>
      <c r="E470">
        <v>836</v>
      </c>
      <c r="F470">
        <v>710</v>
      </c>
      <c r="G470" s="1">
        <f t="shared" si="7"/>
        <v>0.84928229665071775</v>
      </c>
    </row>
    <row r="471" spans="1:7">
      <c r="A471" t="s">
        <v>199</v>
      </c>
      <c r="B471">
        <v>8</v>
      </c>
      <c r="C471" t="s">
        <v>33</v>
      </c>
      <c r="D471">
        <v>1</v>
      </c>
      <c r="E471">
        <v>916</v>
      </c>
      <c r="F471">
        <v>895</v>
      </c>
      <c r="G471" s="1">
        <f t="shared" si="7"/>
        <v>0.97707423580786024</v>
      </c>
    </row>
    <row r="472" spans="1:7">
      <c r="A472" t="s">
        <v>199</v>
      </c>
      <c r="B472">
        <v>8</v>
      </c>
      <c r="C472" t="s">
        <v>19</v>
      </c>
      <c r="D472">
        <v>2</v>
      </c>
      <c r="E472">
        <v>916</v>
      </c>
      <c r="F472">
        <v>932</v>
      </c>
      <c r="G472" s="1">
        <f t="shared" si="7"/>
        <v>1.017467248908297</v>
      </c>
    </row>
    <row r="473" spans="1:7">
      <c r="G473" s="1"/>
    </row>
    <row r="474" spans="1:7">
      <c r="G474" s="1"/>
    </row>
    <row r="475" spans="1:7">
      <c r="G475" s="1"/>
    </row>
    <row r="476" spans="1:7">
      <c r="G476" s="1"/>
    </row>
    <row r="477" spans="1:7">
      <c r="G477" s="1"/>
    </row>
    <row r="478" spans="1:7">
      <c r="G478" s="1"/>
    </row>
    <row r="479" spans="1:7">
      <c r="G479" s="1"/>
    </row>
    <row r="480" spans="1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472"/>
  <sheetViews>
    <sheetView topLeftCell="D1" workbookViewId="0">
      <selection activeCell="P2" sqref="P2:V8"/>
    </sheetView>
  </sheetViews>
  <sheetFormatPr baseColWidth="10" defaultRowHeight="15" x14ac:dyDescent="0"/>
  <cols>
    <col min="1" max="1" width="20" customWidth="1"/>
    <col min="3" max="3" width="17.5" customWidth="1"/>
  </cols>
  <sheetData>
    <row r="1" spans="1:76">
      <c r="A1" t="s">
        <v>204</v>
      </c>
      <c r="B1" t="s">
        <v>205</v>
      </c>
      <c r="C1" t="s">
        <v>214</v>
      </c>
      <c r="D1" t="s">
        <v>207</v>
      </c>
      <c r="E1" t="s">
        <v>212</v>
      </c>
      <c r="F1" s="1" t="s">
        <v>213</v>
      </c>
      <c r="G1" s="1" t="s">
        <v>215</v>
      </c>
      <c r="H1" t="s">
        <v>216</v>
      </c>
      <c r="I1" t="s">
        <v>217</v>
      </c>
      <c r="J1" t="s">
        <v>218</v>
      </c>
      <c r="K1" s="2" t="s">
        <v>219</v>
      </c>
      <c r="L1" s="2" t="s">
        <v>220</v>
      </c>
      <c r="M1" s="2"/>
      <c r="N1" s="2"/>
      <c r="O1" s="2"/>
      <c r="P1" s="2"/>
      <c r="Q1" s="2" t="s">
        <v>221</v>
      </c>
      <c r="R1" s="2"/>
      <c r="S1" s="2"/>
      <c r="T1" s="2"/>
      <c r="U1" s="2"/>
      <c r="W1" t="s">
        <v>222</v>
      </c>
      <c r="X1" t="s">
        <v>214</v>
      </c>
      <c r="Y1" t="s">
        <v>214</v>
      </c>
      <c r="Z1" t="s">
        <v>214</v>
      </c>
      <c r="AA1" t="s">
        <v>214</v>
      </c>
      <c r="AB1" t="s">
        <v>214</v>
      </c>
      <c r="AC1" t="s">
        <v>214</v>
      </c>
      <c r="AD1" t="s">
        <v>214</v>
      </c>
      <c r="AE1" t="s">
        <v>214</v>
      </c>
      <c r="AF1" t="s">
        <v>214</v>
      </c>
      <c r="AG1" t="s">
        <v>214</v>
      </c>
      <c r="AH1" t="s">
        <v>214</v>
      </c>
      <c r="AI1" t="s">
        <v>214</v>
      </c>
      <c r="AJ1" t="s">
        <v>214</v>
      </c>
      <c r="AK1" t="s">
        <v>214</v>
      </c>
      <c r="AL1" t="s">
        <v>214</v>
      </c>
      <c r="AM1" t="s">
        <v>214</v>
      </c>
      <c r="AN1" t="s">
        <v>214</v>
      </c>
      <c r="AO1" t="s">
        <v>214</v>
      </c>
      <c r="AP1" t="s">
        <v>214</v>
      </c>
      <c r="AQ1" t="s">
        <v>214</v>
      </c>
      <c r="AR1" t="s">
        <v>214</v>
      </c>
      <c r="AS1" t="s">
        <v>214</v>
      </c>
      <c r="AT1" t="s">
        <v>214</v>
      </c>
      <c r="AU1" t="s">
        <v>214</v>
      </c>
      <c r="AV1" t="s">
        <v>214</v>
      </c>
      <c r="AW1" t="s">
        <v>214</v>
      </c>
      <c r="AX1" t="s">
        <v>214</v>
      </c>
      <c r="AY1" t="s">
        <v>214</v>
      </c>
      <c r="AZ1" t="s">
        <v>214</v>
      </c>
      <c r="BA1" t="s">
        <v>214</v>
      </c>
      <c r="BB1" t="s">
        <v>214</v>
      </c>
      <c r="BC1" t="s">
        <v>214</v>
      </c>
      <c r="BD1" t="s">
        <v>214</v>
      </c>
      <c r="BE1" t="s">
        <v>214</v>
      </c>
      <c r="BF1" t="s">
        <v>214</v>
      </c>
      <c r="BG1" t="s">
        <v>214</v>
      </c>
      <c r="BH1" t="s">
        <v>214</v>
      </c>
      <c r="BI1" t="s">
        <v>214</v>
      </c>
      <c r="BJ1" t="s">
        <v>214</v>
      </c>
      <c r="BK1" t="s">
        <v>214</v>
      </c>
      <c r="BL1" t="s">
        <v>214</v>
      </c>
      <c r="BM1" t="s">
        <v>214</v>
      </c>
      <c r="BN1" t="s">
        <v>214</v>
      </c>
      <c r="BO1" t="s">
        <v>214</v>
      </c>
      <c r="BP1" t="s">
        <v>214</v>
      </c>
      <c r="BQ1" t="s">
        <v>214</v>
      </c>
      <c r="BR1" t="s">
        <v>214</v>
      </c>
      <c r="BS1" t="s">
        <v>214</v>
      </c>
      <c r="BT1" t="s">
        <v>214</v>
      </c>
      <c r="BU1" t="s">
        <v>214</v>
      </c>
      <c r="BV1" t="s">
        <v>214</v>
      </c>
      <c r="BW1" t="s">
        <v>214</v>
      </c>
      <c r="BX1" t="s">
        <v>214</v>
      </c>
    </row>
    <row r="2" spans="1:76">
      <c r="A2" t="s">
        <v>4</v>
      </c>
      <c r="B2">
        <v>1</v>
      </c>
      <c r="C2" t="str">
        <f>CONCATENATE(A2, "_",B2,"_")</f>
        <v>test.BallonFactory_1_</v>
      </c>
      <c r="D2">
        <v>1</v>
      </c>
      <c r="E2">
        <v>0.98039215686274506</v>
      </c>
      <c r="F2">
        <v>0.97409909909909909</v>
      </c>
      <c r="G2" s="1" t="str">
        <f>IF($F2 &lt;= 0.2,$E2,"")</f>
        <v/>
      </c>
      <c r="H2" s="1" t="str">
        <f>IF(AND($F2 &gt; 0.2,$F2 &lt;= 0.4),$E2,"")</f>
        <v/>
      </c>
      <c r="I2" s="1" t="str">
        <f>IF(AND($F2 &gt; 0.4,$F2 &lt;= 0.6),$E2,"")</f>
        <v/>
      </c>
      <c r="J2" s="1" t="str">
        <f>IF(AND($F2 &gt; 0.6,$F2 &lt;= 0.8),$E2,"")</f>
        <v/>
      </c>
      <c r="K2" s="1">
        <f>IF(AND($F2 &gt; 0.8, $F2 &lt;=1.1),$E2,"")</f>
        <v>0.98039215686274506</v>
      </c>
      <c r="L2" s="1" t="str">
        <f>IF(AND($F2 &gt; 1.1),$E2,"")</f>
        <v/>
      </c>
      <c r="M2" s="1"/>
      <c r="N2" s="1" t="s">
        <v>223</v>
      </c>
      <c r="O2" s="1" t="s">
        <v>224</v>
      </c>
      <c r="P2" s="1" t="s">
        <v>225</v>
      </c>
      <c r="Q2" s="1">
        <v>0</v>
      </c>
      <c r="R2" s="1" t="s">
        <v>226</v>
      </c>
      <c r="S2" s="1" t="s">
        <v>227</v>
      </c>
      <c r="T2" s="1" t="s">
        <v>228</v>
      </c>
      <c r="U2" s="1" t="s">
        <v>229</v>
      </c>
      <c r="V2" t="s">
        <v>230</v>
      </c>
      <c r="W2">
        <f>COUNTA(X2:BX2)</f>
        <v>53</v>
      </c>
      <c r="X2" t="s">
        <v>231</v>
      </c>
      <c r="Y2" t="s">
        <v>232</v>
      </c>
      <c r="Z2" t="s">
        <v>233</v>
      </c>
      <c r="AA2" t="s">
        <v>234</v>
      </c>
      <c r="AB2" t="s">
        <v>235</v>
      </c>
      <c r="AC2" t="s">
        <v>236</v>
      </c>
      <c r="AD2" t="s">
        <v>237</v>
      </c>
      <c r="AE2" t="s">
        <v>238</v>
      </c>
      <c r="AF2" t="s">
        <v>239</v>
      </c>
      <c r="AG2" t="s">
        <v>240</v>
      </c>
      <c r="AH2" t="s">
        <v>241</v>
      </c>
      <c r="AI2" t="s">
        <v>242</v>
      </c>
      <c r="AJ2" t="s">
        <v>243</v>
      </c>
      <c r="AK2" t="s">
        <v>244</v>
      </c>
      <c r="AL2" t="s">
        <v>245</v>
      </c>
      <c r="AM2" t="s">
        <v>246</v>
      </c>
      <c r="AN2" t="s">
        <v>247</v>
      </c>
      <c r="AO2" t="s">
        <v>248</v>
      </c>
      <c r="AP2" t="s">
        <v>249</v>
      </c>
      <c r="AQ2" t="s">
        <v>250</v>
      </c>
      <c r="AR2" t="s">
        <v>251</v>
      </c>
      <c r="AS2" t="s">
        <v>252</v>
      </c>
      <c r="AT2" t="s">
        <v>253</v>
      </c>
      <c r="AU2" t="s">
        <v>254</v>
      </c>
      <c r="AV2" t="s">
        <v>255</v>
      </c>
      <c r="AW2" t="s">
        <v>483</v>
      </c>
      <c r="AX2" t="s">
        <v>256</v>
      </c>
      <c r="AY2" t="s">
        <v>257</v>
      </c>
      <c r="AZ2" t="s">
        <v>258</v>
      </c>
      <c r="BA2" t="s">
        <v>259</v>
      </c>
      <c r="BB2" t="s">
        <v>260</v>
      </c>
      <c r="BC2" t="s">
        <v>261</v>
      </c>
      <c r="BD2" t="s">
        <v>262</v>
      </c>
      <c r="BE2" t="s">
        <v>263</v>
      </c>
      <c r="BF2" t="s">
        <v>264</v>
      </c>
      <c r="BG2" t="s">
        <v>265</v>
      </c>
      <c r="BH2" t="s">
        <v>266</v>
      </c>
      <c r="BI2" t="s">
        <v>267</v>
      </c>
      <c r="BJ2" t="s">
        <v>268</v>
      </c>
      <c r="BK2" t="s">
        <v>269</v>
      </c>
      <c r="BL2" t="s">
        <v>270</v>
      </c>
      <c r="BM2" t="s">
        <v>271</v>
      </c>
      <c r="BN2" t="s">
        <v>272</v>
      </c>
      <c r="BO2" t="s">
        <v>484</v>
      </c>
      <c r="BP2" t="s">
        <v>485</v>
      </c>
      <c r="BQ2" t="s">
        <v>273</v>
      </c>
      <c r="BR2" t="s">
        <v>274</v>
      </c>
      <c r="BS2" t="s">
        <v>275</v>
      </c>
      <c r="BT2" t="s">
        <v>276</v>
      </c>
      <c r="BU2" t="s">
        <v>277</v>
      </c>
      <c r="BV2" t="s">
        <v>278</v>
      </c>
      <c r="BW2" t="s">
        <v>279</v>
      </c>
      <c r="BX2" t="s">
        <v>280</v>
      </c>
    </row>
    <row r="3" spans="1:76">
      <c r="A3" t="s">
        <v>4</v>
      </c>
      <c r="B3">
        <v>1</v>
      </c>
      <c r="C3" t="str">
        <f t="shared" ref="C3:C66" si="0">CONCATENATE(A3, "_",B3,"_")</f>
        <v>test.BallonFactory_1_</v>
      </c>
      <c r="D3">
        <v>2</v>
      </c>
      <c r="E3">
        <v>1</v>
      </c>
      <c r="F3">
        <v>0.98948948948948945</v>
      </c>
      <c r="G3" s="1" t="str">
        <f t="shared" ref="G3:G66" si="1">IF($F3 &lt;= 0.2,$E3,"")</f>
        <v/>
      </c>
      <c r="H3" s="1" t="str">
        <f t="shared" ref="H3:H66" si="2">IF(AND($F3 &gt; 0.2,$F3 &lt;= 0.4),$E3,"")</f>
        <v/>
      </c>
      <c r="I3" s="1" t="str">
        <f t="shared" ref="I3:I66" si="3">IF(AND($F3 &gt; 0.4,$F3 &lt;= 0.6),$E3,"")</f>
        <v/>
      </c>
      <c r="J3" s="1" t="str">
        <f t="shared" ref="J3:J66" si="4">IF(AND($F3 &gt; 0.6,$F3 &lt;= 0.8),$E3,"")</f>
        <v/>
      </c>
      <c r="K3" s="1">
        <f t="shared" ref="K3:K66" si="5">IF(AND($F3 &gt; 0.8, $F3 &lt;=1.1),$E3,"")</f>
        <v>1</v>
      </c>
      <c r="L3" s="1" t="str">
        <f t="shared" ref="L3:L66" si="6">IF(AND($F3 &gt; 1.1),$E3,"")</f>
        <v/>
      </c>
      <c r="M3" s="1"/>
      <c r="N3" s="1">
        <f>SUM(T3:V3)/64</f>
        <v>4.6875E-2</v>
      </c>
      <c r="O3" s="1">
        <f>SUM(Q3:V3)</f>
        <v>53</v>
      </c>
      <c r="P3" t="s">
        <v>215</v>
      </c>
      <c r="Q3" s="3">
        <f>COUNTIF($X3:$BX3,"=0")</f>
        <v>23</v>
      </c>
      <c r="R3" s="3">
        <f t="shared" ref="R3:R8" si="7">COUNTIFS($X3:$BX3,"&gt;0",$X3:$BX3,"&lt;0.25")</f>
        <v>20</v>
      </c>
      <c r="S3" s="3">
        <f t="shared" ref="S3:S8" si="8">COUNTIFS($X3:$BX3,"&gt;=0.25",$X3:$BX3,"&lt;0.5")</f>
        <v>7</v>
      </c>
      <c r="T3" s="3">
        <f t="shared" ref="T3:T8" si="9">COUNTIFS($X3:$BX3,"&gt;=0.5",$X3:$BX3,"&lt;0.75")</f>
        <v>2</v>
      </c>
      <c r="U3" s="3">
        <f t="shared" ref="U3:U8" si="10">COUNTIFS($X3:$BX3,"&gt;=0.75",$X3:$BX3,"&lt;1")</f>
        <v>1</v>
      </c>
      <c r="V3" s="3">
        <f t="shared" ref="V3:V8" si="11">COUNTIF($X3:$BX3,"=1")</f>
        <v>0</v>
      </c>
      <c r="W3" t="s">
        <v>215</v>
      </c>
      <c r="X3">
        <f>DMAX($A$1:$L$472,$W3,X$1:X$2)</f>
        <v>0</v>
      </c>
      <c r="Y3">
        <f t="shared" ref="Y3:BX3" si="12">DMAX($A$1:$L$472,$W3,Y$1:Y$2)</f>
        <v>0</v>
      </c>
      <c r="Z3">
        <f t="shared" si="12"/>
        <v>0.16666666666666666</v>
      </c>
      <c r="AA3">
        <f t="shared" si="12"/>
        <v>0.2391304347826087</v>
      </c>
      <c r="AB3">
        <f t="shared" si="12"/>
        <v>0</v>
      </c>
      <c r="AC3">
        <f t="shared" si="12"/>
        <v>0</v>
      </c>
      <c r="AD3">
        <f t="shared" si="12"/>
        <v>0</v>
      </c>
      <c r="AE3">
        <f t="shared" si="12"/>
        <v>3.825136612021858E-2</v>
      </c>
      <c r="AF3">
        <f t="shared" si="12"/>
        <v>0.38297872340425532</v>
      </c>
      <c r="AG3">
        <f t="shared" si="12"/>
        <v>5.5118110236220472E-2</v>
      </c>
      <c r="AH3">
        <f t="shared" si="12"/>
        <v>0</v>
      </c>
      <c r="AI3">
        <f t="shared" si="12"/>
        <v>0.43349753694581283</v>
      </c>
      <c r="AJ3">
        <f t="shared" si="12"/>
        <v>1.0416666666666666E-2</v>
      </c>
      <c r="AK3">
        <f t="shared" si="12"/>
        <v>1.6949152542372881E-2</v>
      </c>
      <c r="AL3">
        <f t="shared" si="12"/>
        <v>0.26785714285714285</v>
      </c>
      <c r="AM3">
        <f t="shared" si="12"/>
        <v>0</v>
      </c>
      <c r="AN3">
        <f t="shared" si="12"/>
        <v>0</v>
      </c>
      <c r="AO3">
        <f t="shared" si="12"/>
        <v>0</v>
      </c>
      <c r="AP3">
        <f t="shared" si="12"/>
        <v>0.13953488372093023</v>
      </c>
      <c r="AQ3">
        <f t="shared" si="12"/>
        <v>0.11290322580645161</v>
      </c>
      <c r="AR3">
        <f t="shared" si="12"/>
        <v>0.5357142857142857</v>
      </c>
      <c r="AS3">
        <f t="shared" si="12"/>
        <v>0.37209302325581395</v>
      </c>
      <c r="AT3">
        <f t="shared" si="12"/>
        <v>0.21739130434782608</v>
      </c>
      <c r="AU3">
        <f t="shared" si="12"/>
        <v>6.6666666666666666E-2</v>
      </c>
      <c r="AV3">
        <f t="shared" si="12"/>
        <v>0</v>
      </c>
      <c r="AW3">
        <f t="shared" si="12"/>
        <v>0.24583333333333332</v>
      </c>
      <c r="AX3">
        <f t="shared" si="12"/>
        <v>0</v>
      </c>
      <c r="AY3">
        <f t="shared" si="12"/>
        <v>0.18285714285714286</v>
      </c>
      <c r="AZ3">
        <f t="shared" si="12"/>
        <v>0.58088235294117652</v>
      </c>
      <c r="BA3">
        <f t="shared" si="12"/>
        <v>0</v>
      </c>
      <c r="BB3">
        <f t="shared" si="12"/>
        <v>0</v>
      </c>
      <c r="BC3">
        <f t="shared" si="12"/>
        <v>0.19753086419753085</v>
      </c>
      <c r="BD3">
        <f t="shared" si="12"/>
        <v>0.75193798449612403</v>
      </c>
      <c r="BE3">
        <f t="shared" si="12"/>
        <v>0.35849056603773582</v>
      </c>
      <c r="BF3">
        <f t="shared" si="12"/>
        <v>8.1411126187245584E-3</v>
      </c>
      <c r="BG3">
        <f t="shared" si="12"/>
        <v>6.2630480167014616E-3</v>
      </c>
      <c r="BH3">
        <f t="shared" si="12"/>
        <v>1.2605042016806723E-2</v>
      </c>
      <c r="BI3">
        <f t="shared" si="12"/>
        <v>9.8846787479406912E-3</v>
      </c>
      <c r="BJ3">
        <f t="shared" si="12"/>
        <v>0</v>
      </c>
      <c r="BK3">
        <f t="shared" si="12"/>
        <v>0</v>
      </c>
      <c r="BL3">
        <f t="shared" si="12"/>
        <v>0</v>
      </c>
      <c r="BM3">
        <f t="shared" si="12"/>
        <v>0.30088495575221241</v>
      </c>
      <c r="BN3">
        <f t="shared" si="12"/>
        <v>0.22340425531914893</v>
      </c>
      <c r="BO3">
        <f t="shared" si="12"/>
        <v>0.27962085308056872</v>
      </c>
      <c r="BP3">
        <f t="shared" si="12"/>
        <v>0</v>
      </c>
      <c r="BQ3">
        <f t="shared" si="12"/>
        <v>0</v>
      </c>
      <c r="BR3">
        <f t="shared" si="12"/>
        <v>0</v>
      </c>
      <c r="BS3">
        <f t="shared" si="12"/>
        <v>0.10227272727272728</v>
      </c>
      <c r="BT3">
        <f t="shared" si="12"/>
        <v>0.16071428571428573</v>
      </c>
      <c r="BU3">
        <f t="shared" si="12"/>
        <v>0</v>
      </c>
      <c r="BV3">
        <f t="shared" si="12"/>
        <v>0</v>
      </c>
      <c r="BW3">
        <f t="shared" si="12"/>
        <v>0</v>
      </c>
      <c r="BX3">
        <f t="shared" si="12"/>
        <v>0</v>
      </c>
    </row>
    <row r="4" spans="1:76">
      <c r="A4" t="s">
        <v>4</v>
      </c>
      <c r="B4">
        <v>1</v>
      </c>
      <c r="C4" t="str">
        <f t="shared" si="0"/>
        <v>test.BallonFactory_1_</v>
      </c>
      <c r="D4">
        <v>3</v>
      </c>
      <c r="E4">
        <v>1</v>
      </c>
      <c r="F4">
        <v>0.99042792792792789</v>
      </c>
      <c r="G4" s="1" t="str">
        <f t="shared" si="1"/>
        <v/>
      </c>
      <c r="H4" s="1" t="str">
        <f t="shared" si="2"/>
        <v/>
      </c>
      <c r="I4" s="1" t="str">
        <f t="shared" si="3"/>
        <v/>
      </c>
      <c r="J4" s="1" t="str">
        <f t="shared" si="4"/>
        <v/>
      </c>
      <c r="K4" s="1">
        <f t="shared" si="5"/>
        <v>1</v>
      </c>
      <c r="L4" s="1" t="str">
        <f t="shared" si="6"/>
        <v/>
      </c>
      <c r="M4" s="1"/>
      <c r="N4" s="1">
        <f t="shared" ref="N4:N7" si="13">SUM(T4:V4)/64</f>
        <v>0.203125</v>
      </c>
      <c r="O4" s="1">
        <f t="shared" ref="O4:O7" si="14">SUM(Q4:V4)</f>
        <v>53</v>
      </c>
      <c r="P4" t="s">
        <v>216</v>
      </c>
      <c r="Q4" s="3">
        <f t="shared" ref="Q4:Q9" si="15">COUNTIF($X4:$BX4,"=0")</f>
        <v>17</v>
      </c>
      <c r="R4" s="3">
        <f t="shared" si="7"/>
        <v>13</v>
      </c>
      <c r="S4" s="3">
        <f t="shared" si="8"/>
        <v>10</v>
      </c>
      <c r="T4" s="3">
        <f t="shared" si="9"/>
        <v>5</v>
      </c>
      <c r="U4" s="3">
        <f t="shared" si="10"/>
        <v>4</v>
      </c>
      <c r="V4" s="3">
        <f t="shared" si="11"/>
        <v>4</v>
      </c>
      <c r="W4" t="s">
        <v>216</v>
      </c>
      <c r="X4">
        <f>IF(X3&lt;DMAX($A$1:$L$472,$W4,X$1:X$2),DMAX($A$1:$L$472,$W4,X$1:X$2),X3)</f>
        <v>0</v>
      </c>
      <c r="Y4">
        <f t="shared" ref="Y4:BX8" si="16">IF(Y3&lt;DMAX($A$1:$L$472,$W4,Y$1:Y$2),DMAX($A$1:$L$472,$W4,Y$1:Y$2),Y3)</f>
        <v>0</v>
      </c>
      <c r="Z4">
        <f t="shared" si="16"/>
        <v>0.33333333333333331</v>
      </c>
      <c r="AA4">
        <f t="shared" si="16"/>
        <v>1</v>
      </c>
      <c r="AB4">
        <f t="shared" si="16"/>
        <v>0.25806451612903225</v>
      </c>
      <c r="AC4">
        <f t="shared" si="16"/>
        <v>0.25806451612903225</v>
      </c>
      <c r="AD4">
        <f t="shared" si="16"/>
        <v>0</v>
      </c>
      <c r="AE4">
        <f t="shared" si="16"/>
        <v>3.825136612021858E-2</v>
      </c>
      <c r="AF4">
        <f t="shared" si="16"/>
        <v>0.38297872340425532</v>
      </c>
      <c r="AG4">
        <f t="shared" si="16"/>
        <v>5.5118110236220472E-2</v>
      </c>
      <c r="AH4">
        <f t="shared" si="16"/>
        <v>0</v>
      </c>
      <c r="AI4">
        <f t="shared" si="16"/>
        <v>0.62068965517241381</v>
      </c>
      <c r="AJ4">
        <f t="shared" si="16"/>
        <v>1.0416666666666666E-2</v>
      </c>
      <c r="AK4">
        <f t="shared" si="16"/>
        <v>1.6949152542372881E-2</v>
      </c>
      <c r="AL4">
        <f t="shared" si="16"/>
        <v>0.26785714285714285</v>
      </c>
      <c r="AM4">
        <f t="shared" si="16"/>
        <v>0</v>
      </c>
      <c r="AN4">
        <f t="shared" si="16"/>
        <v>0</v>
      </c>
      <c r="AO4">
        <f t="shared" si="16"/>
        <v>0</v>
      </c>
      <c r="AP4">
        <f t="shared" si="16"/>
        <v>0.18604651162790697</v>
      </c>
      <c r="AQ4">
        <f t="shared" si="16"/>
        <v>0.11290322580645161</v>
      </c>
      <c r="AR4">
        <f t="shared" si="16"/>
        <v>0.5357142857142857</v>
      </c>
      <c r="AS4">
        <f t="shared" si="16"/>
        <v>0.37209302325581395</v>
      </c>
      <c r="AT4">
        <f t="shared" si="16"/>
        <v>0.47826086956521741</v>
      </c>
      <c r="AU4">
        <f t="shared" si="16"/>
        <v>0.3</v>
      </c>
      <c r="AV4">
        <f t="shared" si="16"/>
        <v>0</v>
      </c>
      <c r="AW4">
        <f t="shared" si="16"/>
        <v>0.24583333333333332</v>
      </c>
      <c r="AX4">
        <f t="shared" si="16"/>
        <v>0.6875</v>
      </c>
      <c r="AY4">
        <f t="shared" si="16"/>
        <v>0.89142857142857146</v>
      </c>
      <c r="AZ4">
        <f t="shared" si="16"/>
        <v>1</v>
      </c>
      <c r="BA4">
        <f t="shared" si="16"/>
        <v>0</v>
      </c>
      <c r="BB4">
        <f t="shared" si="16"/>
        <v>0.75</v>
      </c>
      <c r="BC4">
        <f t="shared" si="16"/>
        <v>0.87037037037037035</v>
      </c>
      <c r="BD4">
        <f t="shared" si="16"/>
        <v>1</v>
      </c>
      <c r="BE4">
        <f t="shared" si="16"/>
        <v>0.35849056603773582</v>
      </c>
      <c r="BF4">
        <f t="shared" si="16"/>
        <v>8.1411126187245584E-3</v>
      </c>
      <c r="BG4">
        <f t="shared" si="16"/>
        <v>6.2630480167014616E-3</v>
      </c>
      <c r="BH4">
        <f t="shared" si="16"/>
        <v>1.2605042016806723E-2</v>
      </c>
      <c r="BI4">
        <f t="shared" si="16"/>
        <v>9.8846787479406912E-3</v>
      </c>
      <c r="BJ4">
        <f t="shared" si="16"/>
        <v>0</v>
      </c>
      <c r="BK4">
        <f t="shared" si="16"/>
        <v>0</v>
      </c>
      <c r="BL4">
        <f t="shared" si="16"/>
        <v>0</v>
      </c>
      <c r="BM4">
        <f t="shared" si="16"/>
        <v>0.53097345132743368</v>
      </c>
      <c r="BN4">
        <f t="shared" si="16"/>
        <v>1</v>
      </c>
      <c r="BO4">
        <f t="shared" si="16"/>
        <v>0.98104265402843605</v>
      </c>
      <c r="BP4">
        <f t="shared" si="16"/>
        <v>0</v>
      </c>
      <c r="BQ4">
        <f t="shared" si="16"/>
        <v>0.69444444444444442</v>
      </c>
      <c r="BR4">
        <f t="shared" si="16"/>
        <v>0</v>
      </c>
      <c r="BS4">
        <f t="shared" si="16"/>
        <v>0.10227272727272728</v>
      </c>
      <c r="BT4">
        <f t="shared" si="16"/>
        <v>0.16071428571428573</v>
      </c>
      <c r="BU4">
        <f t="shared" si="16"/>
        <v>0</v>
      </c>
      <c r="BV4">
        <f t="shared" si="16"/>
        <v>0.38028169014084506</v>
      </c>
      <c r="BW4">
        <f t="shared" si="16"/>
        <v>0</v>
      </c>
      <c r="BX4">
        <f t="shared" si="16"/>
        <v>0</v>
      </c>
    </row>
    <row r="5" spans="1:76">
      <c r="A5" t="s">
        <v>4</v>
      </c>
      <c r="B5">
        <v>1</v>
      </c>
      <c r="C5" t="str">
        <f t="shared" si="0"/>
        <v>test.BallonFactory_1_</v>
      </c>
      <c r="D5">
        <v>4</v>
      </c>
      <c r="E5">
        <v>1</v>
      </c>
      <c r="F5">
        <v>1.0073198198198199</v>
      </c>
      <c r="G5" s="1" t="str">
        <f t="shared" si="1"/>
        <v/>
      </c>
      <c r="H5" s="1" t="str">
        <f t="shared" si="2"/>
        <v/>
      </c>
      <c r="I5" s="1" t="str">
        <f t="shared" si="3"/>
        <v/>
      </c>
      <c r="J5" s="1" t="str">
        <f t="shared" si="4"/>
        <v/>
      </c>
      <c r="K5" s="1">
        <f t="shared" si="5"/>
        <v>1</v>
      </c>
      <c r="L5" s="1" t="str">
        <f t="shared" si="6"/>
        <v/>
      </c>
      <c r="M5" s="1">
        <f>SUM(R5:V5)/64</f>
        <v>0.625</v>
      </c>
      <c r="N5" s="1">
        <f t="shared" si="13"/>
        <v>0.359375</v>
      </c>
      <c r="O5" s="1">
        <f t="shared" si="14"/>
        <v>53</v>
      </c>
      <c r="P5" t="s">
        <v>217</v>
      </c>
      <c r="Q5" s="3">
        <f t="shared" si="15"/>
        <v>13</v>
      </c>
      <c r="R5" s="3">
        <f t="shared" si="7"/>
        <v>9</v>
      </c>
      <c r="S5" s="3">
        <f t="shared" si="8"/>
        <v>8</v>
      </c>
      <c r="T5" s="3">
        <f t="shared" si="9"/>
        <v>7</v>
      </c>
      <c r="U5" s="3">
        <f t="shared" si="10"/>
        <v>3</v>
      </c>
      <c r="V5" s="3">
        <f t="shared" si="11"/>
        <v>13</v>
      </c>
      <c r="W5" t="s">
        <v>217</v>
      </c>
      <c r="X5">
        <f>IF(X4&lt;DMAX($A$1:$L$472,$W5,X$1:X$2),DMAX($A$1:$L$472,$W5,X$1:X$2),X4)</f>
        <v>0</v>
      </c>
      <c r="Y5">
        <f t="shared" si="16"/>
        <v>0.66666666666666663</v>
      </c>
      <c r="Z5">
        <f t="shared" si="16"/>
        <v>0.33333333333333331</v>
      </c>
      <c r="AA5">
        <f t="shared" si="16"/>
        <v>1</v>
      </c>
      <c r="AB5">
        <f t="shared" si="16"/>
        <v>0.25806451612903225</v>
      </c>
      <c r="AC5">
        <f t="shared" si="16"/>
        <v>0.25806451612903225</v>
      </c>
      <c r="AD5">
        <f t="shared" si="16"/>
        <v>0</v>
      </c>
      <c r="AE5">
        <f t="shared" si="16"/>
        <v>3.825136612021858E-2</v>
      </c>
      <c r="AF5">
        <f t="shared" si="16"/>
        <v>0.38297872340425532</v>
      </c>
      <c r="AG5">
        <f t="shared" si="16"/>
        <v>5.5118110236220472E-2</v>
      </c>
      <c r="AH5">
        <f t="shared" si="16"/>
        <v>0</v>
      </c>
      <c r="AI5">
        <f t="shared" si="16"/>
        <v>0.62068965517241381</v>
      </c>
      <c r="AJ5">
        <f t="shared" si="16"/>
        <v>0.97916666666666663</v>
      </c>
      <c r="AK5">
        <f t="shared" si="16"/>
        <v>0.55084745762711862</v>
      </c>
      <c r="AL5">
        <f t="shared" si="16"/>
        <v>0.26785714285714285</v>
      </c>
      <c r="AM5">
        <f t="shared" si="16"/>
        <v>0</v>
      </c>
      <c r="AN5">
        <f t="shared" si="16"/>
        <v>0</v>
      </c>
      <c r="AO5">
        <f t="shared" si="16"/>
        <v>0</v>
      </c>
      <c r="AP5">
        <f t="shared" si="16"/>
        <v>0.18604651162790697</v>
      </c>
      <c r="AQ5">
        <f t="shared" si="16"/>
        <v>0.11290322580645161</v>
      </c>
      <c r="AR5">
        <f t="shared" si="16"/>
        <v>0.5357142857142857</v>
      </c>
      <c r="AS5">
        <f>IF(AS4&lt;DMAX($A$1:$L$472,$W5,AS$1:AS$2),DMAX($A$1:$L$472,$W5,AS$1:AS$2),AS4)</f>
        <v>0.37209302325581395</v>
      </c>
      <c r="AT5">
        <f t="shared" si="16"/>
        <v>0.47826086956521741</v>
      </c>
      <c r="AU5">
        <f t="shared" si="16"/>
        <v>0.53333333333333333</v>
      </c>
      <c r="AV5">
        <f t="shared" si="16"/>
        <v>0</v>
      </c>
      <c r="AW5">
        <f t="shared" si="16"/>
        <v>0.24583333333333332</v>
      </c>
      <c r="AX5">
        <f t="shared" si="16"/>
        <v>1</v>
      </c>
      <c r="AY5">
        <f t="shared" si="16"/>
        <v>1</v>
      </c>
      <c r="AZ5">
        <f t="shared" si="16"/>
        <v>1</v>
      </c>
      <c r="BA5">
        <f t="shared" si="16"/>
        <v>0</v>
      </c>
      <c r="BB5">
        <f t="shared" si="16"/>
        <v>1</v>
      </c>
      <c r="BC5">
        <f t="shared" si="16"/>
        <v>1</v>
      </c>
      <c r="BD5">
        <f t="shared" si="16"/>
        <v>1</v>
      </c>
      <c r="BE5">
        <f t="shared" si="16"/>
        <v>0.35849056603773582</v>
      </c>
      <c r="BF5">
        <f t="shared" si="16"/>
        <v>8.1411126187245584E-3</v>
      </c>
      <c r="BG5">
        <f t="shared" si="16"/>
        <v>0.58977035490605423</v>
      </c>
      <c r="BH5">
        <f t="shared" si="16"/>
        <v>1.2605042016806723E-2</v>
      </c>
      <c r="BI5">
        <f t="shared" si="16"/>
        <v>9.8846787479406912E-3</v>
      </c>
      <c r="BJ5">
        <f t="shared" si="16"/>
        <v>1</v>
      </c>
      <c r="BK5">
        <f t="shared" si="16"/>
        <v>1</v>
      </c>
      <c r="BL5">
        <f t="shared" si="16"/>
        <v>0.2</v>
      </c>
      <c r="BM5">
        <f t="shared" si="16"/>
        <v>1</v>
      </c>
      <c r="BN5">
        <f t="shared" si="16"/>
        <v>1</v>
      </c>
      <c r="BO5">
        <f t="shared" si="16"/>
        <v>1</v>
      </c>
      <c r="BP5">
        <f t="shared" si="16"/>
        <v>0</v>
      </c>
      <c r="BQ5">
        <f t="shared" si="16"/>
        <v>0.83333333333333337</v>
      </c>
      <c r="BR5">
        <f t="shared" si="16"/>
        <v>0</v>
      </c>
      <c r="BS5">
        <f t="shared" si="16"/>
        <v>1</v>
      </c>
      <c r="BT5">
        <f t="shared" si="16"/>
        <v>0.7857142857142857</v>
      </c>
      <c r="BU5">
        <f t="shared" si="16"/>
        <v>0</v>
      </c>
      <c r="BV5">
        <f t="shared" si="16"/>
        <v>0.71830985915492962</v>
      </c>
      <c r="BW5">
        <f t="shared" si="16"/>
        <v>0</v>
      </c>
      <c r="BX5">
        <f t="shared" si="16"/>
        <v>0</v>
      </c>
    </row>
    <row r="6" spans="1:76">
      <c r="A6" t="s">
        <v>4</v>
      </c>
      <c r="B6">
        <v>1</v>
      </c>
      <c r="C6" t="str">
        <f t="shared" si="0"/>
        <v>test.BallonFactory_1_</v>
      </c>
      <c r="D6">
        <v>1</v>
      </c>
      <c r="E6">
        <v>1</v>
      </c>
      <c r="F6">
        <v>1.0223348348348349</v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" t="str">
        <f t="shared" si="4"/>
        <v/>
      </c>
      <c r="K6" s="1">
        <f t="shared" si="5"/>
        <v>1</v>
      </c>
      <c r="L6" s="1" t="str">
        <f t="shared" si="6"/>
        <v/>
      </c>
      <c r="M6" s="1">
        <f>25/64</f>
        <v>0.390625</v>
      </c>
      <c r="N6" s="1">
        <f>SUM(T6:V6)/64</f>
        <v>0.53125</v>
      </c>
      <c r="O6" s="1">
        <f t="shared" si="14"/>
        <v>53</v>
      </c>
      <c r="P6" t="s">
        <v>218</v>
      </c>
      <c r="Q6" s="3">
        <f t="shared" si="15"/>
        <v>8</v>
      </c>
      <c r="R6" s="3">
        <f t="shared" si="7"/>
        <v>7</v>
      </c>
      <c r="S6" s="3">
        <f t="shared" si="8"/>
        <v>4</v>
      </c>
      <c r="T6" s="3">
        <f t="shared" si="9"/>
        <v>6</v>
      </c>
      <c r="U6" s="3">
        <f t="shared" si="10"/>
        <v>9</v>
      </c>
      <c r="V6" s="3">
        <f t="shared" si="11"/>
        <v>19</v>
      </c>
      <c r="W6" t="s">
        <v>218</v>
      </c>
      <c r="X6">
        <f>IF(X5&lt;DMAX($A$1:$L$472,$W6,X$1:X$2),DMAX($A$1:$L$472,$W6,X$1:X$2),X5)</f>
        <v>0</v>
      </c>
      <c r="Y6">
        <f t="shared" si="16"/>
        <v>0.87878787878787878</v>
      </c>
      <c r="Z6">
        <f t="shared" si="16"/>
        <v>0.72222222222222221</v>
      </c>
      <c r="AA6">
        <f t="shared" si="16"/>
        <v>1</v>
      </c>
      <c r="AB6">
        <f t="shared" si="16"/>
        <v>1</v>
      </c>
      <c r="AC6">
        <f t="shared" si="16"/>
        <v>1</v>
      </c>
      <c r="AD6">
        <f t="shared" si="16"/>
        <v>0</v>
      </c>
      <c r="AE6">
        <f t="shared" si="16"/>
        <v>3.825136612021858E-2</v>
      </c>
      <c r="AF6">
        <f t="shared" si="16"/>
        <v>0.38297872340425532</v>
      </c>
      <c r="AG6">
        <f t="shared" si="16"/>
        <v>5.5118110236220472E-2</v>
      </c>
      <c r="AH6">
        <f t="shared" si="16"/>
        <v>0</v>
      </c>
      <c r="AI6">
        <f t="shared" si="16"/>
        <v>0.80788177339901479</v>
      </c>
      <c r="AJ6">
        <f t="shared" si="16"/>
        <v>0.97916666666666663</v>
      </c>
      <c r="AK6">
        <f t="shared" si="16"/>
        <v>0.73728813559322037</v>
      </c>
      <c r="AL6">
        <f t="shared" si="16"/>
        <v>0.26785714285714285</v>
      </c>
      <c r="AM6">
        <f t="shared" si="16"/>
        <v>0.84638554216867468</v>
      </c>
      <c r="AN6">
        <f t="shared" si="16"/>
        <v>0</v>
      </c>
      <c r="AO6">
        <f t="shared" si="16"/>
        <v>1</v>
      </c>
      <c r="AP6">
        <f t="shared" si="16"/>
        <v>0.18604651162790697</v>
      </c>
      <c r="AQ6">
        <f t="shared" si="16"/>
        <v>0.77419354838709675</v>
      </c>
      <c r="AR6">
        <f t="shared" si="16"/>
        <v>0.5357142857142857</v>
      </c>
      <c r="AS6">
        <f t="shared" si="16"/>
        <v>0.80232558139534882</v>
      </c>
      <c r="AT6">
        <f t="shared" si="16"/>
        <v>0.47826086956521741</v>
      </c>
      <c r="AU6">
        <f t="shared" si="16"/>
        <v>0.9</v>
      </c>
      <c r="AV6">
        <f t="shared" si="16"/>
        <v>0</v>
      </c>
      <c r="AW6">
        <f t="shared" si="16"/>
        <v>0.24583333333333332</v>
      </c>
      <c r="AX6">
        <f t="shared" si="16"/>
        <v>1</v>
      </c>
      <c r="AY6">
        <f t="shared" si="16"/>
        <v>1</v>
      </c>
      <c r="AZ6">
        <f t="shared" si="16"/>
        <v>1</v>
      </c>
      <c r="BA6">
        <f t="shared" si="16"/>
        <v>0</v>
      </c>
      <c r="BB6">
        <f t="shared" si="16"/>
        <v>1</v>
      </c>
      <c r="BC6">
        <f t="shared" si="16"/>
        <v>1</v>
      </c>
      <c r="BD6">
        <f t="shared" si="16"/>
        <v>1</v>
      </c>
      <c r="BE6">
        <f t="shared" si="16"/>
        <v>0.35849056603773582</v>
      </c>
      <c r="BF6">
        <f t="shared" si="16"/>
        <v>8.1411126187245584E-3</v>
      </c>
      <c r="BG6">
        <f t="shared" si="16"/>
        <v>0.58977035490605423</v>
      </c>
      <c r="BH6">
        <f t="shared" si="16"/>
        <v>1.2605042016806723E-2</v>
      </c>
      <c r="BI6">
        <f t="shared" si="16"/>
        <v>9.8846787479406912E-3</v>
      </c>
      <c r="BJ6">
        <f t="shared" si="16"/>
        <v>1</v>
      </c>
      <c r="BK6">
        <f t="shared" si="16"/>
        <v>1</v>
      </c>
      <c r="BL6">
        <f t="shared" si="16"/>
        <v>0.7</v>
      </c>
      <c r="BM6">
        <f t="shared" si="16"/>
        <v>1</v>
      </c>
      <c r="BN6">
        <f t="shared" si="16"/>
        <v>1</v>
      </c>
      <c r="BO6">
        <f t="shared" si="16"/>
        <v>1</v>
      </c>
      <c r="BP6">
        <f t="shared" si="16"/>
        <v>0.92</v>
      </c>
      <c r="BQ6">
        <f t="shared" si="16"/>
        <v>1</v>
      </c>
      <c r="BR6">
        <f t="shared" si="16"/>
        <v>0</v>
      </c>
      <c r="BS6">
        <f t="shared" si="16"/>
        <v>1</v>
      </c>
      <c r="BT6">
        <f t="shared" si="16"/>
        <v>1</v>
      </c>
      <c r="BU6">
        <f t="shared" si="16"/>
        <v>0.5714285714285714</v>
      </c>
      <c r="BV6">
        <f t="shared" si="16"/>
        <v>1</v>
      </c>
      <c r="BW6">
        <f t="shared" si="16"/>
        <v>0.77419354838709675</v>
      </c>
      <c r="BX6">
        <f t="shared" si="16"/>
        <v>0</v>
      </c>
    </row>
    <row r="7" spans="1:76">
      <c r="A7" t="s">
        <v>4</v>
      </c>
      <c r="B7">
        <v>1</v>
      </c>
      <c r="C7" t="str">
        <f t="shared" si="0"/>
        <v>test.BallonFactory_1_</v>
      </c>
      <c r="D7">
        <v>2</v>
      </c>
      <c r="E7">
        <v>1</v>
      </c>
      <c r="F7">
        <v>1.0435435435435436</v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" t="str">
        <f t="shared" si="4"/>
        <v/>
      </c>
      <c r="K7" s="1">
        <f t="shared" si="5"/>
        <v>1</v>
      </c>
      <c r="L7" s="1" t="str">
        <f t="shared" si="6"/>
        <v/>
      </c>
      <c r="M7" s="1"/>
      <c r="N7" s="1">
        <f t="shared" si="13"/>
        <v>0.828125</v>
      </c>
      <c r="O7" s="1">
        <f>SUM(Q7:V7)</f>
        <v>53</v>
      </c>
      <c r="P7" s="2" t="s">
        <v>219</v>
      </c>
      <c r="Q7" s="3">
        <f t="shared" si="15"/>
        <v>0</v>
      </c>
      <c r="R7" s="3">
        <f t="shared" si="7"/>
        <v>0</v>
      </c>
      <c r="S7" s="3">
        <f t="shared" si="8"/>
        <v>0</v>
      </c>
      <c r="T7" s="3">
        <f t="shared" si="9"/>
        <v>0</v>
      </c>
      <c r="U7" s="3">
        <f t="shared" si="10"/>
        <v>2</v>
      </c>
      <c r="V7" s="3">
        <f>COUNTIF($X7:$BX7,"=1")</f>
        <v>51</v>
      </c>
      <c r="W7" s="2" t="s">
        <v>219</v>
      </c>
      <c r="X7">
        <f>IF(X6&lt;DMAX($A$1:$L$472,$W7,X$1:X$2),DMAX($A$1:$L$472,$W7,X$1:X$2),X6)</f>
        <v>1</v>
      </c>
      <c r="Y7">
        <f t="shared" si="16"/>
        <v>1</v>
      </c>
      <c r="Z7">
        <f t="shared" si="16"/>
        <v>1</v>
      </c>
      <c r="AA7">
        <f t="shared" si="16"/>
        <v>1</v>
      </c>
      <c r="AB7">
        <f t="shared" si="16"/>
        <v>1</v>
      </c>
      <c r="AC7">
        <f t="shared" si="16"/>
        <v>1</v>
      </c>
      <c r="AD7">
        <f t="shared" si="16"/>
        <v>1</v>
      </c>
      <c r="AE7">
        <f t="shared" si="16"/>
        <v>1</v>
      </c>
      <c r="AF7">
        <f t="shared" si="16"/>
        <v>1</v>
      </c>
      <c r="AG7">
        <f t="shared" si="16"/>
        <v>1</v>
      </c>
      <c r="AH7">
        <f t="shared" si="16"/>
        <v>1</v>
      </c>
      <c r="AI7">
        <f t="shared" si="16"/>
        <v>1</v>
      </c>
      <c r="AJ7">
        <f t="shared" si="16"/>
        <v>1</v>
      </c>
      <c r="AK7">
        <f t="shared" si="16"/>
        <v>1</v>
      </c>
      <c r="AL7">
        <f t="shared" si="16"/>
        <v>1</v>
      </c>
      <c r="AM7">
        <f t="shared" si="16"/>
        <v>1</v>
      </c>
      <c r="AN7">
        <f t="shared" si="16"/>
        <v>1</v>
      </c>
      <c r="AO7">
        <f t="shared" si="16"/>
        <v>1</v>
      </c>
      <c r="AP7">
        <f t="shared" si="16"/>
        <v>1</v>
      </c>
      <c r="AQ7">
        <f t="shared" si="16"/>
        <v>0.77419354838709675</v>
      </c>
      <c r="AR7">
        <f t="shared" si="16"/>
        <v>1</v>
      </c>
      <c r="AS7">
        <f t="shared" si="16"/>
        <v>1</v>
      </c>
      <c r="AT7">
        <f t="shared" si="16"/>
        <v>1</v>
      </c>
      <c r="AU7">
        <f t="shared" si="16"/>
        <v>1</v>
      </c>
      <c r="AV7">
        <f t="shared" si="16"/>
        <v>1</v>
      </c>
      <c r="AW7">
        <f t="shared" si="16"/>
        <v>1</v>
      </c>
      <c r="AX7">
        <f t="shared" si="16"/>
        <v>1</v>
      </c>
      <c r="AY7">
        <f t="shared" si="16"/>
        <v>1</v>
      </c>
      <c r="AZ7">
        <f t="shared" si="16"/>
        <v>1</v>
      </c>
      <c r="BA7">
        <f t="shared" si="16"/>
        <v>0.8571428571428571</v>
      </c>
      <c r="BB7">
        <f t="shared" si="16"/>
        <v>1</v>
      </c>
      <c r="BC7">
        <f t="shared" si="16"/>
        <v>1</v>
      </c>
      <c r="BD7">
        <f t="shared" si="16"/>
        <v>1</v>
      </c>
      <c r="BE7">
        <f t="shared" si="16"/>
        <v>1</v>
      </c>
      <c r="BF7">
        <f t="shared" si="16"/>
        <v>1</v>
      </c>
      <c r="BG7">
        <f t="shared" si="16"/>
        <v>1</v>
      </c>
      <c r="BH7">
        <f t="shared" si="16"/>
        <v>1</v>
      </c>
      <c r="BI7">
        <f t="shared" si="16"/>
        <v>1</v>
      </c>
      <c r="BJ7">
        <f t="shared" si="16"/>
        <v>1</v>
      </c>
      <c r="BK7">
        <f t="shared" si="16"/>
        <v>1</v>
      </c>
      <c r="BL7">
        <f t="shared" si="16"/>
        <v>1</v>
      </c>
      <c r="BM7">
        <f t="shared" si="16"/>
        <v>1</v>
      </c>
      <c r="BN7">
        <f t="shared" si="16"/>
        <v>1</v>
      </c>
      <c r="BO7">
        <f t="shared" si="16"/>
        <v>1</v>
      </c>
      <c r="BP7">
        <f t="shared" si="16"/>
        <v>1</v>
      </c>
      <c r="BQ7">
        <f t="shared" si="16"/>
        <v>1</v>
      </c>
      <c r="BR7">
        <f t="shared" si="16"/>
        <v>1</v>
      </c>
      <c r="BS7">
        <f t="shared" si="16"/>
        <v>1</v>
      </c>
      <c r="BT7">
        <f t="shared" si="16"/>
        <v>1</v>
      </c>
      <c r="BU7">
        <f t="shared" si="16"/>
        <v>1</v>
      </c>
      <c r="BV7">
        <f t="shared" si="16"/>
        <v>1</v>
      </c>
      <c r="BW7">
        <f t="shared" si="16"/>
        <v>1</v>
      </c>
      <c r="BX7">
        <f t="shared" si="16"/>
        <v>1</v>
      </c>
    </row>
    <row r="8" spans="1:76">
      <c r="A8" t="s">
        <v>4</v>
      </c>
      <c r="B8">
        <v>1</v>
      </c>
      <c r="C8" t="str">
        <f t="shared" si="0"/>
        <v>test.BallonFactory_1_</v>
      </c>
      <c r="D8">
        <v>3</v>
      </c>
      <c r="E8">
        <v>1</v>
      </c>
      <c r="F8">
        <v>1.0887762762762763</v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" t="str">
        <f t="shared" si="4"/>
        <v/>
      </c>
      <c r="K8" s="1">
        <f t="shared" si="5"/>
        <v>1</v>
      </c>
      <c r="L8" s="1" t="str">
        <f t="shared" si="6"/>
        <v/>
      </c>
      <c r="M8" s="1"/>
      <c r="N8" s="1">
        <f>SUM(T8:V8)/64</f>
        <v>0.828125</v>
      </c>
      <c r="O8" s="1">
        <f>SUM(Q8:V8)</f>
        <v>53</v>
      </c>
      <c r="P8" s="1" t="s">
        <v>220</v>
      </c>
      <c r="Q8" s="3">
        <f t="shared" si="15"/>
        <v>0</v>
      </c>
      <c r="R8" s="3">
        <f t="shared" si="7"/>
        <v>0</v>
      </c>
      <c r="S8" s="3">
        <f t="shared" si="8"/>
        <v>0</v>
      </c>
      <c r="T8" s="3">
        <f t="shared" si="9"/>
        <v>0</v>
      </c>
      <c r="U8" s="3">
        <f t="shared" si="10"/>
        <v>0</v>
      </c>
      <c r="V8" s="3">
        <f t="shared" si="11"/>
        <v>53</v>
      </c>
      <c r="W8" s="2" t="s">
        <v>220</v>
      </c>
      <c r="X8">
        <f>IF(X7&lt;DMAX($A$1:$L$472,$W8,X$1:X$2),DMAX($A$1:$L$472,$W8,X$1:X$2),X7)</f>
        <v>1</v>
      </c>
      <c r="Y8">
        <f t="shared" si="16"/>
        <v>1</v>
      </c>
      <c r="Z8">
        <f t="shared" si="16"/>
        <v>1</v>
      </c>
      <c r="AA8">
        <f t="shared" si="16"/>
        <v>1</v>
      </c>
      <c r="AB8">
        <f t="shared" si="16"/>
        <v>1</v>
      </c>
      <c r="AC8">
        <f t="shared" si="16"/>
        <v>1</v>
      </c>
      <c r="AD8">
        <f t="shared" si="16"/>
        <v>1</v>
      </c>
      <c r="AE8">
        <f t="shared" si="16"/>
        <v>1</v>
      </c>
      <c r="AF8">
        <f t="shared" si="16"/>
        <v>1</v>
      </c>
      <c r="AG8">
        <f t="shared" si="16"/>
        <v>1</v>
      </c>
      <c r="AH8">
        <f t="shared" si="16"/>
        <v>1</v>
      </c>
      <c r="AI8">
        <f t="shared" si="16"/>
        <v>1</v>
      </c>
      <c r="AJ8">
        <f t="shared" si="16"/>
        <v>1</v>
      </c>
      <c r="AK8">
        <f t="shared" si="16"/>
        <v>1</v>
      </c>
      <c r="AL8">
        <f t="shared" si="16"/>
        <v>1</v>
      </c>
      <c r="AM8">
        <f t="shared" si="16"/>
        <v>1</v>
      </c>
      <c r="AN8">
        <f t="shared" si="16"/>
        <v>1</v>
      </c>
      <c r="AO8">
        <f t="shared" si="16"/>
        <v>1</v>
      </c>
      <c r="AP8">
        <f t="shared" si="16"/>
        <v>1</v>
      </c>
      <c r="AQ8">
        <f t="shared" si="16"/>
        <v>1</v>
      </c>
      <c r="AR8">
        <f t="shared" si="16"/>
        <v>1</v>
      </c>
      <c r="AS8">
        <f t="shared" si="16"/>
        <v>1</v>
      </c>
      <c r="AT8">
        <f t="shared" si="16"/>
        <v>1</v>
      </c>
      <c r="AU8">
        <f t="shared" si="16"/>
        <v>1</v>
      </c>
      <c r="AV8">
        <f t="shared" si="16"/>
        <v>1</v>
      </c>
      <c r="AW8">
        <f t="shared" si="16"/>
        <v>1</v>
      </c>
      <c r="AX8">
        <f t="shared" si="16"/>
        <v>1</v>
      </c>
      <c r="AY8">
        <f t="shared" si="16"/>
        <v>1</v>
      </c>
      <c r="AZ8">
        <f t="shared" si="16"/>
        <v>1</v>
      </c>
      <c r="BA8">
        <f t="shared" si="16"/>
        <v>1</v>
      </c>
      <c r="BB8">
        <f t="shared" si="16"/>
        <v>1</v>
      </c>
      <c r="BC8">
        <f t="shared" si="16"/>
        <v>1</v>
      </c>
      <c r="BD8">
        <f t="shared" si="16"/>
        <v>1</v>
      </c>
      <c r="BE8">
        <f t="shared" si="16"/>
        <v>1</v>
      </c>
      <c r="BF8">
        <f t="shared" si="16"/>
        <v>1</v>
      </c>
      <c r="BG8">
        <f t="shared" si="16"/>
        <v>1</v>
      </c>
      <c r="BH8">
        <f t="shared" si="16"/>
        <v>1</v>
      </c>
      <c r="BI8">
        <f t="shared" si="16"/>
        <v>1</v>
      </c>
      <c r="BJ8">
        <f t="shared" si="16"/>
        <v>1</v>
      </c>
      <c r="BK8">
        <f t="shared" si="16"/>
        <v>1</v>
      </c>
      <c r="BL8">
        <f t="shared" si="16"/>
        <v>1</v>
      </c>
      <c r="BM8">
        <f t="shared" si="16"/>
        <v>1</v>
      </c>
      <c r="BN8">
        <f t="shared" si="16"/>
        <v>1</v>
      </c>
      <c r="BO8">
        <f t="shared" si="16"/>
        <v>1</v>
      </c>
      <c r="BP8">
        <f t="shared" si="16"/>
        <v>1</v>
      </c>
      <c r="BQ8">
        <f t="shared" si="16"/>
        <v>1</v>
      </c>
      <c r="BR8">
        <f t="shared" si="16"/>
        <v>1</v>
      </c>
      <c r="BS8">
        <f t="shared" si="16"/>
        <v>1</v>
      </c>
      <c r="BT8">
        <f t="shared" si="16"/>
        <v>1</v>
      </c>
      <c r="BU8">
        <f t="shared" ref="BU8:BY8" si="17">IF(BU7&lt;DMAX($A$1:$L$472,$W8,BU$1:BU$2),DMAX($A$1:$L$472,$W8,BU$1:BU$2),BU7)</f>
        <v>1</v>
      </c>
      <c r="BV8">
        <f t="shared" si="17"/>
        <v>1</v>
      </c>
      <c r="BW8">
        <f t="shared" si="17"/>
        <v>1</v>
      </c>
      <c r="BX8">
        <f t="shared" si="17"/>
        <v>1</v>
      </c>
    </row>
    <row r="9" spans="1:76">
      <c r="A9" t="s">
        <v>4</v>
      </c>
      <c r="B9">
        <v>1</v>
      </c>
      <c r="C9" t="str">
        <f t="shared" si="0"/>
        <v>test.BallonFactory_1_</v>
      </c>
      <c r="D9">
        <v>4</v>
      </c>
      <c r="E9">
        <v>1</v>
      </c>
      <c r="F9">
        <v>1.9237987987987988</v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" t="str">
        <f t="shared" si="4"/>
        <v/>
      </c>
      <c r="K9" s="1" t="str">
        <f t="shared" si="5"/>
        <v/>
      </c>
      <c r="L9" s="1">
        <f t="shared" si="6"/>
        <v>1</v>
      </c>
    </row>
    <row r="10" spans="1:76">
      <c r="A10" t="s">
        <v>4</v>
      </c>
      <c r="B10">
        <v>2</v>
      </c>
      <c r="C10" t="str">
        <f t="shared" si="0"/>
        <v>test.BallonFactory_2_</v>
      </c>
      <c r="D10">
        <v>5</v>
      </c>
      <c r="E10">
        <v>0.39393939393939392</v>
      </c>
      <c r="F10">
        <v>0.44563918757467147</v>
      </c>
      <c r="G10" s="1" t="str">
        <f t="shared" si="1"/>
        <v/>
      </c>
      <c r="H10" s="1" t="str">
        <f t="shared" si="2"/>
        <v/>
      </c>
      <c r="I10" s="1">
        <f t="shared" si="3"/>
        <v>0.39393939393939392</v>
      </c>
      <c r="J10" s="1" t="str">
        <f t="shared" si="4"/>
        <v/>
      </c>
      <c r="K10" s="1" t="str">
        <f t="shared" si="5"/>
        <v/>
      </c>
      <c r="L10" s="1" t="str">
        <f t="shared" si="6"/>
        <v/>
      </c>
    </row>
    <row r="11" spans="1:76">
      <c r="A11" t="s">
        <v>4</v>
      </c>
      <c r="B11">
        <v>2</v>
      </c>
      <c r="C11" t="str">
        <f t="shared" si="0"/>
        <v>test.BallonFactory_2_</v>
      </c>
      <c r="D11">
        <v>6</v>
      </c>
      <c r="E11">
        <v>0.66666666666666663</v>
      </c>
      <c r="F11">
        <v>0.55913978494623651</v>
      </c>
      <c r="G11" s="1" t="str">
        <f t="shared" si="1"/>
        <v/>
      </c>
      <c r="H11" s="1" t="str">
        <f t="shared" si="2"/>
        <v/>
      </c>
      <c r="I11" s="1">
        <f t="shared" si="3"/>
        <v>0.66666666666666663</v>
      </c>
      <c r="J11" s="1" t="str">
        <f t="shared" si="4"/>
        <v/>
      </c>
      <c r="K11" s="1" t="str">
        <f t="shared" si="5"/>
        <v/>
      </c>
      <c r="L11" s="1" t="str">
        <f t="shared" si="6"/>
        <v/>
      </c>
    </row>
    <row r="12" spans="1:76">
      <c r="A12" t="s">
        <v>4</v>
      </c>
      <c r="B12">
        <v>2</v>
      </c>
      <c r="C12" t="str">
        <f t="shared" si="0"/>
        <v>test.BallonFactory_2_</v>
      </c>
      <c r="D12">
        <v>7</v>
      </c>
      <c r="E12">
        <v>0.66666666666666663</v>
      </c>
      <c r="F12">
        <v>0.65949820788530467</v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">
        <f t="shared" si="4"/>
        <v>0.66666666666666663</v>
      </c>
      <c r="K12" s="1" t="str">
        <f t="shared" si="5"/>
        <v/>
      </c>
      <c r="L12" s="1" t="str">
        <f t="shared" si="6"/>
        <v/>
      </c>
    </row>
    <row r="13" spans="1:76">
      <c r="A13" t="s">
        <v>4</v>
      </c>
      <c r="B13">
        <v>2</v>
      </c>
      <c r="C13" t="str">
        <f t="shared" si="0"/>
        <v>test.BallonFactory_2_</v>
      </c>
      <c r="D13">
        <v>8</v>
      </c>
      <c r="E13">
        <v>0.87878787878787878</v>
      </c>
      <c r="F13">
        <v>0.73237753882915169</v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">
        <f t="shared" si="4"/>
        <v>0.87878787878787878</v>
      </c>
      <c r="K13" s="1" t="str">
        <f t="shared" si="5"/>
        <v/>
      </c>
      <c r="L13" s="1" t="str">
        <f t="shared" si="6"/>
        <v/>
      </c>
    </row>
    <row r="14" spans="1:76">
      <c r="A14" t="s">
        <v>4</v>
      </c>
      <c r="B14">
        <v>2</v>
      </c>
      <c r="C14" t="str">
        <f t="shared" si="0"/>
        <v>test.BallonFactory_2_</v>
      </c>
      <c r="D14">
        <v>9</v>
      </c>
      <c r="E14">
        <v>0.87878787878787878</v>
      </c>
      <c r="F14">
        <v>0.73596176821983272</v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">
        <f t="shared" si="4"/>
        <v>0.87878787878787878</v>
      </c>
      <c r="K14" s="1" t="str">
        <f t="shared" si="5"/>
        <v/>
      </c>
      <c r="L14" s="1" t="str">
        <f t="shared" si="6"/>
        <v/>
      </c>
    </row>
    <row r="15" spans="1:76">
      <c r="A15" t="s">
        <v>4</v>
      </c>
      <c r="B15">
        <v>2</v>
      </c>
      <c r="C15" t="str">
        <f t="shared" si="0"/>
        <v>test.BallonFactory_2_</v>
      </c>
      <c r="D15">
        <v>10</v>
      </c>
      <c r="E15">
        <v>0.87878787878787878</v>
      </c>
      <c r="F15">
        <v>0.76702508960573479</v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">
        <f t="shared" si="4"/>
        <v>0.87878787878787878</v>
      </c>
      <c r="K15" s="1" t="str">
        <f t="shared" si="5"/>
        <v/>
      </c>
      <c r="L15" s="1" t="str">
        <f t="shared" si="6"/>
        <v/>
      </c>
    </row>
    <row r="16" spans="1:76">
      <c r="A16" t="s">
        <v>4</v>
      </c>
      <c r="B16">
        <v>2</v>
      </c>
      <c r="C16" t="str">
        <f t="shared" si="0"/>
        <v>test.BallonFactory_2_</v>
      </c>
      <c r="D16">
        <v>11</v>
      </c>
      <c r="E16">
        <v>1</v>
      </c>
      <c r="F16">
        <v>0.83990442054958181</v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" t="str">
        <f t="shared" si="4"/>
        <v/>
      </c>
      <c r="K16" s="1">
        <f t="shared" si="5"/>
        <v>1</v>
      </c>
      <c r="L16" s="1" t="str">
        <f t="shared" si="6"/>
        <v/>
      </c>
    </row>
    <row r="17" spans="1:12">
      <c r="A17" t="s">
        <v>4</v>
      </c>
      <c r="B17">
        <v>2</v>
      </c>
      <c r="C17" t="str">
        <f t="shared" si="0"/>
        <v>test.BallonFactory_2_</v>
      </c>
      <c r="D17">
        <v>12</v>
      </c>
      <c r="E17">
        <v>1</v>
      </c>
      <c r="F17">
        <v>0.85782556750298689</v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" t="str">
        <f t="shared" si="4"/>
        <v/>
      </c>
      <c r="K17" s="1">
        <f t="shared" si="5"/>
        <v>1</v>
      </c>
      <c r="L17" s="1" t="str">
        <f t="shared" si="6"/>
        <v/>
      </c>
    </row>
    <row r="18" spans="1:12">
      <c r="A18" t="s">
        <v>4</v>
      </c>
      <c r="B18">
        <v>2</v>
      </c>
      <c r="C18" t="str">
        <f t="shared" si="0"/>
        <v>test.BallonFactory_2_</v>
      </c>
      <c r="D18">
        <v>13</v>
      </c>
      <c r="E18">
        <v>1</v>
      </c>
      <c r="F18">
        <v>0.85902031063321382</v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" t="str">
        <f t="shared" si="4"/>
        <v/>
      </c>
      <c r="K18" s="1">
        <f t="shared" si="5"/>
        <v>1</v>
      </c>
      <c r="L18" s="1" t="str">
        <f t="shared" si="6"/>
        <v/>
      </c>
    </row>
    <row r="19" spans="1:12">
      <c r="A19" t="s">
        <v>4</v>
      </c>
      <c r="B19">
        <v>2</v>
      </c>
      <c r="C19" t="str">
        <f t="shared" si="0"/>
        <v>test.BallonFactory_2_</v>
      </c>
      <c r="D19">
        <v>14</v>
      </c>
      <c r="E19">
        <v>1</v>
      </c>
      <c r="F19">
        <v>0.86738351254480284</v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" t="str">
        <f t="shared" si="4"/>
        <v/>
      </c>
      <c r="K19" s="1">
        <f t="shared" si="5"/>
        <v>1</v>
      </c>
      <c r="L19" s="1" t="str">
        <f t="shared" si="6"/>
        <v/>
      </c>
    </row>
    <row r="20" spans="1:12">
      <c r="A20" t="s">
        <v>4</v>
      </c>
      <c r="B20">
        <v>2</v>
      </c>
      <c r="C20" t="str">
        <f t="shared" si="0"/>
        <v>test.BallonFactory_2_</v>
      </c>
      <c r="D20">
        <v>15</v>
      </c>
      <c r="E20">
        <v>1</v>
      </c>
      <c r="F20">
        <v>0.88530465949820791</v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" t="str">
        <f t="shared" si="4"/>
        <v/>
      </c>
      <c r="K20" s="1">
        <f t="shared" si="5"/>
        <v>1</v>
      </c>
      <c r="L20" s="1" t="str">
        <f t="shared" si="6"/>
        <v/>
      </c>
    </row>
    <row r="21" spans="1:12">
      <c r="A21" t="s">
        <v>4</v>
      </c>
      <c r="B21">
        <v>2</v>
      </c>
      <c r="C21" t="str">
        <f t="shared" si="0"/>
        <v>test.BallonFactory_2_</v>
      </c>
      <c r="D21">
        <v>1</v>
      </c>
      <c r="E21">
        <v>1</v>
      </c>
      <c r="F21">
        <v>0.89605734767025091</v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" t="str">
        <f t="shared" si="4"/>
        <v/>
      </c>
      <c r="K21" s="1">
        <f t="shared" si="5"/>
        <v>1</v>
      </c>
      <c r="L21" s="1" t="str">
        <f t="shared" si="6"/>
        <v/>
      </c>
    </row>
    <row r="22" spans="1:12">
      <c r="A22" t="s">
        <v>4</v>
      </c>
      <c r="B22">
        <v>2</v>
      </c>
      <c r="C22" t="str">
        <f t="shared" si="0"/>
        <v>test.BallonFactory_2_</v>
      </c>
      <c r="D22">
        <v>2</v>
      </c>
      <c r="E22">
        <v>1</v>
      </c>
      <c r="F22">
        <v>0.90800477897252085</v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" t="str">
        <f t="shared" si="4"/>
        <v/>
      </c>
      <c r="K22" s="1">
        <f t="shared" si="5"/>
        <v>1</v>
      </c>
      <c r="L22" s="1" t="str">
        <f t="shared" si="6"/>
        <v/>
      </c>
    </row>
    <row r="23" spans="1:12">
      <c r="A23" t="s">
        <v>4</v>
      </c>
      <c r="B23">
        <v>2</v>
      </c>
      <c r="C23" t="str">
        <f t="shared" si="0"/>
        <v>test.BallonFactory_2_</v>
      </c>
      <c r="D23">
        <v>3</v>
      </c>
      <c r="E23">
        <v>1</v>
      </c>
      <c r="F23">
        <v>0.95818399044205493</v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" t="str">
        <f t="shared" si="4"/>
        <v/>
      </c>
      <c r="K23" s="1">
        <f t="shared" si="5"/>
        <v>1</v>
      </c>
      <c r="L23" s="1" t="str">
        <f t="shared" si="6"/>
        <v/>
      </c>
    </row>
    <row r="24" spans="1:12">
      <c r="A24" t="s">
        <v>4</v>
      </c>
      <c r="B24">
        <v>2</v>
      </c>
      <c r="C24" t="str">
        <f t="shared" si="0"/>
        <v>test.BallonFactory_2_</v>
      </c>
      <c r="D24">
        <v>4</v>
      </c>
      <c r="E24">
        <v>1</v>
      </c>
      <c r="F24">
        <v>0.97252090800477897</v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" t="str">
        <f t="shared" si="4"/>
        <v/>
      </c>
      <c r="K24" s="1">
        <f t="shared" si="5"/>
        <v>1</v>
      </c>
      <c r="L24" s="1" t="str">
        <f t="shared" si="6"/>
        <v/>
      </c>
    </row>
    <row r="25" spans="1:12">
      <c r="A25" t="s">
        <v>4</v>
      </c>
      <c r="B25">
        <v>6</v>
      </c>
      <c r="C25" t="str">
        <f t="shared" si="0"/>
        <v>test.BallonFactory_6_</v>
      </c>
      <c r="D25">
        <v>5</v>
      </c>
      <c r="E25">
        <v>0.16666666666666666</v>
      </c>
      <c r="F25">
        <v>0.16288659793814433</v>
      </c>
      <c r="G25" s="1">
        <f t="shared" si="1"/>
        <v>0.16666666666666666</v>
      </c>
      <c r="H25" s="1" t="str">
        <f t="shared" si="2"/>
        <v/>
      </c>
      <c r="I25" s="1" t="str">
        <f t="shared" si="3"/>
        <v/>
      </c>
      <c r="J25" s="1" t="str">
        <f t="shared" si="4"/>
        <v/>
      </c>
      <c r="K25" s="1" t="str">
        <f t="shared" si="5"/>
        <v/>
      </c>
      <c r="L25" s="1" t="str">
        <f t="shared" si="6"/>
        <v/>
      </c>
    </row>
    <row r="26" spans="1:12">
      <c r="A26" t="s">
        <v>4</v>
      </c>
      <c r="B26">
        <v>6</v>
      </c>
      <c r="C26" t="str">
        <f t="shared" si="0"/>
        <v>test.BallonFactory_6_</v>
      </c>
      <c r="D26">
        <v>1</v>
      </c>
      <c r="E26">
        <v>0.33333333333333331</v>
      </c>
      <c r="F26">
        <v>0.30515463917525776</v>
      </c>
      <c r="G26" s="1" t="str">
        <f t="shared" si="1"/>
        <v/>
      </c>
      <c r="H26" s="1">
        <f t="shared" si="2"/>
        <v>0.33333333333333331</v>
      </c>
      <c r="I26" s="1" t="str">
        <f t="shared" si="3"/>
        <v/>
      </c>
      <c r="J26" s="1" t="str">
        <f t="shared" si="4"/>
        <v/>
      </c>
      <c r="K26" s="1" t="str">
        <f t="shared" si="5"/>
        <v/>
      </c>
      <c r="L26" s="1" t="str">
        <f t="shared" si="6"/>
        <v/>
      </c>
    </row>
    <row r="27" spans="1:12">
      <c r="A27" t="s">
        <v>4</v>
      </c>
      <c r="B27">
        <v>6</v>
      </c>
      <c r="C27" t="str">
        <f t="shared" si="0"/>
        <v>test.BallonFactory_6_</v>
      </c>
      <c r="D27">
        <v>2</v>
      </c>
      <c r="E27">
        <v>0.72222222222222221</v>
      </c>
      <c r="F27">
        <v>0.69690721649484533</v>
      </c>
      <c r="G27" s="1" t="str">
        <f t="shared" si="1"/>
        <v/>
      </c>
      <c r="H27" s="1" t="str">
        <f t="shared" si="2"/>
        <v/>
      </c>
      <c r="I27" s="1" t="str">
        <f t="shared" si="3"/>
        <v/>
      </c>
      <c r="J27" s="1">
        <f t="shared" si="4"/>
        <v>0.72222222222222221</v>
      </c>
      <c r="K27" s="1" t="str">
        <f t="shared" si="5"/>
        <v/>
      </c>
      <c r="L27" s="1" t="str">
        <f t="shared" si="6"/>
        <v/>
      </c>
    </row>
    <row r="28" spans="1:12">
      <c r="A28" t="s">
        <v>4</v>
      </c>
      <c r="B28">
        <v>6</v>
      </c>
      <c r="C28" t="str">
        <f t="shared" si="0"/>
        <v>test.BallonFactory_6_</v>
      </c>
      <c r="D28">
        <v>3</v>
      </c>
      <c r="E28">
        <v>1</v>
      </c>
      <c r="F28">
        <v>0.96288659793814435</v>
      </c>
      <c r="G28" s="1" t="str">
        <f t="shared" si="1"/>
        <v/>
      </c>
      <c r="H28" s="1" t="str">
        <f t="shared" si="2"/>
        <v/>
      </c>
      <c r="I28" s="1" t="str">
        <f t="shared" si="3"/>
        <v/>
      </c>
      <c r="J28" s="1" t="str">
        <f t="shared" si="4"/>
        <v/>
      </c>
      <c r="K28" s="1">
        <f t="shared" si="5"/>
        <v>1</v>
      </c>
      <c r="L28" s="1" t="str">
        <f t="shared" si="6"/>
        <v/>
      </c>
    </row>
    <row r="29" spans="1:12">
      <c r="A29" t="s">
        <v>4</v>
      </c>
      <c r="B29">
        <v>6</v>
      </c>
      <c r="C29" t="str">
        <f t="shared" si="0"/>
        <v>test.BallonFactory_6_</v>
      </c>
      <c r="D29">
        <v>4</v>
      </c>
      <c r="E29">
        <v>1</v>
      </c>
      <c r="F29">
        <v>0.9855670103092784</v>
      </c>
      <c r="G29" s="1" t="str">
        <f t="shared" si="1"/>
        <v/>
      </c>
      <c r="H29" s="1" t="str">
        <f t="shared" si="2"/>
        <v/>
      </c>
      <c r="I29" s="1" t="str">
        <f t="shared" si="3"/>
        <v/>
      </c>
      <c r="J29" s="1" t="str">
        <f t="shared" si="4"/>
        <v/>
      </c>
      <c r="K29" s="1">
        <f t="shared" si="5"/>
        <v>1</v>
      </c>
      <c r="L29" s="1" t="str">
        <f t="shared" si="6"/>
        <v/>
      </c>
    </row>
    <row r="30" spans="1:12">
      <c r="A30" t="s">
        <v>4</v>
      </c>
      <c r="B30">
        <v>9</v>
      </c>
      <c r="C30" t="str">
        <f t="shared" si="0"/>
        <v>test.BallonFactory_9_</v>
      </c>
      <c r="D30">
        <v>5</v>
      </c>
      <c r="E30">
        <v>6.5217391304347824E-2</v>
      </c>
      <c r="F30">
        <v>7.0093457943925228E-2</v>
      </c>
      <c r="G30" s="1">
        <f t="shared" si="1"/>
        <v>6.5217391304347824E-2</v>
      </c>
      <c r="H30" s="1" t="str">
        <f t="shared" si="2"/>
        <v/>
      </c>
      <c r="I30" s="1" t="str">
        <f t="shared" si="3"/>
        <v/>
      </c>
      <c r="J30" s="1" t="str">
        <f t="shared" si="4"/>
        <v/>
      </c>
      <c r="K30" s="1" t="str">
        <f t="shared" si="5"/>
        <v/>
      </c>
      <c r="L30" s="1" t="str">
        <f t="shared" si="6"/>
        <v/>
      </c>
    </row>
    <row r="31" spans="1:12">
      <c r="A31" t="s">
        <v>4</v>
      </c>
      <c r="B31">
        <v>9</v>
      </c>
      <c r="C31" t="str">
        <f t="shared" si="0"/>
        <v>test.BallonFactory_9_</v>
      </c>
      <c r="D31">
        <v>6</v>
      </c>
      <c r="E31">
        <v>6.5217391304347824E-2</v>
      </c>
      <c r="F31">
        <v>7.0761014686248333E-2</v>
      </c>
      <c r="G31" s="1">
        <f t="shared" si="1"/>
        <v>6.5217391304347824E-2</v>
      </c>
      <c r="H31" s="1" t="str">
        <f t="shared" si="2"/>
        <v/>
      </c>
      <c r="I31" s="1" t="str">
        <f t="shared" si="3"/>
        <v/>
      </c>
      <c r="J31" s="1" t="str">
        <f t="shared" si="4"/>
        <v/>
      </c>
      <c r="K31" s="1" t="str">
        <f t="shared" si="5"/>
        <v/>
      </c>
      <c r="L31" s="1" t="str">
        <f t="shared" si="6"/>
        <v/>
      </c>
    </row>
    <row r="32" spans="1:12">
      <c r="A32" t="s">
        <v>4</v>
      </c>
      <c r="B32">
        <v>9</v>
      </c>
      <c r="C32" t="str">
        <f t="shared" si="0"/>
        <v>test.BallonFactory_9_</v>
      </c>
      <c r="D32">
        <v>7</v>
      </c>
      <c r="E32">
        <v>6.5217391304347824E-2</v>
      </c>
      <c r="F32">
        <v>7.1428571428571425E-2</v>
      </c>
      <c r="G32" s="1">
        <f t="shared" si="1"/>
        <v>6.5217391304347824E-2</v>
      </c>
      <c r="H32" s="1" t="str">
        <f t="shared" si="2"/>
        <v/>
      </c>
      <c r="I32" s="1" t="str">
        <f t="shared" si="3"/>
        <v/>
      </c>
      <c r="J32" s="1" t="str">
        <f t="shared" si="4"/>
        <v/>
      </c>
      <c r="K32" s="1" t="str">
        <f t="shared" si="5"/>
        <v/>
      </c>
      <c r="L32" s="1" t="str">
        <f t="shared" si="6"/>
        <v/>
      </c>
    </row>
    <row r="33" spans="1:12">
      <c r="A33" t="s">
        <v>4</v>
      </c>
      <c r="B33">
        <v>9</v>
      </c>
      <c r="C33" t="str">
        <f t="shared" si="0"/>
        <v>test.BallonFactory_9_</v>
      </c>
      <c r="D33">
        <v>8</v>
      </c>
      <c r="E33">
        <v>0.15217391304347827</v>
      </c>
      <c r="F33">
        <v>0.15554072096128171</v>
      </c>
      <c r="G33" s="1">
        <f t="shared" si="1"/>
        <v>0.15217391304347827</v>
      </c>
      <c r="H33" s="1" t="str">
        <f t="shared" si="2"/>
        <v/>
      </c>
      <c r="I33" s="1" t="str">
        <f t="shared" si="3"/>
        <v/>
      </c>
      <c r="J33" s="1" t="str">
        <f t="shared" si="4"/>
        <v/>
      </c>
      <c r="K33" s="1" t="str">
        <f t="shared" si="5"/>
        <v/>
      </c>
      <c r="L33" s="1" t="str">
        <f t="shared" si="6"/>
        <v/>
      </c>
    </row>
    <row r="34" spans="1:12">
      <c r="A34" t="s">
        <v>4</v>
      </c>
      <c r="B34">
        <v>9</v>
      </c>
      <c r="C34" t="str">
        <f t="shared" si="0"/>
        <v>test.BallonFactory_9_</v>
      </c>
      <c r="D34">
        <v>9</v>
      </c>
      <c r="E34">
        <v>0.2391304347826087</v>
      </c>
      <c r="F34">
        <v>0.157543391188251</v>
      </c>
      <c r="G34" s="1">
        <f t="shared" si="1"/>
        <v>0.2391304347826087</v>
      </c>
      <c r="H34" s="1" t="str">
        <f t="shared" si="2"/>
        <v/>
      </c>
      <c r="I34" s="1" t="str">
        <f t="shared" si="3"/>
        <v/>
      </c>
      <c r="J34" s="1" t="str">
        <f t="shared" si="4"/>
        <v/>
      </c>
      <c r="K34" s="1" t="str">
        <f t="shared" si="5"/>
        <v/>
      </c>
      <c r="L34" s="1" t="str">
        <f t="shared" si="6"/>
        <v/>
      </c>
    </row>
    <row r="35" spans="1:12">
      <c r="A35" t="s">
        <v>4</v>
      </c>
      <c r="B35">
        <v>9</v>
      </c>
      <c r="C35" t="str">
        <f t="shared" si="0"/>
        <v>test.BallonFactory_9_</v>
      </c>
      <c r="D35">
        <v>10</v>
      </c>
      <c r="E35">
        <v>0.5</v>
      </c>
      <c r="F35">
        <v>0.33177570093457942</v>
      </c>
      <c r="G35" s="1" t="str">
        <f t="shared" si="1"/>
        <v/>
      </c>
      <c r="H35" s="1">
        <f t="shared" si="2"/>
        <v>0.5</v>
      </c>
      <c r="I35" s="1" t="str">
        <f t="shared" si="3"/>
        <v/>
      </c>
      <c r="J35" s="1" t="str">
        <f t="shared" si="4"/>
        <v/>
      </c>
      <c r="K35" s="1" t="str">
        <f t="shared" si="5"/>
        <v/>
      </c>
      <c r="L35" s="1" t="str">
        <f t="shared" si="6"/>
        <v/>
      </c>
    </row>
    <row r="36" spans="1:12">
      <c r="A36" t="s">
        <v>4</v>
      </c>
      <c r="B36">
        <v>9</v>
      </c>
      <c r="C36" t="str">
        <f t="shared" si="0"/>
        <v>test.BallonFactory_9_</v>
      </c>
      <c r="D36">
        <v>1</v>
      </c>
      <c r="E36">
        <v>0.76086956521739135</v>
      </c>
      <c r="F36">
        <v>0.33845126835781042</v>
      </c>
      <c r="G36" s="1" t="str">
        <f t="shared" si="1"/>
        <v/>
      </c>
      <c r="H36" s="1">
        <f t="shared" si="2"/>
        <v>0.76086956521739135</v>
      </c>
      <c r="I36" s="1" t="str">
        <f t="shared" si="3"/>
        <v/>
      </c>
      <c r="J36" s="1" t="str">
        <f t="shared" si="4"/>
        <v/>
      </c>
      <c r="K36" s="1" t="str">
        <f t="shared" si="5"/>
        <v/>
      </c>
      <c r="L36" s="1" t="str">
        <f t="shared" si="6"/>
        <v/>
      </c>
    </row>
    <row r="37" spans="1:12">
      <c r="A37" t="s">
        <v>4</v>
      </c>
      <c r="B37">
        <v>9</v>
      </c>
      <c r="C37" t="str">
        <f t="shared" si="0"/>
        <v>test.BallonFactory_9_</v>
      </c>
      <c r="D37">
        <v>2</v>
      </c>
      <c r="E37">
        <v>0.91304347826086951</v>
      </c>
      <c r="F37">
        <v>0.36048064085447262</v>
      </c>
      <c r="G37" s="1" t="str">
        <f t="shared" si="1"/>
        <v/>
      </c>
      <c r="H37" s="1">
        <f t="shared" si="2"/>
        <v>0.91304347826086951</v>
      </c>
      <c r="I37" s="1" t="str">
        <f t="shared" si="3"/>
        <v/>
      </c>
      <c r="J37" s="1" t="str">
        <f t="shared" si="4"/>
        <v/>
      </c>
      <c r="K37" s="1" t="str">
        <f t="shared" si="5"/>
        <v/>
      </c>
      <c r="L37" s="1" t="str">
        <f t="shared" si="6"/>
        <v/>
      </c>
    </row>
    <row r="38" spans="1:12">
      <c r="A38" t="s">
        <v>4</v>
      </c>
      <c r="B38">
        <v>9</v>
      </c>
      <c r="C38" t="str">
        <f t="shared" si="0"/>
        <v>test.BallonFactory_9_</v>
      </c>
      <c r="D38">
        <v>3</v>
      </c>
      <c r="E38">
        <v>1</v>
      </c>
      <c r="F38">
        <v>0.39118825100133514</v>
      </c>
      <c r="G38" s="1" t="str">
        <f t="shared" si="1"/>
        <v/>
      </c>
      <c r="H38" s="1">
        <f t="shared" si="2"/>
        <v>1</v>
      </c>
      <c r="I38" s="1" t="str">
        <f t="shared" si="3"/>
        <v/>
      </c>
      <c r="J38" s="1" t="str">
        <f t="shared" si="4"/>
        <v/>
      </c>
      <c r="K38" s="1" t="str">
        <f t="shared" si="5"/>
        <v/>
      </c>
      <c r="L38" s="1" t="str">
        <f t="shared" si="6"/>
        <v/>
      </c>
    </row>
    <row r="39" spans="1:12">
      <c r="A39" t="s">
        <v>4</v>
      </c>
      <c r="B39">
        <v>9</v>
      </c>
      <c r="C39" t="str">
        <f t="shared" si="0"/>
        <v>test.BallonFactory_9_</v>
      </c>
      <c r="D39">
        <v>4</v>
      </c>
      <c r="E39">
        <v>1</v>
      </c>
      <c r="F39">
        <v>0.39853137516688919</v>
      </c>
      <c r="G39" s="1" t="str">
        <f t="shared" si="1"/>
        <v/>
      </c>
      <c r="H39" s="1">
        <f t="shared" si="2"/>
        <v>1</v>
      </c>
      <c r="I39" s="1" t="str">
        <f t="shared" si="3"/>
        <v/>
      </c>
      <c r="J39" s="1" t="str">
        <f t="shared" si="4"/>
        <v/>
      </c>
      <c r="K39" s="1" t="str">
        <f t="shared" si="5"/>
        <v/>
      </c>
      <c r="L39" s="1" t="str">
        <f t="shared" si="6"/>
        <v/>
      </c>
    </row>
    <row r="40" spans="1:12">
      <c r="A40" t="s">
        <v>32</v>
      </c>
      <c r="B40">
        <v>2</v>
      </c>
      <c r="C40" t="str">
        <f t="shared" si="0"/>
        <v>test.Base64_2_</v>
      </c>
      <c r="D40">
        <v>1</v>
      </c>
      <c r="E40">
        <v>0.25806451612903225</v>
      </c>
      <c r="F40">
        <v>0.26846424384525203</v>
      </c>
      <c r="G40" s="1" t="str">
        <f t="shared" si="1"/>
        <v/>
      </c>
      <c r="H40" s="1">
        <f t="shared" si="2"/>
        <v>0.25806451612903225</v>
      </c>
      <c r="I40" s="1" t="str">
        <f t="shared" si="3"/>
        <v/>
      </c>
      <c r="J40" s="1" t="str">
        <f t="shared" si="4"/>
        <v/>
      </c>
      <c r="K40" s="1" t="str">
        <f t="shared" si="5"/>
        <v/>
      </c>
      <c r="L40" s="1" t="str">
        <f t="shared" si="6"/>
        <v/>
      </c>
    </row>
    <row r="41" spans="1:12">
      <c r="A41" t="s">
        <v>32</v>
      </c>
      <c r="B41">
        <v>2</v>
      </c>
      <c r="C41" t="str">
        <f t="shared" si="0"/>
        <v>test.Base64_2_</v>
      </c>
      <c r="D41">
        <v>2</v>
      </c>
      <c r="E41">
        <v>0.64516129032258063</v>
      </c>
      <c r="F41">
        <v>0.62368112543962484</v>
      </c>
      <c r="G41" s="1" t="str">
        <f t="shared" si="1"/>
        <v/>
      </c>
      <c r="H41" s="1" t="str">
        <f t="shared" si="2"/>
        <v/>
      </c>
      <c r="I41" s="1" t="str">
        <f t="shared" si="3"/>
        <v/>
      </c>
      <c r="J41" s="1">
        <f t="shared" si="4"/>
        <v>0.64516129032258063</v>
      </c>
      <c r="K41" s="1" t="str">
        <f t="shared" si="5"/>
        <v/>
      </c>
      <c r="L41" s="1" t="str">
        <f t="shared" si="6"/>
        <v/>
      </c>
    </row>
    <row r="42" spans="1:12">
      <c r="A42" t="s">
        <v>32</v>
      </c>
      <c r="B42">
        <v>2</v>
      </c>
      <c r="C42" t="str">
        <f t="shared" si="0"/>
        <v>test.Base64_2_</v>
      </c>
      <c r="D42">
        <v>3</v>
      </c>
      <c r="E42">
        <v>1</v>
      </c>
      <c r="F42">
        <v>0.65298944900351696</v>
      </c>
      <c r="G42" s="1" t="str">
        <f t="shared" si="1"/>
        <v/>
      </c>
      <c r="H42" s="1" t="str">
        <f t="shared" si="2"/>
        <v/>
      </c>
      <c r="I42" s="1" t="str">
        <f t="shared" si="3"/>
        <v/>
      </c>
      <c r="J42" s="1">
        <f t="shared" si="4"/>
        <v>1</v>
      </c>
      <c r="K42" s="1" t="str">
        <f t="shared" si="5"/>
        <v/>
      </c>
      <c r="L42" s="1" t="str">
        <f t="shared" si="6"/>
        <v/>
      </c>
    </row>
    <row r="43" spans="1:12">
      <c r="A43" t="s">
        <v>32</v>
      </c>
      <c r="B43">
        <v>2</v>
      </c>
      <c r="C43" t="str">
        <f t="shared" si="0"/>
        <v>test.Base64_2_</v>
      </c>
      <c r="D43">
        <v>4</v>
      </c>
      <c r="E43">
        <v>1</v>
      </c>
      <c r="F43">
        <v>0.93786635404454866</v>
      </c>
      <c r="G43" s="1" t="str">
        <f t="shared" si="1"/>
        <v/>
      </c>
      <c r="H43" s="1" t="str">
        <f t="shared" si="2"/>
        <v/>
      </c>
      <c r="I43" s="1" t="str">
        <f t="shared" si="3"/>
        <v/>
      </c>
      <c r="J43" s="1" t="str">
        <f t="shared" si="4"/>
        <v/>
      </c>
      <c r="K43" s="1">
        <f t="shared" si="5"/>
        <v>1</v>
      </c>
      <c r="L43" s="1" t="str">
        <f t="shared" si="6"/>
        <v/>
      </c>
    </row>
    <row r="44" spans="1:12">
      <c r="A44" t="s">
        <v>32</v>
      </c>
      <c r="B44">
        <v>4</v>
      </c>
      <c r="C44" t="str">
        <f t="shared" si="0"/>
        <v>test.Base64_4_</v>
      </c>
      <c r="D44">
        <v>1</v>
      </c>
      <c r="E44">
        <v>0.25806451612903225</v>
      </c>
      <c r="F44">
        <v>0.28260869565217389</v>
      </c>
      <c r="G44" s="1" t="str">
        <f t="shared" si="1"/>
        <v/>
      </c>
      <c r="H44" s="1">
        <f t="shared" si="2"/>
        <v>0.25806451612903225</v>
      </c>
      <c r="I44" s="1" t="str">
        <f t="shared" si="3"/>
        <v/>
      </c>
      <c r="J44" s="1" t="str">
        <f t="shared" si="4"/>
        <v/>
      </c>
      <c r="K44" s="1" t="str">
        <f t="shared" si="5"/>
        <v/>
      </c>
      <c r="L44" s="1" t="str">
        <f t="shared" si="6"/>
        <v/>
      </c>
    </row>
    <row r="45" spans="1:12">
      <c r="A45" t="s">
        <v>32</v>
      </c>
      <c r="B45">
        <v>4</v>
      </c>
      <c r="C45" t="str">
        <f t="shared" si="0"/>
        <v>test.Base64_4_</v>
      </c>
      <c r="D45">
        <v>2</v>
      </c>
      <c r="E45">
        <v>0.64516129032258063</v>
      </c>
      <c r="F45">
        <v>0.63888888888888884</v>
      </c>
      <c r="G45" s="1" t="str">
        <f t="shared" si="1"/>
        <v/>
      </c>
      <c r="H45" s="1" t="str">
        <f t="shared" si="2"/>
        <v/>
      </c>
      <c r="I45" s="1" t="str">
        <f t="shared" si="3"/>
        <v/>
      </c>
      <c r="J45" s="1">
        <f t="shared" si="4"/>
        <v>0.64516129032258063</v>
      </c>
      <c r="K45" s="1" t="str">
        <f t="shared" si="5"/>
        <v/>
      </c>
      <c r="L45" s="1" t="str">
        <f t="shared" si="6"/>
        <v/>
      </c>
    </row>
    <row r="46" spans="1:12">
      <c r="A46" t="s">
        <v>32</v>
      </c>
      <c r="B46">
        <v>4</v>
      </c>
      <c r="C46" t="str">
        <f t="shared" si="0"/>
        <v>test.Base64_4_</v>
      </c>
      <c r="D46">
        <v>3</v>
      </c>
      <c r="E46">
        <v>1</v>
      </c>
      <c r="F46">
        <v>0.65458937198067635</v>
      </c>
      <c r="G46" s="1" t="str">
        <f t="shared" si="1"/>
        <v/>
      </c>
      <c r="H46" s="1" t="str">
        <f t="shared" si="2"/>
        <v/>
      </c>
      <c r="I46" s="1" t="str">
        <f t="shared" si="3"/>
        <v/>
      </c>
      <c r="J46" s="1">
        <f t="shared" si="4"/>
        <v>1</v>
      </c>
      <c r="K46" s="1" t="str">
        <f t="shared" si="5"/>
        <v/>
      </c>
      <c r="L46" s="1" t="str">
        <f t="shared" si="6"/>
        <v/>
      </c>
    </row>
    <row r="47" spans="1:12">
      <c r="A47" t="s">
        <v>32</v>
      </c>
      <c r="B47">
        <v>4</v>
      </c>
      <c r="C47" t="str">
        <f t="shared" si="0"/>
        <v>test.Base64_4_</v>
      </c>
      <c r="D47">
        <v>4</v>
      </c>
      <c r="E47">
        <v>1</v>
      </c>
      <c r="F47">
        <v>0.93840579710144922</v>
      </c>
      <c r="G47" s="1" t="str">
        <f t="shared" si="1"/>
        <v/>
      </c>
      <c r="H47" s="1" t="str">
        <f t="shared" si="2"/>
        <v/>
      </c>
      <c r="I47" s="1" t="str">
        <f t="shared" si="3"/>
        <v/>
      </c>
      <c r="J47" s="1" t="str">
        <f t="shared" si="4"/>
        <v/>
      </c>
      <c r="K47" s="1">
        <f t="shared" si="5"/>
        <v>1</v>
      </c>
      <c r="L47" s="1" t="str">
        <f t="shared" si="6"/>
        <v/>
      </c>
    </row>
    <row r="48" spans="1:12">
      <c r="A48" t="s">
        <v>32</v>
      </c>
      <c r="B48">
        <v>13</v>
      </c>
      <c r="C48" t="str">
        <f t="shared" si="0"/>
        <v>test.Base64_13_</v>
      </c>
      <c r="D48">
        <v>5</v>
      </c>
      <c r="E48">
        <v>1</v>
      </c>
      <c r="F48">
        <v>1.0204918032786885</v>
      </c>
      <c r="G48" s="1" t="str">
        <f t="shared" si="1"/>
        <v/>
      </c>
      <c r="H48" s="1" t="str">
        <f t="shared" si="2"/>
        <v/>
      </c>
      <c r="I48" s="1" t="str">
        <f t="shared" si="3"/>
        <v/>
      </c>
      <c r="J48" s="1" t="str">
        <f t="shared" si="4"/>
        <v/>
      </c>
      <c r="K48" s="1">
        <f t="shared" si="5"/>
        <v>1</v>
      </c>
      <c r="L48" s="1" t="str">
        <f t="shared" si="6"/>
        <v/>
      </c>
    </row>
    <row r="49" spans="1:12">
      <c r="A49" t="s">
        <v>32</v>
      </c>
      <c r="B49">
        <v>13</v>
      </c>
      <c r="C49" t="str">
        <f t="shared" si="0"/>
        <v>test.Base64_13_</v>
      </c>
      <c r="D49">
        <v>1</v>
      </c>
      <c r="E49">
        <v>1</v>
      </c>
      <c r="F49">
        <v>1.098360655737705</v>
      </c>
      <c r="G49" s="1" t="str">
        <f>IF($F49 &lt;= 0.2,$E49,"")</f>
        <v/>
      </c>
      <c r="H49" s="1" t="str">
        <f t="shared" si="2"/>
        <v/>
      </c>
      <c r="I49" s="1" t="str">
        <f t="shared" si="3"/>
        <v/>
      </c>
      <c r="J49" s="1" t="str">
        <f t="shared" si="4"/>
        <v/>
      </c>
      <c r="K49" s="1">
        <f t="shared" si="5"/>
        <v>1</v>
      </c>
      <c r="L49" s="1" t="str">
        <f t="shared" si="6"/>
        <v/>
      </c>
    </row>
    <row r="50" spans="1:12">
      <c r="A50" t="s">
        <v>32</v>
      </c>
      <c r="B50">
        <v>16</v>
      </c>
      <c r="C50" t="str">
        <f t="shared" si="0"/>
        <v>test.Base64_16_</v>
      </c>
      <c r="D50">
        <v>2</v>
      </c>
      <c r="E50">
        <v>1.6393442622950821E-2</v>
      </c>
      <c r="F50">
        <v>7.48280976135904E-3</v>
      </c>
      <c r="G50" s="1">
        <f t="shared" si="1"/>
        <v>1.6393442622950821E-2</v>
      </c>
      <c r="H50" s="1" t="str">
        <f t="shared" si="2"/>
        <v/>
      </c>
      <c r="I50" s="1" t="str">
        <f t="shared" si="3"/>
        <v/>
      </c>
      <c r="J50" s="1" t="str">
        <f t="shared" si="4"/>
        <v/>
      </c>
      <c r="K50" s="1" t="str">
        <f t="shared" si="5"/>
        <v/>
      </c>
      <c r="L50" s="1" t="str">
        <f t="shared" si="6"/>
        <v/>
      </c>
    </row>
    <row r="51" spans="1:12">
      <c r="A51" t="s">
        <v>32</v>
      </c>
      <c r="B51">
        <v>16</v>
      </c>
      <c r="C51" t="str">
        <f t="shared" si="0"/>
        <v>test.Base64_16_</v>
      </c>
      <c r="D51">
        <v>3</v>
      </c>
      <c r="E51">
        <v>3.825136612021858E-2</v>
      </c>
      <c r="F51">
        <v>1.2403936901712282E-2</v>
      </c>
      <c r="G51" s="1">
        <f t="shared" si="1"/>
        <v>3.825136612021858E-2</v>
      </c>
      <c r="H51" s="1" t="str">
        <f t="shared" si="2"/>
        <v/>
      </c>
      <c r="I51" s="1" t="str">
        <f t="shared" si="3"/>
        <v/>
      </c>
      <c r="J51" s="1" t="str">
        <f t="shared" si="4"/>
        <v/>
      </c>
      <c r="K51" s="1" t="str">
        <f t="shared" si="5"/>
        <v/>
      </c>
      <c r="L51" s="1" t="str">
        <f t="shared" si="6"/>
        <v/>
      </c>
    </row>
    <row r="52" spans="1:12">
      <c r="A52" t="s">
        <v>32</v>
      </c>
      <c r="B52">
        <v>16</v>
      </c>
      <c r="C52" t="str">
        <f t="shared" si="0"/>
        <v>test.Base64_16_</v>
      </c>
      <c r="D52">
        <v>4</v>
      </c>
      <c r="E52">
        <v>0.81967213114754101</v>
      </c>
      <c r="F52">
        <v>0.96743966563300521</v>
      </c>
      <c r="G52" s="1" t="str">
        <f t="shared" si="1"/>
        <v/>
      </c>
      <c r="H52" s="1" t="str">
        <f t="shared" si="2"/>
        <v/>
      </c>
      <c r="I52" s="1" t="str">
        <f t="shared" si="3"/>
        <v/>
      </c>
      <c r="J52" s="1" t="str">
        <f t="shared" si="4"/>
        <v/>
      </c>
      <c r="K52" s="1">
        <f t="shared" si="5"/>
        <v>0.81967213114754101</v>
      </c>
      <c r="L52" s="1" t="str">
        <f t="shared" si="6"/>
        <v/>
      </c>
    </row>
    <row r="53" spans="1:12">
      <c r="A53" t="s">
        <v>32</v>
      </c>
      <c r="B53">
        <v>16</v>
      </c>
      <c r="C53" t="str">
        <f t="shared" si="0"/>
        <v>test.Base64_16_</v>
      </c>
      <c r="D53">
        <v>1</v>
      </c>
      <c r="E53">
        <v>1</v>
      </c>
      <c r="F53">
        <v>0.98705676149386545</v>
      </c>
      <c r="G53" s="1" t="str">
        <f t="shared" si="1"/>
        <v/>
      </c>
      <c r="H53" s="1" t="str">
        <f t="shared" si="2"/>
        <v/>
      </c>
      <c r="I53" s="1" t="str">
        <f t="shared" si="3"/>
        <v/>
      </c>
      <c r="J53" s="1" t="str">
        <f t="shared" si="4"/>
        <v/>
      </c>
      <c r="K53" s="1">
        <f t="shared" si="5"/>
        <v>1</v>
      </c>
      <c r="L53" s="1" t="str">
        <f t="shared" si="6"/>
        <v/>
      </c>
    </row>
    <row r="54" spans="1:12">
      <c r="A54" t="s">
        <v>32</v>
      </c>
      <c r="B54">
        <v>18</v>
      </c>
      <c r="C54" t="str">
        <f t="shared" si="0"/>
        <v>test.Base64_18_</v>
      </c>
      <c r="D54">
        <v>2</v>
      </c>
      <c r="E54">
        <v>2.8368794326241134E-2</v>
      </c>
      <c r="F54">
        <v>9.864676868597445E-3</v>
      </c>
      <c r="G54" s="1">
        <f t="shared" si="1"/>
        <v>2.8368794326241134E-2</v>
      </c>
      <c r="H54" s="1" t="str">
        <f t="shared" si="2"/>
        <v/>
      </c>
      <c r="I54" s="1" t="str">
        <f t="shared" si="3"/>
        <v/>
      </c>
      <c r="J54" s="1" t="str">
        <f t="shared" si="4"/>
        <v/>
      </c>
      <c r="K54" s="1" t="str">
        <f t="shared" si="5"/>
        <v/>
      </c>
      <c r="L54" s="1" t="str">
        <f t="shared" si="6"/>
        <v/>
      </c>
    </row>
    <row r="55" spans="1:12">
      <c r="A55" t="s">
        <v>32</v>
      </c>
      <c r="B55">
        <v>18</v>
      </c>
      <c r="C55" t="str">
        <f t="shared" si="0"/>
        <v>test.Base64_18_</v>
      </c>
      <c r="D55">
        <v>3</v>
      </c>
      <c r="E55">
        <v>4.9645390070921988E-2</v>
      </c>
      <c r="F55">
        <v>2.3902870873909195E-2</v>
      </c>
      <c r="G55" s="1">
        <f t="shared" si="1"/>
        <v>4.9645390070921988E-2</v>
      </c>
      <c r="H55" s="1" t="str">
        <f t="shared" si="2"/>
        <v/>
      </c>
      <c r="I55" s="1" t="str">
        <f t="shared" si="3"/>
        <v/>
      </c>
      <c r="J55" s="1" t="str">
        <f t="shared" si="4"/>
        <v/>
      </c>
      <c r="K55" s="1" t="str">
        <f t="shared" si="5"/>
        <v/>
      </c>
      <c r="L55" s="1" t="str">
        <f t="shared" si="6"/>
        <v/>
      </c>
    </row>
    <row r="56" spans="1:12">
      <c r="A56" t="s">
        <v>32</v>
      </c>
      <c r="B56">
        <v>18</v>
      </c>
      <c r="C56" t="str">
        <f t="shared" si="0"/>
        <v>test.Base64_18_</v>
      </c>
      <c r="D56">
        <v>4</v>
      </c>
      <c r="E56">
        <v>0.1276595744680851</v>
      </c>
      <c r="F56">
        <v>6.1464525104337926E-2</v>
      </c>
      <c r="G56" s="1">
        <f t="shared" si="1"/>
        <v>0.1276595744680851</v>
      </c>
      <c r="H56" s="1" t="str">
        <f t="shared" si="2"/>
        <v/>
      </c>
      <c r="I56" s="1" t="str">
        <f t="shared" si="3"/>
        <v/>
      </c>
      <c r="J56" s="1" t="str">
        <f t="shared" si="4"/>
        <v/>
      </c>
      <c r="K56" s="1" t="str">
        <f t="shared" si="5"/>
        <v/>
      </c>
      <c r="L56" s="1" t="str">
        <f t="shared" si="6"/>
        <v/>
      </c>
    </row>
    <row r="57" spans="1:12">
      <c r="A57" t="s">
        <v>32</v>
      </c>
      <c r="B57">
        <v>18</v>
      </c>
      <c r="C57" t="str">
        <f t="shared" si="0"/>
        <v>test.Base64_18_</v>
      </c>
      <c r="D57">
        <v>5</v>
      </c>
      <c r="E57">
        <v>0.1702127659574468</v>
      </c>
      <c r="F57">
        <v>7.3732136081952698E-2</v>
      </c>
      <c r="G57" s="1">
        <f t="shared" si="1"/>
        <v>0.1702127659574468</v>
      </c>
      <c r="H57" s="1" t="str">
        <f t="shared" si="2"/>
        <v/>
      </c>
      <c r="I57" s="1" t="str">
        <f t="shared" si="3"/>
        <v/>
      </c>
      <c r="J57" s="1" t="str">
        <f t="shared" si="4"/>
        <v/>
      </c>
      <c r="K57" s="1" t="str">
        <f t="shared" si="5"/>
        <v/>
      </c>
      <c r="L57" s="1" t="str">
        <f t="shared" si="6"/>
        <v/>
      </c>
    </row>
    <row r="58" spans="1:12">
      <c r="A58" t="s">
        <v>32</v>
      </c>
      <c r="B58">
        <v>18</v>
      </c>
      <c r="C58" t="str">
        <f t="shared" si="0"/>
        <v>test.Base64_18_</v>
      </c>
      <c r="D58">
        <v>6</v>
      </c>
      <c r="E58">
        <v>0.29078014184397161</v>
      </c>
      <c r="F58">
        <v>0.10421145820159353</v>
      </c>
      <c r="G58" s="1">
        <f t="shared" si="1"/>
        <v>0.29078014184397161</v>
      </c>
      <c r="H58" s="1" t="str">
        <f t="shared" si="2"/>
        <v/>
      </c>
      <c r="I58" s="1" t="str">
        <f t="shared" si="3"/>
        <v/>
      </c>
      <c r="J58" s="1" t="str">
        <f t="shared" si="4"/>
        <v/>
      </c>
      <c r="K58" s="1" t="str">
        <f t="shared" si="5"/>
        <v/>
      </c>
      <c r="L58" s="1" t="str">
        <f t="shared" si="6"/>
        <v/>
      </c>
    </row>
    <row r="59" spans="1:12">
      <c r="A59" t="s">
        <v>32</v>
      </c>
      <c r="B59">
        <v>18</v>
      </c>
      <c r="C59" t="str">
        <f t="shared" si="0"/>
        <v>test.Base64_18_</v>
      </c>
      <c r="D59">
        <v>7</v>
      </c>
      <c r="E59">
        <v>0.31205673758865249</v>
      </c>
      <c r="F59">
        <v>0.10497027949917795</v>
      </c>
      <c r="G59" s="1">
        <f t="shared" si="1"/>
        <v>0.31205673758865249</v>
      </c>
      <c r="H59" s="1" t="str">
        <f t="shared" si="2"/>
        <v/>
      </c>
      <c r="I59" s="1" t="str">
        <f t="shared" si="3"/>
        <v/>
      </c>
      <c r="J59" s="1" t="str">
        <f t="shared" si="4"/>
        <v/>
      </c>
      <c r="K59" s="1" t="str">
        <f t="shared" si="5"/>
        <v/>
      </c>
      <c r="L59" s="1" t="str">
        <f t="shared" si="6"/>
        <v/>
      </c>
    </row>
    <row r="60" spans="1:12">
      <c r="A60" t="s">
        <v>32</v>
      </c>
      <c r="B60">
        <v>18</v>
      </c>
      <c r="C60" t="str">
        <f t="shared" si="0"/>
        <v>test.Base64_18_</v>
      </c>
      <c r="D60">
        <v>8</v>
      </c>
      <c r="E60">
        <v>0.33333333333333331</v>
      </c>
      <c r="F60">
        <v>0.10762615404072341</v>
      </c>
      <c r="G60" s="1">
        <f t="shared" si="1"/>
        <v>0.33333333333333331</v>
      </c>
      <c r="H60" s="1" t="str">
        <f t="shared" si="2"/>
        <v/>
      </c>
      <c r="I60" s="1" t="str">
        <f t="shared" si="3"/>
        <v/>
      </c>
      <c r="J60" s="1" t="str">
        <f t="shared" si="4"/>
        <v/>
      </c>
      <c r="K60" s="1" t="str">
        <f t="shared" si="5"/>
        <v/>
      </c>
      <c r="L60" s="1" t="str">
        <f t="shared" si="6"/>
        <v/>
      </c>
    </row>
    <row r="61" spans="1:12">
      <c r="A61" t="s">
        <v>32</v>
      </c>
      <c r="B61">
        <v>18</v>
      </c>
      <c r="C61" t="str">
        <f t="shared" si="0"/>
        <v>test.Base64_18_</v>
      </c>
      <c r="D61">
        <v>9</v>
      </c>
      <c r="E61">
        <v>0.3546099290780142</v>
      </c>
      <c r="F61">
        <v>0.10787909447325154</v>
      </c>
      <c r="G61" s="1">
        <f t="shared" si="1"/>
        <v>0.3546099290780142</v>
      </c>
      <c r="H61" s="1" t="str">
        <f t="shared" si="2"/>
        <v/>
      </c>
      <c r="I61" s="1" t="str">
        <f t="shared" si="3"/>
        <v/>
      </c>
      <c r="J61" s="1" t="str">
        <f t="shared" si="4"/>
        <v/>
      </c>
      <c r="K61" s="1" t="str">
        <f t="shared" si="5"/>
        <v/>
      </c>
      <c r="L61" s="1" t="str">
        <f t="shared" si="6"/>
        <v/>
      </c>
    </row>
    <row r="62" spans="1:12">
      <c r="A62" t="s">
        <v>32</v>
      </c>
      <c r="B62">
        <v>18</v>
      </c>
      <c r="C62" t="str">
        <f t="shared" si="0"/>
        <v>test.Base64_18_</v>
      </c>
      <c r="D62">
        <v>10</v>
      </c>
      <c r="E62">
        <v>0.3546099290780142</v>
      </c>
      <c r="F62">
        <v>0.10964967750094852</v>
      </c>
      <c r="G62" s="1">
        <f t="shared" si="1"/>
        <v>0.3546099290780142</v>
      </c>
      <c r="H62" s="1" t="str">
        <f t="shared" si="2"/>
        <v/>
      </c>
      <c r="I62" s="1" t="str">
        <f t="shared" si="3"/>
        <v/>
      </c>
      <c r="J62" s="1" t="str">
        <f t="shared" si="4"/>
        <v/>
      </c>
      <c r="K62" s="1" t="str">
        <f t="shared" si="5"/>
        <v/>
      </c>
      <c r="L62" s="1" t="str">
        <f t="shared" si="6"/>
        <v/>
      </c>
    </row>
    <row r="63" spans="1:12">
      <c r="A63" t="s">
        <v>32</v>
      </c>
      <c r="B63">
        <v>18</v>
      </c>
      <c r="C63" t="str">
        <f t="shared" si="0"/>
        <v>test.Base64_18_</v>
      </c>
      <c r="D63">
        <v>11</v>
      </c>
      <c r="E63">
        <v>0.3546099290780142</v>
      </c>
      <c r="F63">
        <v>0.1135702542051347</v>
      </c>
      <c r="G63" s="1">
        <f t="shared" si="1"/>
        <v>0.3546099290780142</v>
      </c>
      <c r="H63" s="1" t="str">
        <f t="shared" si="2"/>
        <v/>
      </c>
      <c r="I63" s="1" t="str">
        <f t="shared" si="3"/>
        <v/>
      </c>
      <c r="J63" s="1" t="str">
        <f t="shared" si="4"/>
        <v/>
      </c>
      <c r="K63" s="1" t="str">
        <f t="shared" si="5"/>
        <v/>
      </c>
      <c r="L63" s="1" t="str">
        <f t="shared" si="6"/>
        <v/>
      </c>
    </row>
    <row r="64" spans="1:12">
      <c r="A64" t="s">
        <v>32</v>
      </c>
      <c r="B64">
        <v>18</v>
      </c>
      <c r="C64" t="str">
        <f t="shared" si="0"/>
        <v>test.Base64_18_</v>
      </c>
      <c r="D64">
        <v>12</v>
      </c>
      <c r="E64">
        <v>0.3546099290780142</v>
      </c>
      <c r="F64">
        <v>0.11369672442139876</v>
      </c>
      <c r="G64" s="1">
        <f t="shared" si="1"/>
        <v>0.3546099290780142</v>
      </c>
      <c r="H64" s="1" t="str">
        <f t="shared" si="2"/>
        <v/>
      </c>
      <c r="I64" s="1" t="str">
        <f t="shared" si="3"/>
        <v/>
      </c>
      <c r="J64" s="1" t="str">
        <f t="shared" si="4"/>
        <v/>
      </c>
      <c r="K64" s="1" t="str">
        <f t="shared" si="5"/>
        <v/>
      </c>
      <c r="L64" s="1" t="str">
        <f t="shared" si="6"/>
        <v/>
      </c>
    </row>
    <row r="65" spans="1:12">
      <c r="A65" t="s">
        <v>32</v>
      </c>
      <c r="B65">
        <v>18</v>
      </c>
      <c r="C65" t="str">
        <f t="shared" si="0"/>
        <v>test.Base64_18_</v>
      </c>
      <c r="D65">
        <v>13</v>
      </c>
      <c r="E65">
        <v>0.3546099290780142</v>
      </c>
      <c r="F65">
        <v>0.11394966485392689</v>
      </c>
      <c r="G65" s="1">
        <f t="shared" si="1"/>
        <v>0.3546099290780142</v>
      </c>
      <c r="H65" s="1" t="str">
        <f t="shared" si="2"/>
        <v/>
      </c>
      <c r="I65" s="1" t="str">
        <f t="shared" si="3"/>
        <v/>
      </c>
      <c r="J65" s="1" t="str">
        <f t="shared" si="4"/>
        <v/>
      </c>
      <c r="K65" s="1" t="str">
        <f t="shared" si="5"/>
        <v/>
      </c>
      <c r="L65" s="1" t="str">
        <f t="shared" si="6"/>
        <v/>
      </c>
    </row>
    <row r="66" spans="1:12">
      <c r="A66" t="s">
        <v>32</v>
      </c>
      <c r="B66">
        <v>18</v>
      </c>
      <c r="C66" t="str">
        <f t="shared" si="0"/>
        <v>test.Base64_18_</v>
      </c>
      <c r="D66">
        <v>14</v>
      </c>
      <c r="E66">
        <v>0.3546099290780142</v>
      </c>
      <c r="F66">
        <v>0.11407613507019097</v>
      </c>
      <c r="G66" s="1">
        <f t="shared" si="1"/>
        <v>0.3546099290780142</v>
      </c>
      <c r="H66" s="1" t="str">
        <f t="shared" si="2"/>
        <v/>
      </c>
      <c r="I66" s="1" t="str">
        <f t="shared" si="3"/>
        <v/>
      </c>
      <c r="J66" s="1" t="str">
        <f t="shared" si="4"/>
        <v/>
      </c>
      <c r="K66" s="1" t="str">
        <f t="shared" si="5"/>
        <v/>
      </c>
      <c r="L66" s="1" t="str">
        <f t="shared" si="6"/>
        <v/>
      </c>
    </row>
    <row r="67" spans="1:12">
      <c r="A67" t="s">
        <v>32</v>
      </c>
      <c r="B67">
        <v>18</v>
      </c>
      <c r="C67" t="str">
        <f t="shared" ref="C67:C130" si="18">CONCATENATE(A67, "_",B67,"_")</f>
        <v>test.Base64_18_</v>
      </c>
      <c r="D67">
        <v>15</v>
      </c>
      <c r="E67">
        <v>0.38297872340425532</v>
      </c>
      <c r="F67">
        <v>0.11420260528645504</v>
      </c>
      <c r="G67" s="1">
        <f t="shared" ref="G67:G130" si="19">IF($F67 &lt;= 0.2,$E67,"")</f>
        <v>0.38297872340425532</v>
      </c>
      <c r="H67" s="1" t="str">
        <f t="shared" ref="H67:H130" si="20">IF(AND($F67 &gt; 0.2,$F67 &lt;= 0.4),$E67,"")</f>
        <v/>
      </c>
      <c r="I67" s="1" t="str">
        <f t="shared" ref="I67:I130" si="21">IF(AND($F67 &gt; 0.4,$F67 &lt;= 0.6),$E67,"")</f>
        <v/>
      </c>
      <c r="J67" s="1" t="str">
        <f t="shared" ref="J67:J130" si="22">IF(AND($F67 &gt; 0.6,$F67 &lt;= 0.8),$E67,"")</f>
        <v/>
      </c>
      <c r="K67" s="1" t="str">
        <f t="shared" ref="K67:K130" si="23">IF(AND($F67 &gt; 0.8, $F67 &lt;=1.1),$E67,"")</f>
        <v/>
      </c>
      <c r="L67" s="1" t="str">
        <f t="shared" ref="L67:L130" si="24">IF(AND($F67 &gt; 1.1),$E67,"")</f>
        <v/>
      </c>
    </row>
    <row r="68" spans="1:12">
      <c r="A68" t="s">
        <v>32</v>
      </c>
      <c r="B68">
        <v>18</v>
      </c>
      <c r="C68" t="str">
        <f t="shared" si="18"/>
        <v>test.Base64_18_</v>
      </c>
      <c r="D68">
        <v>16</v>
      </c>
      <c r="E68">
        <v>0.38297872340425532</v>
      </c>
      <c r="F68">
        <v>0.12077905653218667</v>
      </c>
      <c r="G68" s="1">
        <f t="shared" si="19"/>
        <v>0.38297872340425532</v>
      </c>
      <c r="H68" s="1" t="str">
        <f t="shared" si="20"/>
        <v/>
      </c>
      <c r="I68" s="1" t="str">
        <f t="shared" si="21"/>
        <v/>
      </c>
      <c r="J68" s="1" t="str">
        <f t="shared" si="22"/>
        <v/>
      </c>
      <c r="K68" s="1" t="str">
        <f t="shared" si="23"/>
        <v/>
      </c>
      <c r="L68" s="1" t="str">
        <f t="shared" si="24"/>
        <v/>
      </c>
    </row>
    <row r="69" spans="1:12">
      <c r="A69" t="s">
        <v>32</v>
      </c>
      <c r="B69">
        <v>18</v>
      </c>
      <c r="C69" t="str">
        <f t="shared" si="18"/>
        <v>test.Base64_18_</v>
      </c>
      <c r="D69">
        <v>17</v>
      </c>
      <c r="E69">
        <v>0.38297872340425532</v>
      </c>
      <c r="F69">
        <v>0.12204375869482736</v>
      </c>
      <c r="G69" s="1">
        <f t="shared" si="19"/>
        <v>0.38297872340425532</v>
      </c>
      <c r="H69" s="1" t="str">
        <f t="shared" si="20"/>
        <v/>
      </c>
      <c r="I69" s="1" t="str">
        <f t="shared" si="21"/>
        <v/>
      </c>
      <c r="J69" s="1" t="str">
        <f t="shared" si="22"/>
        <v/>
      </c>
      <c r="K69" s="1" t="str">
        <f t="shared" si="23"/>
        <v/>
      </c>
      <c r="L69" s="1" t="str">
        <f t="shared" si="24"/>
        <v/>
      </c>
    </row>
    <row r="70" spans="1:12">
      <c r="A70" t="s">
        <v>32</v>
      </c>
      <c r="B70">
        <v>18</v>
      </c>
      <c r="C70" t="str">
        <f t="shared" si="18"/>
        <v>test.Base64_18_</v>
      </c>
      <c r="D70">
        <v>18</v>
      </c>
      <c r="E70">
        <v>0.38297872340425532</v>
      </c>
      <c r="F70">
        <v>0.12647021626406982</v>
      </c>
      <c r="G70" s="1">
        <f t="shared" si="19"/>
        <v>0.38297872340425532</v>
      </c>
      <c r="H70" s="1" t="str">
        <f t="shared" si="20"/>
        <v/>
      </c>
      <c r="I70" s="1" t="str">
        <f t="shared" si="21"/>
        <v/>
      </c>
      <c r="J70" s="1" t="str">
        <f t="shared" si="22"/>
        <v/>
      </c>
      <c r="K70" s="1" t="str">
        <f t="shared" si="23"/>
        <v/>
      </c>
      <c r="L70" s="1" t="str">
        <f t="shared" si="24"/>
        <v/>
      </c>
    </row>
    <row r="71" spans="1:12">
      <c r="A71" t="s">
        <v>32</v>
      </c>
      <c r="B71">
        <v>18</v>
      </c>
      <c r="C71" t="str">
        <f t="shared" si="18"/>
        <v>test.Base64_18_</v>
      </c>
      <c r="D71">
        <v>19</v>
      </c>
      <c r="E71">
        <v>0.38297872340425532</v>
      </c>
      <c r="F71">
        <v>0.12887315037308714</v>
      </c>
      <c r="G71" s="1">
        <f t="shared" si="19"/>
        <v>0.38297872340425532</v>
      </c>
      <c r="H71" s="1" t="str">
        <f t="shared" si="20"/>
        <v/>
      </c>
      <c r="I71" s="1" t="str">
        <f t="shared" si="21"/>
        <v/>
      </c>
      <c r="J71" s="1" t="str">
        <f t="shared" si="22"/>
        <v/>
      </c>
      <c r="K71" s="1" t="str">
        <f t="shared" si="23"/>
        <v/>
      </c>
      <c r="L71" s="1" t="str">
        <f t="shared" si="24"/>
        <v/>
      </c>
    </row>
    <row r="72" spans="1:12">
      <c r="A72" t="s">
        <v>32</v>
      </c>
      <c r="B72">
        <v>18</v>
      </c>
      <c r="C72" t="str">
        <f t="shared" si="18"/>
        <v>test.Base64_18_</v>
      </c>
      <c r="D72">
        <v>20</v>
      </c>
      <c r="E72">
        <v>0.78723404255319152</v>
      </c>
      <c r="F72">
        <v>0.89958264828632861</v>
      </c>
      <c r="G72" s="1" t="str">
        <f t="shared" si="19"/>
        <v/>
      </c>
      <c r="H72" s="1" t="str">
        <f t="shared" si="20"/>
        <v/>
      </c>
      <c r="I72" s="1" t="str">
        <f t="shared" si="21"/>
        <v/>
      </c>
      <c r="J72" s="1" t="str">
        <f t="shared" si="22"/>
        <v/>
      </c>
      <c r="K72" s="1">
        <f t="shared" si="23"/>
        <v>0.78723404255319152</v>
      </c>
      <c r="L72" s="1" t="str">
        <f t="shared" si="24"/>
        <v/>
      </c>
    </row>
    <row r="73" spans="1:12">
      <c r="A73" t="s">
        <v>32</v>
      </c>
      <c r="B73">
        <v>18</v>
      </c>
      <c r="C73" t="str">
        <f t="shared" si="18"/>
        <v>test.Base64_18_</v>
      </c>
      <c r="D73">
        <v>21</v>
      </c>
      <c r="E73">
        <v>0.78723404255319152</v>
      </c>
      <c r="F73">
        <v>0.90843556342481346</v>
      </c>
      <c r="G73" s="1" t="str">
        <f t="shared" si="19"/>
        <v/>
      </c>
      <c r="H73" s="1" t="str">
        <f t="shared" si="20"/>
        <v/>
      </c>
      <c r="I73" s="1" t="str">
        <f t="shared" si="21"/>
        <v/>
      </c>
      <c r="J73" s="1" t="str">
        <f t="shared" si="22"/>
        <v/>
      </c>
      <c r="K73" s="1">
        <f t="shared" si="23"/>
        <v>0.78723404255319152</v>
      </c>
      <c r="L73" s="1" t="str">
        <f t="shared" si="24"/>
        <v/>
      </c>
    </row>
    <row r="74" spans="1:12">
      <c r="A74" t="s">
        <v>32</v>
      </c>
      <c r="B74">
        <v>18</v>
      </c>
      <c r="C74" t="str">
        <f t="shared" si="18"/>
        <v>test.Base64_18_</v>
      </c>
      <c r="D74">
        <v>22</v>
      </c>
      <c r="E74">
        <v>0.91489361702127658</v>
      </c>
      <c r="F74">
        <v>0.92462375110661443</v>
      </c>
      <c r="G74" s="1" t="str">
        <f t="shared" si="19"/>
        <v/>
      </c>
      <c r="H74" s="1" t="str">
        <f t="shared" si="20"/>
        <v/>
      </c>
      <c r="I74" s="1" t="str">
        <f t="shared" si="21"/>
        <v/>
      </c>
      <c r="J74" s="1" t="str">
        <f t="shared" si="22"/>
        <v/>
      </c>
      <c r="K74" s="1">
        <f t="shared" si="23"/>
        <v>0.91489361702127658</v>
      </c>
      <c r="L74" s="1" t="str">
        <f t="shared" si="24"/>
        <v/>
      </c>
    </row>
    <row r="75" spans="1:12">
      <c r="A75" t="s">
        <v>32</v>
      </c>
      <c r="B75">
        <v>18</v>
      </c>
      <c r="C75" t="str">
        <f t="shared" si="18"/>
        <v>test.Base64_18_</v>
      </c>
      <c r="D75">
        <v>23</v>
      </c>
      <c r="E75">
        <v>1</v>
      </c>
      <c r="F75">
        <v>0.93018844062223349</v>
      </c>
      <c r="G75" s="1" t="str">
        <f t="shared" si="19"/>
        <v/>
      </c>
      <c r="H75" s="1" t="str">
        <f t="shared" si="20"/>
        <v/>
      </c>
      <c r="I75" s="1" t="str">
        <f t="shared" si="21"/>
        <v/>
      </c>
      <c r="J75" s="1" t="str">
        <f t="shared" si="22"/>
        <v/>
      </c>
      <c r="K75" s="1">
        <f t="shared" si="23"/>
        <v>1</v>
      </c>
      <c r="L75" s="1" t="str">
        <f t="shared" si="24"/>
        <v/>
      </c>
    </row>
    <row r="76" spans="1:12">
      <c r="A76" t="s">
        <v>32</v>
      </c>
      <c r="B76">
        <v>18</v>
      </c>
      <c r="C76" t="str">
        <f t="shared" si="18"/>
        <v>test.Base64_18_</v>
      </c>
      <c r="D76">
        <v>24</v>
      </c>
      <c r="E76">
        <v>1</v>
      </c>
      <c r="F76">
        <v>0.95459719236119889</v>
      </c>
      <c r="G76" s="1" t="str">
        <f t="shared" si="19"/>
        <v/>
      </c>
      <c r="H76" s="1" t="str">
        <f t="shared" si="20"/>
        <v/>
      </c>
      <c r="I76" s="1" t="str">
        <f t="shared" si="21"/>
        <v/>
      </c>
      <c r="J76" s="1" t="str">
        <f t="shared" si="22"/>
        <v/>
      </c>
      <c r="K76" s="1">
        <f t="shared" si="23"/>
        <v>1</v>
      </c>
      <c r="L76" s="1" t="str">
        <f t="shared" si="24"/>
        <v/>
      </c>
    </row>
    <row r="77" spans="1:12">
      <c r="A77" t="s">
        <v>32</v>
      </c>
      <c r="B77">
        <v>18</v>
      </c>
      <c r="C77" t="str">
        <f t="shared" si="18"/>
        <v>test.Base64_18_</v>
      </c>
      <c r="D77">
        <v>25</v>
      </c>
      <c r="E77">
        <v>1</v>
      </c>
      <c r="F77">
        <v>0.95990894144428984</v>
      </c>
      <c r="G77" s="1" t="str">
        <f t="shared" si="19"/>
        <v/>
      </c>
      <c r="H77" s="1" t="str">
        <f t="shared" si="20"/>
        <v/>
      </c>
      <c r="I77" s="1" t="str">
        <f t="shared" si="21"/>
        <v/>
      </c>
      <c r="J77" s="1" t="str">
        <f t="shared" si="22"/>
        <v/>
      </c>
      <c r="K77" s="1">
        <f t="shared" si="23"/>
        <v>1</v>
      </c>
      <c r="L77" s="1" t="str">
        <f t="shared" si="24"/>
        <v/>
      </c>
    </row>
    <row r="78" spans="1:12">
      <c r="A78" t="s">
        <v>32</v>
      </c>
      <c r="B78">
        <v>18</v>
      </c>
      <c r="C78" t="str">
        <f t="shared" si="18"/>
        <v>test.Base64_18_</v>
      </c>
      <c r="D78">
        <v>26</v>
      </c>
      <c r="E78">
        <v>1</v>
      </c>
      <c r="F78">
        <v>0.96775009485266217</v>
      </c>
      <c r="G78" s="1" t="str">
        <f t="shared" si="19"/>
        <v/>
      </c>
      <c r="H78" s="1" t="str">
        <f t="shared" si="20"/>
        <v/>
      </c>
      <c r="I78" s="1" t="str">
        <f t="shared" si="21"/>
        <v/>
      </c>
      <c r="J78" s="1" t="str">
        <f t="shared" si="22"/>
        <v/>
      </c>
      <c r="K78" s="1">
        <f t="shared" si="23"/>
        <v>1</v>
      </c>
      <c r="L78" s="1" t="str">
        <f t="shared" si="24"/>
        <v/>
      </c>
    </row>
    <row r="79" spans="1:12">
      <c r="A79" t="s">
        <v>32</v>
      </c>
      <c r="B79">
        <v>19</v>
      </c>
      <c r="C79" t="str">
        <f t="shared" si="18"/>
        <v>test.Base64_19_</v>
      </c>
      <c r="D79">
        <v>27</v>
      </c>
      <c r="E79">
        <v>3.1496062992125984E-2</v>
      </c>
      <c r="F79">
        <v>1.1380215932302306E-2</v>
      </c>
      <c r="G79" s="1">
        <f t="shared" si="19"/>
        <v>3.1496062992125984E-2</v>
      </c>
      <c r="H79" s="1" t="str">
        <f t="shared" si="20"/>
        <v/>
      </c>
      <c r="I79" s="1" t="str">
        <f t="shared" si="21"/>
        <v/>
      </c>
      <c r="J79" s="1" t="str">
        <f t="shared" si="22"/>
        <v/>
      </c>
      <c r="K79" s="1" t="str">
        <f t="shared" si="23"/>
        <v/>
      </c>
      <c r="L79" s="1" t="str">
        <f t="shared" si="24"/>
        <v/>
      </c>
    </row>
    <row r="80" spans="1:12">
      <c r="A80" t="s">
        <v>32</v>
      </c>
      <c r="B80">
        <v>19</v>
      </c>
      <c r="C80" t="str">
        <f t="shared" si="18"/>
        <v>test.Base64_19_</v>
      </c>
      <c r="D80">
        <v>28</v>
      </c>
      <c r="E80">
        <v>5.5118110236220472E-2</v>
      </c>
      <c r="F80">
        <v>2.6116136562591187E-2</v>
      </c>
      <c r="G80" s="1">
        <f t="shared" si="19"/>
        <v>5.5118110236220472E-2</v>
      </c>
      <c r="H80" s="1" t="str">
        <f t="shared" si="20"/>
        <v/>
      </c>
      <c r="I80" s="1" t="str">
        <f t="shared" si="21"/>
        <v/>
      </c>
      <c r="J80" s="1" t="str">
        <f t="shared" si="22"/>
        <v/>
      </c>
      <c r="K80" s="1" t="str">
        <f t="shared" si="23"/>
        <v/>
      </c>
      <c r="L80" s="1" t="str">
        <f t="shared" si="24"/>
        <v/>
      </c>
    </row>
    <row r="81" spans="1:12">
      <c r="A81" t="s">
        <v>32</v>
      </c>
      <c r="B81">
        <v>19</v>
      </c>
      <c r="C81" t="str">
        <f t="shared" si="18"/>
        <v>test.Base64_19_</v>
      </c>
      <c r="D81">
        <v>29</v>
      </c>
      <c r="E81">
        <v>0.48818897637795278</v>
      </c>
      <c r="F81">
        <v>0.85337029471841264</v>
      </c>
      <c r="G81" s="1" t="str">
        <f t="shared" si="19"/>
        <v/>
      </c>
      <c r="H81" s="1" t="str">
        <f t="shared" si="20"/>
        <v/>
      </c>
      <c r="I81" s="1" t="str">
        <f t="shared" si="21"/>
        <v/>
      </c>
      <c r="J81" s="1" t="str">
        <f t="shared" si="22"/>
        <v/>
      </c>
      <c r="K81" s="1">
        <f t="shared" si="23"/>
        <v>0.48818897637795278</v>
      </c>
      <c r="L81" s="1" t="str">
        <f t="shared" si="24"/>
        <v/>
      </c>
    </row>
    <row r="82" spans="1:12">
      <c r="A82" t="s">
        <v>32</v>
      </c>
      <c r="B82">
        <v>19</v>
      </c>
      <c r="C82" t="str">
        <f t="shared" si="18"/>
        <v>test.Base64_19_</v>
      </c>
      <c r="D82">
        <v>30</v>
      </c>
      <c r="E82">
        <v>0.53543307086614178</v>
      </c>
      <c r="F82">
        <v>0.90122556171578638</v>
      </c>
      <c r="G82" s="1" t="str">
        <f t="shared" si="19"/>
        <v/>
      </c>
      <c r="H82" s="1" t="str">
        <f t="shared" si="20"/>
        <v/>
      </c>
      <c r="I82" s="1" t="str">
        <f t="shared" si="21"/>
        <v/>
      </c>
      <c r="J82" s="1" t="str">
        <f t="shared" si="22"/>
        <v/>
      </c>
      <c r="K82" s="1">
        <f t="shared" si="23"/>
        <v>0.53543307086614178</v>
      </c>
      <c r="L82" s="1" t="str">
        <f t="shared" si="24"/>
        <v/>
      </c>
    </row>
    <row r="83" spans="1:12">
      <c r="A83" t="s">
        <v>32</v>
      </c>
      <c r="B83">
        <v>19</v>
      </c>
      <c r="C83" t="str">
        <f t="shared" si="18"/>
        <v>test.Base64_19_</v>
      </c>
      <c r="D83">
        <v>31</v>
      </c>
      <c r="E83">
        <v>0.69291338582677164</v>
      </c>
      <c r="F83">
        <v>0.92311059235482928</v>
      </c>
      <c r="G83" s="1" t="str">
        <f t="shared" si="19"/>
        <v/>
      </c>
      <c r="H83" s="1" t="str">
        <f t="shared" si="20"/>
        <v/>
      </c>
      <c r="I83" s="1" t="str">
        <f t="shared" si="21"/>
        <v/>
      </c>
      <c r="J83" s="1" t="str">
        <f t="shared" si="22"/>
        <v/>
      </c>
      <c r="K83" s="1">
        <f t="shared" si="23"/>
        <v>0.69291338582677164</v>
      </c>
      <c r="L83" s="1" t="str">
        <f t="shared" si="24"/>
        <v/>
      </c>
    </row>
    <row r="84" spans="1:12">
      <c r="A84" t="s">
        <v>32</v>
      </c>
      <c r="B84">
        <v>19</v>
      </c>
      <c r="C84" t="str">
        <f t="shared" si="18"/>
        <v>test.Base64_19_</v>
      </c>
      <c r="D84">
        <v>32</v>
      </c>
      <c r="E84">
        <v>0.69291338582677164</v>
      </c>
      <c r="F84">
        <v>0.93069740297636416</v>
      </c>
      <c r="G84" s="1" t="str">
        <f t="shared" si="19"/>
        <v/>
      </c>
      <c r="H84" s="1" t="str">
        <f t="shared" si="20"/>
        <v/>
      </c>
      <c r="I84" s="1" t="str">
        <f t="shared" si="21"/>
        <v/>
      </c>
      <c r="J84" s="1" t="str">
        <f t="shared" si="22"/>
        <v/>
      </c>
      <c r="K84" s="1">
        <f t="shared" si="23"/>
        <v>0.69291338582677164</v>
      </c>
      <c r="L84" s="1" t="str">
        <f t="shared" si="24"/>
        <v/>
      </c>
    </row>
    <row r="85" spans="1:12">
      <c r="A85" t="s">
        <v>32</v>
      </c>
      <c r="B85">
        <v>19</v>
      </c>
      <c r="C85" t="str">
        <f t="shared" si="18"/>
        <v>test.Base64_19_</v>
      </c>
      <c r="D85">
        <v>33</v>
      </c>
      <c r="E85">
        <v>0.74015748031496065</v>
      </c>
      <c r="F85">
        <v>0.93770061278085792</v>
      </c>
      <c r="G85" s="1" t="str">
        <f t="shared" si="19"/>
        <v/>
      </c>
      <c r="H85" s="1" t="str">
        <f t="shared" si="20"/>
        <v/>
      </c>
      <c r="I85" s="1" t="str">
        <f t="shared" si="21"/>
        <v/>
      </c>
      <c r="J85" s="1" t="str">
        <f t="shared" si="22"/>
        <v/>
      </c>
      <c r="K85" s="1">
        <f t="shared" si="23"/>
        <v>0.74015748031496065</v>
      </c>
      <c r="L85" s="1" t="str">
        <f t="shared" si="24"/>
        <v/>
      </c>
    </row>
    <row r="86" spans="1:12">
      <c r="A86" t="s">
        <v>32</v>
      </c>
      <c r="B86">
        <v>19</v>
      </c>
      <c r="C86" t="str">
        <f t="shared" si="18"/>
        <v>test.Base64_19_</v>
      </c>
      <c r="D86">
        <v>34</v>
      </c>
      <c r="E86">
        <v>0.77165354330708658</v>
      </c>
      <c r="F86">
        <v>0.94149401809162536</v>
      </c>
      <c r="G86" s="1" t="str">
        <f t="shared" si="19"/>
        <v/>
      </c>
      <c r="H86" s="1" t="str">
        <f t="shared" si="20"/>
        <v/>
      </c>
      <c r="I86" s="1" t="str">
        <f t="shared" si="21"/>
        <v/>
      </c>
      <c r="J86" s="1" t="str">
        <f t="shared" si="22"/>
        <v/>
      </c>
      <c r="K86" s="1">
        <f t="shared" si="23"/>
        <v>0.77165354330708658</v>
      </c>
      <c r="L86" s="1" t="str">
        <f t="shared" si="24"/>
        <v/>
      </c>
    </row>
    <row r="87" spans="1:12">
      <c r="A87" t="s">
        <v>32</v>
      </c>
      <c r="B87">
        <v>19</v>
      </c>
      <c r="C87" t="str">
        <f t="shared" si="18"/>
        <v>test.Base64_19_</v>
      </c>
      <c r="D87">
        <v>35</v>
      </c>
      <c r="E87">
        <v>0.80314960629921262</v>
      </c>
      <c r="F87">
        <v>0.94674642544499565</v>
      </c>
      <c r="G87" s="1" t="str">
        <f t="shared" si="19"/>
        <v/>
      </c>
      <c r="H87" s="1" t="str">
        <f t="shared" si="20"/>
        <v/>
      </c>
      <c r="I87" s="1" t="str">
        <f t="shared" si="21"/>
        <v/>
      </c>
      <c r="J87" s="1" t="str">
        <f t="shared" si="22"/>
        <v/>
      </c>
      <c r="K87" s="1">
        <f t="shared" si="23"/>
        <v>0.80314960629921262</v>
      </c>
      <c r="L87" s="1" t="str">
        <f t="shared" si="24"/>
        <v/>
      </c>
    </row>
    <row r="88" spans="1:12">
      <c r="A88" t="s">
        <v>32</v>
      </c>
      <c r="B88">
        <v>19</v>
      </c>
      <c r="C88" t="str">
        <f t="shared" si="18"/>
        <v>test.Base64_19_</v>
      </c>
      <c r="D88">
        <v>36</v>
      </c>
      <c r="E88">
        <v>0.80314960629921262</v>
      </c>
      <c r="F88">
        <v>0.9616282462795448</v>
      </c>
      <c r="G88" s="1" t="str">
        <f t="shared" si="19"/>
        <v/>
      </c>
      <c r="H88" s="1" t="str">
        <f t="shared" si="20"/>
        <v/>
      </c>
      <c r="I88" s="1" t="str">
        <f t="shared" si="21"/>
        <v/>
      </c>
      <c r="J88" s="1" t="str">
        <f t="shared" si="22"/>
        <v/>
      </c>
      <c r="K88" s="1">
        <f t="shared" si="23"/>
        <v>0.80314960629921262</v>
      </c>
      <c r="L88" s="1" t="str">
        <f t="shared" si="24"/>
        <v/>
      </c>
    </row>
    <row r="89" spans="1:12">
      <c r="A89" t="s">
        <v>32</v>
      </c>
      <c r="B89">
        <v>19</v>
      </c>
      <c r="C89" t="str">
        <f t="shared" si="18"/>
        <v>test.Base64_19_</v>
      </c>
      <c r="D89">
        <v>37</v>
      </c>
      <c r="E89">
        <v>0.80314960629921262</v>
      </c>
      <c r="F89">
        <v>0.96192004668806541</v>
      </c>
      <c r="G89" s="1" t="str">
        <f t="shared" si="19"/>
        <v/>
      </c>
      <c r="H89" s="1" t="str">
        <f t="shared" si="20"/>
        <v/>
      </c>
      <c r="I89" s="1" t="str">
        <f t="shared" si="21"/>
        <v/>
      </c>
      <c r="J89" s="1" t="str">
        <f t="shared" si="22"/>
        <v/>
      </c>
      <c r="K89" s="1">
        <f t="shared" si="23"/>
        <v>0.80314960629921262</v>
      </c>
      <c r="L89" s="1" t="str">
        <f t="shared" si="24"/>
        <v/>
      </c>
    </row>
    <row r="90" spans="1:12">
      <c r="A90" t="s">
        <v>32</v>
      </c>
      <c r="B90">
        <v>19</v>
      </c>
      <c r="C90" t="str">
        <f t="shared" si="18"/>
        <v>test.Base64_19_</v>
      </c>
      <c r="D90">
        <v>38</v>
      </c>
      <c r="E90">
        <v>0.88188976377952755</v>
      </c>
      <c r="F90">
        <v>0.96542165159031224</v>
      </c>
      <c r="G90" s="1" t="str">
        <f t="shared" si="19"/>
        <v/>
      </c>
      <c r="H90" s="1" t="str">
        <f t="shared" si="20"/>
        <v/>
      </c>
      <c r="I90" s="1" t="str">
        <f t="shared" si="21"/>
        <v/>
      </c>
      <c r="J90" s="1" t="str">
        <f t="shared" si="22"/>
        <v/>
      </c>
      <c r="K90" s="1">
        <f t="shared" si="23"/>
        <v>0.88188976377952755</v>
      </c>
      <c r="L90" s="1" t="str">
        <f t="shared" si="24"/>
        <v/>
      </c>
    </row>
    <row r="91" spans="1:12">
      <c r="A91" t="s">
        <v>32</v>
      </c>
      <c r="B91">
        <v>19</v>
      </c>
      <c r="C91" t="str">
        <f t="shared" si="18"/>
        <v>test.Base64_19_</v>
      </c>
      <c r="D91">
        <v>39</v>
      </c>
      <c r="E91">
        <v>0.88188976377952755</v>
      </c>
      <c r="F91">
        <v>0.9673183542456959</v>
      </c>
      <c r="G91" s="1" t="str">
        <f t="shared" si="19"/>
        <v/>
      </c>
      <c r="H91" s="1" t="str">
        <f t="shared" si="20"/>
        <v/>
      </c>
      <c r="I91" s="1" t="str">
        <f t="shared" si="21"/>
        <v/>
      </c>
      <c r="J91" s="1" t="str">
        <f t="shared" si="22"/>
        <v/>
      </c>
      <c r="K91" s="1">
        <f t="shared" si="23"/>
        <v>0.88188976377952755</v>
      </c>
      <c r="L91" s="1" t="str">
        <f t="shared" si="24"/>
        <v/>
      </c>
    </row>
    <row r="92" spans="1:12">
      <c r="A92" t="s">
        <v>32</v>
      </c>
      <c r="B92">
        <v>19</v>
      </c>
      <c r="C92" t="str">
        <f t="shared" si="18"/>
        <v>test.Base64_19_</v>
      </c>
      <c r="D92">
        <v>40</v>
      </c>
      <c r="E92">
        <v>0.88188976377952755</v>
      </c>
      <c r="F92">
        <v>0.9699445579223811</v>
      </c>
      <c r="G92" s="1" t="str">
        <f t="shared" si="19"/>
        <v/>
      </c>
      <c r="H92" s="1" t="str">
        <f t="shared" si="20"/>
        <v/>
      </c>
      <c r="I92" s="1" t="str">
        <f t="shared" si="21"/>
        <v/>
      </c>
      <c r="J92" s="1" t="str">
        <f t="shared" si="22"/>
        <v/>
      </c>
      <c r="K92" s="1">
        <f t="shared" si="23"/>
        <v>0.88188976377952755</v>
      </c>
      <c r="L92" s="1" t="str">
        <f t="shared" si="24"/>
        <v/>
      </c>
    </row>
    <row r="93" spans="1:12">
      <c r="A93" t="s">
        <v>32</v>
      </c>
      <c r="B93">
        <v>19</v>
      </c>
      <c r="C93" t="str">
        <f t="shared" si="18"/>
        <v>test.Base64_19_</v>
      </c>
      <c r="D93">
        <v>41</v>
      </c>
      <c r="E93">
        <v>0.88188976377952755</v>
      </c>
      <c r="F93">
        <v>0.97009045812664141</v>
      </c>
      <c r="G93" s="1" t="str">
        <f t="shared" si="19"/>
        <v/>
      </c>
      <c r="H93" s="1" t="str">
        <f t="shared" si="20"/>
        <v/>
      </c>
      <c r="I93" s="1" t="str">
        <f t="shared" si="21"/>
        <v/>
      </c>
      <c r="J93" s="1" t="str">
        <f t="shared" si="22"/>
        <v/>
      </c>
      <c r="K93" s="1">
        <f t="shared" si="23"/>
        <v>0.88188976377952755</v>
      </c>
      <c r="L93" s="1" t="str">
        <f t="shared" si="24"/>
        <v/>
      </c>
    </row>
    <row r="94" spans="1:12">
      <c r="A94" t="s">
        <v>32</v>
      </c>
      <c r="B94">
        <v>19</v>
      </c>
      <c r="C94" t="str">
        <f t="shared" si="18"/>
        <v>test.Base64_19_</v>
      </c>
      <c r="D94">
        <v>42</v>
      </c>
      <c r="E94">
        <v>0.88188976377952755</v>
      </c>
      <c r="F94">
        <v>0.97227896119054569</v>
      </c>
      <c r="G94" s="1" t="str">
        <f t="shared" si="19"/>
        <v/>
      </c>
      <c r="H94" s="1" t="str">
        <f t="shared" si="20"/>
        <v/>
      </c>
      <c r="I94" s="1" t="str">
        <f t="shared" si="21"/>
        <v/>
      </c>
      <c r="J94" s="1" t="str">
        <f t="shared" si="22"/>
        <v/>
      </c>
      <c r="K94" s="1">
        <f t="shared" si="23"/>
        <v>0.88188976377952755</v>
      </c>
      <c r="L94" s="1" t="str">
        <f t="shared" si="24"/>
        <v/>
      </c>
    </row>
    <row r="95" spans="1:12">
      <c r="A95" t="s">
        <v>32</v>
      </c>
      <c r="B95">
        <v>19</v>
      </c>
      <c r="C95" t="str">
        <f t="shared" si="18"/>
        <v>test.Base64_19_</v>
      </c>
      <c r="D95">
        <v>43</v>
      </c>
      <c r="E95">
        <v>0.88188976377952755</v>
      </c>
      <c r="F95">
        <v>0.97402976364166904</v>
      </c>
      <c r="G95" s="1" t="str">
        <f t="shared" si="19"/>
        <v/>
      </c>
      <c r="H95" s="1" t="str">
        <f t="shared" si="20"/>
        <v/>
      </c>
      <c r="I95" s="1" t="str">
        <f t="shared" si="21"/>
        <v/>
      </c>
      <c r="J95" s="1" t="str">
        <f t="shared" si="22"/>
        <v/>
      </c>
      <c r="K95" s="1">
        <f t="shared" si="23"/>
        <v>0.88188976377952755</v>
      </c>
      <c r="L95" s="1" t="str">
        <f t="shared" si="24"/>
        <v/>
      </c>
    </row>
    <row r="96" spans="1:12">
      <c r="A96" t="s">
        <v>32</v>
      </c>
      <c r="B96">
        <v>19</v>
      </c>
      <c r="C96" t="str">
        <f t="shared" si="18"/>
        <v>test.Base64_19_</v>
      </c>
      <c r="D96">
        <v>44</v>
      </c>
      <c r="E96">
        <v>0.88188976377952755</v>
      </c>
      <c r="F96">
        <v>0.97782316895243648</v>
      </c>
      <c r="G96" s="1" t="str">
        <f t="shared" si="19"/>
        <v/>
      </c>
      <c r="H96" s="1" t="str">
        <f t="shared" si="20"/>
        <v/>
      </c>
      <c r="I96" s="1" t="str">
        <f t="shared" si="21"/>
        <v/>
      </c>
      <c r="J96" s="1" t="str">
        <f t="shared" si="22"/>
        <v/>
      </c>
      <c r="K96" s="1">
        <f t="shared" si="23"/>
        <v>0.88188976377952755</v>
      </c>
      <c r="L96" s="1" t="str">
        <f t="shared" si="24"/>
        <v/>
      </c>
    </row>
    <row r="97" spans="1:12">
      <c r="A97" t="s">
        <v>32</v>
      </c>
      <c r="B97">
        <v>19</v>
      </c>
      <c r="C97" t="str">
        <f t="shared" si="18"/>
        <v>test.Base64_19_</v>
      </c>
      <c r="D97">
        <v>45</v>
      </c>
      <c r="E97">
        <v>0.88188976377952755</v>
      </c>
      <c r="F97">
        <v>0.97957397140355995</v>
      </c>
      <c r="G97" s="1" t="str">
        <f t="shared" si="19"/>
        <v/>
      </c>
      <c r="H97" s="1" t="str">
        <f t="shared" si="20"/>
        <v/>
      </c>
      <c r="I97" s="1" t="str">
        <f t="shared" si="21"/>
        <v/>
      </c>
      <c r="J97" s="1" t="str">
        <f t="shared" si="22"/>
        <v/>
      </c>
      <c r="K97" s="1">
        <f t="shared" si="23"/>
        <v>0.88188976377952755</v>
      </c>
      <c r="L97" s="1" t="str">
        <f t="shared" si="24"/>
        <v/>
      </c>
    </row>
    <row r="98" spans="1:12">
      <c r="A98" t="s">
        <v>32</v>
      </c>
      <c r="B98">
        <v>19</v>
      </c>
      <c r="C98" t="str">
        <f t="shared" si="18"/>
        <v>test.Base64_19_</v>
      </c>
      <c r="D98">
        <v>46</v>
      </c>
      <c r="E98">
        <v>0.88188976377952755</v>
      </c>
      <c r="F98">
        <v>0.98336737671432739</v>
      </c>
      <c r="G98" s="1" t="str">
        <f t="shared" si="19"/>
        <v/>
      </c>
      <c r="H98" s="1" t="str">
        <f t="shared" si="20"/>
        <v/>
      </c>
      <c r="I98" s="1" t="str">
        <f t="shared" si="21"/>
        <v/>
      </c>
      <c r="J98" s="1" t="str">
        <f t="shared" si="22"/>
        <v/>
      </c>
      <c r="K98" s="1">
        <f t="shared" si="23"/>
        <v>0.88188976377952755</v>
      </c>
      <c r="L98" s="1" t="str">
        <f t="shared" si="24"/>
        <v/>
      </c>
    </row>
    <row r="99" spans="1:12">
      <c r="A99" t="s">
        <v>32</v>
      </c>
      <c r="B99">
        <v>19</v>
      </c>
      <c r="C99" t="str">
        <f t="shared" si="18"/>
        <v>test.Base64_19_</v>
      </c>
      <c r="D99">
        <v>1</v>
      </c>
      <c r="E99">
        <v>0.88188976377952755</v>
      </c>
      <c r="F99">
        <v>0.98395097753136851</v>
      </c>
      <c r="G99" s="1" t="str">
        <f t="shared" si="19"/>
        <v/>
      </c>
      <c r="H99" s="1" t="str">
        <f t="shared" si="20"/>
        <v/>
      </c>
      <c r="I99" s="1" t="str">
        <f t="shared" si="21"/>
        <v/>
      </c>
      <c r="J99" s="1" t="str">
        <f t="shared" si="22"/>
        <v/>
      </c>
      <c r="K99" s="1">
        <f t="shared" si="23"/>
        <v>0.88188976377952755</v>
      </c>
      <c r="L99" s="1" t="str">
        <f t="shared" si="24"/>
        <v/>
      </c>
    </row>
    <row r="100" spans="1:12">
      <c r="A100" t="s">
        <v>32</v>
      </c>
      <c r="B100">
        <v>19</v>
      </c>
      <c r="C100" t="str">
        <f t="shared" si="18"/>
        <v>test.Base64_19_</v>
      </c>
      <c r="D100">
        <v>2</v>
      </c>
      <c r="E100">
        <v>1</v>
      </c>
      <c r="F100">
        <v>0.99153778815290339</v>
      </c>
      <c r="G100" s="1" t="str">
        <f t="shared" si="19"/>
        <v/>
      </c>
      <c r="H100" s="1" t="str">
        <f t="shared" si="20"/>
        <v/>
      </c>
      <c r="I100" s="1" t="str">
        <f t="shared" si="21"/>
        <v/>
      </c>
      <c r="J100" s="1" t="str">
        <f t="shared" si="22"/>
        <v/>
      </c>
      <c r="K100" s="1">
        <f t="shared" si="23"/>
        <v>1</v>
      </c>
      <c r="L100" s="1" t="str">
        <f t="shared" si="24"/>
        <v/>
      </c>
    </row>
    <row r="101" spans="1:12">
      <c r="A101" t="s">
        <v>32</v>
      </c>
      <c r="B101">
        <v>19</v>
      </c>
      <c r="C101" t="str">
        <f t="shared" si="18"/>
        <v>test.Base64_19_</v>
      </c>
      <c r="D101">
        <v>3</v>
      </c>
      <c r="E101">
        <v>1</v>
      </c>
      <c r="F101">
        <v>0.99679019550627368</v>
      </c>
      <c r="G101" s="1" t="str">
        <f t="shared" si="19"/>
        <v/>
      </c>
      <c r="H101" s="1" t="str">
        <f t="shared" si="20"/>
        <v/>
      </c>
      <c r="I101" s="1" t="str">
        <f t="shared" si="21"/>
        <v/>
      </c>
      <c r="J101" s="1" t="str">
        <f t="shared" si="22"/>
        <v/>
      </c>
      <c r="K101" s="1">
        <f t="shared" si="23"/>
        <v>1</v>
      </c>
      <c r="L101" s="1" t="str">
        <f t="shared" si="24"/>
        <v/>
      </c>
    </row>
    <row r="102" spans="1:12">
      <c r="A102" t="s">
        <v>32</v>
      </c>
      <c r="B102">
        <v>19</v>
      </c>
      <c r="C102" t="str">
        <f t="shared" si="18"/>
        <v>test.Base64_19_</v>
      </c>
      <c r="D102">
        <v>4</v>
      </c>
      <c r="E102">
        <v>1</v>
      </c>
      <c r="F102">
        <v>0.99956229938721919</v>
      </c>
      <c r="G102" s="1" t="str">
        <f t="shared" si="19"/>
        <v/>
      </c>
      <c r="H102" s="1" t="str">
        <f t="shared" si="20"/>
        <v/>
      </c>
      <c r="I102" s="1" t="str">
        <f t="shared" si="21"/>
        <v/>
      </c>
      <c r="J102" s="1" t="str">
        <f t="shared" si="22"/>
        <v/>
      </c>
      <c r="K102" s="1">
        <f t="shared" si="23"/>
        <v>1</v>
      </c>
      <c r="L102" s="1" t="str">
        <f t="shared" si="24"/>
        <v/>
      </c>
    </row>
    <row r="103" spans="1:12">
      <c r="A103" t="s">
        <v>32</v>
      </c>
      <c r="B103">
        <v>19</v>
      </c>
      <c r="C103" t="str">
        <f t="shared" si="18"/>
        <v>test.Base64_19_</v>
      </c>
      <c r="D103">
        <v>5</v>
      </c>
      <c r="E103">
        <v>1</v>
      </c>
      <c r="F103">
        <v>1.0068573096002333</v>
      </c>
      <c r="G103" s="1" t="str">
        <f t="shared" si="19"/>
        <v/>
      </c>
      <c r="H103" s="1" t="str">
        <f t="shared" si="20"/>
        <v/>
      </c>
      <c r="I103" s="1" t="str">
        <f t="shared" si="21"/>
        <v/>
      </c>
      <c r="J103" s="1" t="str">
        <f t="shared" si="22"/>
        <v/>
      </c>
      <c r="K103" s="1">
        <f t="shared" si="23"/>
        <v>1</v>
      </c>
      <c r="L103" s="1" t="str">
        <f t="shared" si="24"/>
        <v/>
      </c>
    </row>
    <row r="104" spans="1:12">
      <c r="A104" t="s">
        <v>32</v>
      </c>
      <c r="B104">
        <v>20</v>
      </c>
      <c r="C104" t="str">
        <f t="shared" si="18"/>
        <v>test.Base64_20_</v>
      </c>
      <c r="D104">
        <v>6</v>
      </c>
      <c r="E104">
        <v>0.60377358490566035</v>
      </c>
      <c r="F104">
        <v>0.86631016042780751</v>
      </c>
      <c r="G104" s="1" t="str">
        <f t="shared" si="19"/>
        <v/>
      </c>
      <c r="H104" s="1" t="str">
        <f t="shared" si="20"/>
        <v/>
      </c>
      <c r="I104" s="1" t="str">
        <f t="shared" si="21"/>
        <v/>
      </c>
      <c r="J104" s="1" t="str">
        <f t="shared" si="22"/>
        <v/>
      </c>
      <c r="K104" s="1">
        <f t="shared" si="23"/>
        <v>0.60377358490566035</v>
      </c>
      <c r="L104" s="1" t="str">
        <f t="shared" si="24"/>
        <v/>
      </c>
    </row>
    <row r="105" spans="1:12">
      <c r="A105" t="s">
        <v>32</v>
      </c>
      <c r="B105">
        <v>20</v>
      </c>
      <c r="C105" t="str">
        <f t="shared" si="18"/>
        <v>test.Base64_20_</v>
      </c>
      <c r="D105">
        <v>7</v>
      </c>
      <c r="E105">
        <v>0.63207547169811318</v>
      </c>
      <c r="F105">
        <v>0.87477718360071299</v>
      </c>
      <c r="G105" s="1" t="str">
        <f t="shared" si="19"/>
        <v/>
      </c>
      <c r="H105" s="1" t="str">
        <f t="shared" si="20"/>
        <v/>
      </c>
      <c r="I105" s="1" t="str">
        <f t="shared" si="21"/>
        <v/>
      </c>
      <c r="J105" s="1" t="str">
        <f t="shared" si="22"/>
        <v/>
      </c>
      <c r="K105" s="1">
        <f t="shared" si="23"/>
        <v>0.63207547169811318</v>
      </c>
      <c r="L105" s="1" t="str">
        <f t="shared" si="24"/>
        <v/>
      </c>
    </row>
    <row r="106" spans="1:12">
      <c r="A106" t="s">
        <v>32</v>
      </c>
      <c r="B106">
        <v>20</v>
      </c>
      <c r="C106" t="str">
        <f t="shared" si="18"/>
        <v>test.Base64_20_</v>
      </c>
      <c r="D106">
        <v>8</v>
      </c>
      <c r="E106">
        <v>0.63207547169811318</v>
      </c>
      <c r="F106">
        <v>0.87611408199643492</v>
      </c>
      <c r="G106" s="1" t="str">
        <f t="shared" si="19"/>
        <v/>
      </c>
      <c r="H106" s="1" t="str">
        <f t="shared" si="20"/>
        <v/>
      </c>
      <c r="I106" s="1" t="str">
        <f t="shared" si="21"/>
        <v/>
      </c>
      <c r="J106" s="1" t="str">
        <f t="shared" si="22"/>
        <v/>
      </c>
      <c r="K106" s="1">
        <f t="shared" si="23"/>
        <v>0.63207547169811318</v>
      </c>
      <c r="L106" s="1" t="str">
        <f t="shared" si="24"/>
        <v/>
      </c>
    </row>
    <row r="107" spans="1:12">
      <c r="A107" t="s">
        <v>32</v>
      </c>
      <c r="B107">
        <v>20</v>
      </c>
      <c r="C107" t="str">
        <f t="shared" si="18"/>
        <v>test.Base64_20_</v>
      </c>
      <c r="D107">
        <v>9</v>
      </c>
      <c r="E107">
        <v>0.63207547169811318</v>
      </c>
      <c r="F107">
        <v>0.87901069518716579</v>
      </c>
      <c r="G107" s="1" t="str">
        <f t="shared" si="19"/>
        <v/>
      </c>
      <c r="H107" s="1" t="str">
        <f t="shared" si="20"/>
        <v/>
      </c>
      <c r="I107" s="1" t="str">
        <f t="shared" si="21"/>
        <v/>
      </c>
      <c r="J107" s="1" t="str">
        <f t="shared" si="22"/>
        <v/>
      </c>
      <c r="K107" s="1">
        <f t="shared" si="23"/>
        <v>0.63207547169811318</v>
      </c>
      <c r="L107" s="1" t="str">
        <f t="shared" si="24"/>
        <v/>
      </c>
    </row>
    <row r="108" spans="1:12">
      <c r="A108" t="s">
        <v>32</v>
      </c>
      <c r="B108">
        <v>20</v>
      </c>
      <c r="C108" t="str">
        <f t="shared" si="18"/>
        <v>test.Base64_20_</v>
      </c>
      <c r="D108">
        <v>10</v>
      </c>
      <c r="E108">
        <v>0.660377358490566</v>
      </c>
      <c r="F108">
        <v>0.88101604278074863</v>
      </c>
      <c r="G108" s="1" t="str">
        <f t="shared" si="19"/>
        <v/>
      </c>
      <c r="H108" s="1" t="str">
        <f t="shared" si="20"/>
        <v/>
      </c>
      <c r="I108" s="1" t="str">
        <f t="shared" si="21"/>
        <v/>
      </c>
      <c r="J108" s="1" t="str">
        <f t="shared" si="22"/>
        <v/>
      </c>
      <c r="K108" s="1">
        <f t="shared" si="23"/>
        <v>0.660377358490566</v>
      </c>
      <c r="L108" s="1" t="str">
        <f t="shared" si="24"/>
        <v/>
      </c>
    </row>
    <row r="109" spans="1:12">
      <c r="A109" t="s">
        <v>32</v>
      </c>
      <c r="B109">
        <v>20</v>
      </c>
      <c r="C109" t="str">
        <f t="shared" si="18"/>
        <v>test.Base64_20_</v>
      </c>
      <c r="D109">
        <v>11</v>
      </c>
      <c r="E109">
        <v>0.68867924528301883</v>
      </c>
      <c r="F109">
        <v>0.8839126559714795</v>
      </c>
      <c r="G109" s="1" t="str">
        <f t="shared" si="19"/>
        <v/>
      </c>
      <c r="H109" s="1" t="str">
        <f t="shared" si="20"/>
        <v/>
      </c>
      <c r="I109" s="1" t="str">
        <f t="shared" si="21"/>
        <v/>
      </c>
      <c r="J109" s="1" t="str">
        <f t="shared" si="22"/>
        <v/>
      </c>
      <c r="K109" s="1">
        <f t="shared" si="23"/>
        <v>0.68867924528301883</v>
      </c>
      <c r="L109" s="1" t="str">
        <f t="shared" si="24"/>
        <v/>
      </c>
    </row>
    <row r="110" spans="1:12">
      <c r="A110" t="s">
        <v>32</v>
      </c>
      <c r="B110">
        <v>20</v>
      </c>
      <c r="C110" t="str">
        <f t="shared" si="18"/>
        <v>test.Base64_20_</v>
      </c>
      <c r="D110">
        <v>12</v>
      </c>
      <c r="E110">
        <v>0.83018867924528306</v>
      </c>
      <c r="F110">
        <v>0.88591800356506234</v>
      </c>
      <c r="G110" s="1" t="str">
        <f t="shared" si="19"/>
        <v/>
      </c>
      <c r="H110" s="1" t="str">
        <f t="shared" si="20"/>
        <v/>
      </c>
      <c r="I110" s="1" t="str">
        <f t="shared" si="21"/>
        <v/>
      </c>
      <c r="J110" s="1" t="str">
        <f t="shared" si="22"/>
        <v/>
      </c>
      <c r="K110" s="1">
        <f t="shared" si="23"/>
        <v>0.83018867924528306</v>
      </c>
      <c r="L110" s="1" t="str">
        <f t="shared" si="24"/>
        <v/>
      </c>
    </row>
    <row r="111" spans="1:12">
      <c r="A111" t="s">
        <v>32</v>
      </c>
      <c r="B111">
        <v>20</v>
      </c>
      <c r="C111" t="str">
        <f t="shared" si="18"/>
        <v>test.Base64_20_</v>
      </c>
      <c r="D111">
        <v>13</v>
      </c>
      <c r="E111">
        <v>0.83018867924528306</v>
      </c>
      <c r="F111">
        <v>0.88614081996434935</v>
      </c>
      <c r="G111" s="1" t="str">
        <f t="shared" si="19"/>
        <v/>
      </c>
      <c r="H111" s="1" t="str">
        <f t="shared" si="20"/>
        <v/>
      </c>
      <c r="I111" s="1" t="str">
        <f t="shared" si="21"/>
        <v/>
      </c>
      <c r="J111" s="1" t="str">
        <f t="shared" si="22"/>
        <v/>
      </c>
      <c r="K111" s="1">
        <f t="shared" si="23"/>
        <v>0.83018867924528306</v>
      </c>
      <c r="L111" s="1" t="str">
        <f t="shared" si="24"/>
        <v/>
      </c>
    </row>
    <row r="112" spans="1:12">
      <c r="A112" t="s">
        <v>32</v>
      </c>
      <c r="B112">
        <v>20</v>
      </c>
      <c r="C112" t="str">
        <f t="shared" si="18"/>
        <v>test.Base64_20_</v>
      </c>
      <c r="D112">
        <v>14</v>
      </c>
      <c r="E112">
        <v>0.83018867924528306</v>
      </c>
      <c r="F112">
        <v>0.88926024955436722</v>
      </c>
      <c r="G112" s="1" t="str">
        <f t="shared" si="19"/>
        <v/>
      </c>
      <c r="H112" s="1" t="str">
        <f t="shared" si="20"/>
        <v/>
      </c>
      <c r="I112" s="1" t="str">
        <f t="shared" si="21"/>
        <v/>
      </c>
      <c r="J112" s="1" t="str">
        <f t="shared" si="22"/>
        <v/>
      </c>
      <c r="K112" s="1">
        <f t="shared" si="23"/>
        <v>0.83018867924528306</v>
      </c>
      <c r="L112" s="1" t="str">
        <f t="shared" si="24"/>
        <v/>
      </c>
    </row>
    <row r="113" spans="1:12">
      <c r="A113" t="s">
        <v>32</v>
      </c>
      <c r="B113">
        <v>20</v>
      </c>
      <c r="C113" t="str">
        <f t="shared" si="18"/>
        <v>test.Base64_20_</v>
      </c>
      <c r="D113">
        <v>15</v>
      </c>
      <c r="E113">
        <v>0.83018867924528306</v>
      </c>
      <c r="F113">
        <v>0.89371657754010692</v>
      </c>
      <c r="G113" s="1" t="str">
        <f t="shared" si="19"/>
        <v/>
      </c>
      <c r="H113" s="1" t="str">
        <f t="shared" si="20"/>
        <v/>
      </c>
      <c r="I113" s="1" t="str">
        <f t="shared" si="21"/>
        <v/>
      </c>
      <c r="J113" s="1" t="str">
        <f t="shared" si="22"/>
        <v/>
      </c>
      <c r="K113" s="1">
        <f t="shared" si="23"/>
        <v>0.83018867924528306</v>
      </c>
      <c r="L113" s="1" t="str">
        <f t="shared" si="24"/>
        <v/>
      </c>
    </row>
    <row r="114" spans="1:12">
      <c r="A114" t="s">
        <v>32</v>
      </c>
      <c r="B114">
        <v>20</v>
      </c>
      <c r="C114" t="str">
        <f t="shared" si="18"/>
        <v>test.Base64_20_</v>
      </c>
      <c r="D114">
        <v>16</v>
      </c>
      <c r="E114">
        <v>0.86792452830188682</v>
      </c>
      <c r="F114">
        <v>0.89639037433155078</v>
      </c>
      <c r="G114" s="1" t="str">
        <f t="shared" si="19"/>
        <v/>
      </c>
      <c r="H114" s="1" t="str">
        <f t="shared" si="20"/>
        <v/>
      </c>
      <c r="I114" s="1" t="str">
        <f t="shared" si="21"/>
        <v/>
      </c>
      <c r="J114" s="1" t="str">
        <f t="shared" si="22"/>
        <v/>
      </c>
      <c r="K114" s="1">
        <f t="shared" si="23"/>
        <v>0.86792452830188682</v>
      </c>
      <c r="L114" s="1" t="str">
        <f t="shared" si="24"/>
        <v/>
      </c>
    </row>
    <row r="115" spans="1:12">
      <c r="A115" t="s">
        <v>32</v>
      </c>
      <c r="B115">
        <v>20</v>
      </c>
      <c r="C115" t="str">
        <f t="shared" si="18"/>
        <v>test.Base64_20_</v>
      </c>
      <c r="D115">
        <v>17</v>
      </c>
      <c r="E115">
        <v>0.90566037735849059</v>
      </c>
      <c r="F115">
        <v>0.89661319073083778</v>
      </c>
      <c r="G115" s="1" t="str">
        <f t="shared" si="19"/>
        <v/>
      </c>
      <c r="H115" s="1" t="str">
        <f t="shared" si="20"/>
        <v/>
      </c>
      <c r="I115" s="1" t="str">
        <f t="shared" si="21"/>
        <v/>
      </c>
      <c r="J115" s="1" t="str">
        <f t="shared" si="22"/>
        <v/>
      </c>
      <c r="K115" s="1">
        <f t="shared" si="23"/>
        <v>0.90566037735849059</v>
      </c>
      <c r="L115" s="1" t="str">
        <f t="shared" si="24"/>
        <v/>
      </c>
    </row>
    <row r="116" spans="1:12">
      <c r="A116" t="s">
        <v>32</v>
      </c>
      <c r="B116">
        <v>20</v>
      </c>
      <c r="C116" t="str">
        <f t="shared" si="18"/>
        <v>test.Base64_20_</v>
      </c>
      <c r="D116">
        <v>18</v>
      </c>
      <c r="E116">
        <v>0.90566037735849059</v>
      </c>
      <c r="F116">
        <v>0.90708556149732622</v>
      </c>
      <c r="G116" s="1" t="str">
        <f t="shared" si="19"/>
        <v/>
      </c>
      <c r="H116" s="1" t="str">
        <f t="shared" si="20"/>
        <v/>
      </c>
      <c r="I116" s="1" t="str">
        <f t="shared" si="21"/>
        <v/>
      </c>
      <c r="J116" s="1" t="str">
        <f t="shared" si="22"/>
        <v/>
      </c>
      <c r="K116" s="1">
        <f t="shared" si="23"/>
        <v>0.90566037735849059</v>
      </c>
      <c r="L116" s="1" t="str">
        <f t="shared" si="24"/>
        <v/>
      </c>
    </row>
    <row r="117" spans="1:12">
      <c r="A117" t="s">
        <v>32</v>
      </c>
      <c r="B117">
        <v>20</v>
      </c>
      <c r="C117" t="str">
        <f t="shared" si="18"/>
        <v>test.Base64_20_</v>
      </c>
      <c r="D117">
        <v>19</v>
      </c>
      <c r="E117">
        <v>0.90566037735849059</v>
      </c>
      <c r="F117">
        <v>0.91131907308377902</v>
      </c>
      <c r="G117" s="1" t="str">
        <f t="shared" si="19"/>
        <v/>
      </c>
      <c r="H117" s="1" t="str">
        <f t="shared" si="20"/>
        <v/>
      </c>
      <c r="I117" s="1" t="str">
        <f t="shared" si="21"/>
        <v/>
      </c>
      <c r="J117" s="1" t="str">
        <f t="shared" si="22"/>
        <v/>
      </c>
      <c r="K117" s="1">
        <f t="shared" si="23"/>
        <v>0.90566037735849059</v>
      </c>
      <c r="L117" s="1" t="str">
        <f t="shared" si="24"/>
        <v/>
      </c>
    </row>
    <row r="118" spans="1:12">
      <c r="A118" t="s">
        <v>32</v>
      </c>
      <c r="B118">
        <v>20</v>
      </c>
      <c r="C118" t="str">
        <f t="shared" si="18"/>
        <v>test.Base64_20_</v>
      </c>
      <c r="D118">
        <v>20</v>
      </c>
      <c r="E118">
        <v>1</v>
      </c>
      <c r="F118">
        <v>0.91243315508021394</v>
      </c>
      <c r="G118" s="1" t="str">
        <f t="shared" si="19"/>
        <v/>
      </c>
      <c r="H118" s="1" t="str">
        <f t="shared" si="20"/>
        <v/>
      </c>
      <c r="I118" s="1" t="str">
        <f t="shared" si="21"/>
        <v/>
      </c>
      <c r="J118" s="1" t="str">
        <f t="shared" si="22"/>
        <v/>
      </c>
      <c r="K118" s="1">
        <f t="shared" si="23"/>
        <v>1</v>
      </c>
      <c r="L118" s="1" t="str">
        <f t="shared" si="24"/>
        <v/>
      </c>
    </row>
    <row r="119" spans="1:12">
      <c r="A119" t="s">
        <v>32</v>
      </c>
      <c r="B119">
        <v>20</v>
      </c>
      <c r="C119" t="str">
        <f t="shared" si="18"/>
        <v>test.Base64_20_</v>
      </c>
      <c r="D119">
        <v>21</v>
      </c>
      <c r="E119">
        <v>1</v>
      </c>
      <c r="F119">
        <v>0.91755793226381466</v>
      </c>
      <c r="G119" s="1" t="str">
        <f t="shared" si="19"/>
        <v/>
      </c>
      <c r="H119" s="1" t="str">
        <f t="shared" si="20"/>
        <v/>
      </c>
      <c r="I119" s="1" t="str">
        <f t="shared" si="21"/>
        <v/>
      </c>
      <c r="J119" s="1" t="str">
        <f t="shared" si="22"/>
        <v/>
      </c>
      <c r="K119" s="1">
        <f t="shared" si="23"/>
        <v>1</v>
      </c>
      <c r="L119" s="1" t="str">
        <f t="shared" si="24"/>
        <v/>
      </c>
    </row>
    <row r="120" spans="1:12">
      <c r="A120" t="s">
        <v>32</v>
      </c>
      <c r="B120">
        <v>20</v>
      </c>
      <c r="C120" t="str">
        <f t="shared" si="18"/>
        <v>test.Base64_20_</v>
      </c>
      <c r="D120">
        <v>22</v>
      </c>
      <c r="E120">
        <v>1</v>
      </c>
      <c r="F120">
        <v>0.92023172905525852</v>
      </c>
      <c r="G120" s="1" t="str">
        <f t="shared" si="19"/>
        <v/>
      </c>
      <c r="H120" s="1" t="str">
        <f t="shared" si="20"/>
        <v/>
      </c>
      <c r="I120" s="1" t="str">
        <f t="shared" si="21"/>
        <v/>
      </c>
      <c r="J120" s="1" t="str">
        <f t="shared" si="22"/>
        <v/>
      </c>
      <c r="K120" s="1">
        <f t="shared" si="23"/>
        <v>1</v>
      </c>
      <c r="L120" s="1" t="str">
        <f t="shared" si="24"/>
        <v/>
      </c>
    </row>
    <row r="121" spans="1:12">
      <c r="A121" t="s">
        <v>32</v>
      </c>
      <c r="B121">
        <v>20</v>
      </c>
      <c r="C121" t="str">
        <f t="shared" si="18"/>
        <v>test.Base64_20_</v>
      </c>
      <c r="D121">
        <v>23</v>
      </c>
      <c r="E121">
        <v>1</v>
      </c>
      <c r="F121">
        <v>0.92357397504456329</v>
      </c>
      <c r="G121" s="1" t="str">
        <f t="shared" si="19"/>
        <v/>
      </c>
      <c r="H121" s="1" t="str">
        <f t="shared" si="20"/>
        <v/>
      </c>
      <c r="I121" s="1" t="str">
        <f t="shared" si="21"/>
        <v/>
      </c>
      <c r="J121" s="1" t="str">
        <f t="shared" si="22"/>
        <v/>
      </c>
      <c r="K121" s="1">
        <f t="shared" si="23"/>
        <v>1</v>
      </c>
      <c r="L121" s="1" t="str">
        <f t="shared" si="24"/>
        <v/>
      </c>
    </row>
    <row r="122" spans="1:12">
      <c r="A122" t="s">
        <v>32</v>
      </c>
      <c r="B122">
        <v>20</v>
      </c>
      <c r="C122" t="str">
        <f t="shared" si="18"/>
        <v>test.Base64_20_</v>
      </c>
      <c r="D122">
        <v>24</v>
      </c>
      <c r="E122">
        <v>1</v>
      </c>
      <c r="F122">
        <v>0.92936720142602491</v>
      </c>
      <c r="G122" s="1" t="str">
        <f t="shared" si="19"/>
        <v/>
      </c>
      <c r="H122" s="1" t="str">
        <f t="shared" si="20"/>
        <v/>
      </c>
      <c r="I122" s="1" t="str">
        <f t="shared" si="21"/>
        <v/>
      </c>
      <c r="J122" s="1" t="str">
        <f t="shared" si="22"/>
        <v/>
      </c>
      <c r="K122" s="1">
        <f t="shared" si="23"/>
        <v>1</v>
      </c>
      <c r="L122" s="1" t="str">
        <f t="shared" si="24"/>
        <v/>
      </c>
    </row>
    <row r="123" spans="1:12">
      <c r="A123" t="s">
        <v>32</v>
      </c>
      <c r="B123">
        <v>20</v>
      </c>
      <c r="C123" t="str">
        <f t="shared" si="18"/>
        <v>test.Base64_20_</v>
      </c>
      <c r="D123">
        <v>25</v>
      </c>
      <c r="E123">
        <v>1</v>
      </c>
      <c r="F123">
        <v>0.93917112299465244</v>
      </c>
      <c r="G123" s="1" t="str">
        <f t="shared" si="19"/>
        <v/>
      </c>
      <c r="H123" s="1" t="str">
        <f t="shared" si="20"/>
        <v/>
      </c>
      <c r="I123" s="1" t="str">
        <f t="shared" si="21"/>
        <v/>
      </c>
      <c r="J123" s="1" t="str">
        <f t="shared" si="22"/>
        <v/>
      </c>
      <c r="K123" s="1">
        <f t="shared" si="23"/>
        <v>1</v>
      </c>
      <c r="L123" s="1" t="str">
        <f t="shared" si="24"/>
        <v/>
      </c>
    </row>
    <row r="124" spans="1:12">
      <c r="A124" t="s">
        <v>32</v>
      </c>
      <c r="B124">
        <v>20</v>
      </c>
      <c r="C124" t="str">
        <f t="shared" si="18"/>
        <v>test.Base64_20_</v>
      </c>
      <c r="D124">
        <v>26</v>
      </c>
      <c r="E124">
        <v>1</v>
      </c>
      <c r="F124">
        <v>0.96256684491978606</v>
      </c>
      <c r="G124" s="1" t="str">
        <f t="shared" si="19"/>
        <v/>
      </c>
      <c r="H124" s="1" t="str">
        <f t="shared" si="20"/>
        <v/>
      </c>
      <c r="I124" s="1" t="str">
        <f t="shared" si="21"/>
        <v/>
      </c>
      <c r="J124" s="1" t="str">
        <f t="shared" si="22"/>
        <v/>
      </c>
      <c r="K124" s="1">
        <f t="shared" si="23"/>
        <v>1</v>
      </c>
      <c r="L124" s="1" t="str">
        <f t="shared" si="24"/>
        <v/>
      </c>
    </row>
    <row r="125" spans="1:12">
      <c r="A125" t="s">
        <v>56</v>
      </c>
      <c r="B125">
        <v>10</v>
      </c>
      <c r="C125" t="str">
        <f t="shared" si="18"/>
        <v>test.Class11_10_</v>
      </c>
      <c r="D125">
        <v>27</v>
      </c>
      <c r="E125">
        <v>0.10837438423645321</v>
      </c>
      <c r="F125">
        <v>0.11234791612736215</v>
      </c>
      <c r="G125" s="1">
        <f t="shared" si="19"/>
        <v>0.10837438423645321</v>
      </c>
      <c r="H125" s="1" t="str">
        <f t="shared" si="20"/>
        <v/>
      </c>
      <c r="I125" s="1" t="str">
        <f t="shared" si="21"/>
        <v/>
      </c>
      <c r="J125" s="1" t="str">
        <f t="shared" si="22"/>
        <v/>
      </c>
      <c r="K125" s="1" t="str">
        <f t="shared" si="23"/>
        <v/>
      </c>
      <c r="L125" s="1" t="str">
        <f t="shared" si="24"/>
        <v/>
      </c>
    </row>
    <row r="126" spans="1:12">
      <c r="A126" t="s">
        <v>56</v>
      </c>
      <c r="B126">
        <v>10</v>
      </c>
      <c r="C126" t="str">
        <f t="shared" si="18"/>
        <v>test.Class11_10_</v>
      </c>
      <c r="D126">
        <v>28</v>
      </c>
      <c r="E126">
        <v>0.1748768472906404</v>
      </c>
      <c r="F126">
        <v>0.11450513417896281</v>
      </c>
      <c r="G126" s="1">
        <f t="shared" si="19"/>
        <v>0.1748768472906404</v>
      </c>
      <c r="H126" s="1" t="str">
        <f t="shared" si="20"/>
        <v/>
      </c>
      <c r="I126" s="1" t="str">
        <f t="shared" si="21"/>
        <v/>
      </c>
      <c r="J126" s="1" t="str">
        <f t="shared" si="22"/>
        <v/>
      </c>
      <c r="K126" s="1" t="str">
        <f t="shared" si="23"/>
        <v/>
      </c>
      <c r="L126" s="1" t="str">
        <f t="shared" si="24"/>
        <v/>
      </c>
    </row>
    <row r="127" spans="1:12">
      <c r="A127" t="s">
        <v>56</v>
      </c>
      <c r="B127">
        <v>10</v>
      </c>
      <c r="C127" t="str">
        <f t="shared" si="18"/>
        <v>test.Class11_10_</v>
      </c>
      <c r="D127">
        <v>1</v>
      </c>
      <c r="E127">
        <v>0.23645320197044334</v>
      </c>
      <c r="F127">
        <v>0.12020018983518854</v>
      </c>
      <c r="G127" s="1">
        <f t="shared" si="19"/>
        <v>0.23645320197044334</v>
      </c>
      <c r="H127" s="1" t="str">
        <f t="shared" si="20"/>
        <v/>
      </c>
      <c r="I127" s="1" t="str">
        <f t="shared" si="21"/>
        <v/>
      </c>
      <c r="J127" s="1" t="str">
        <f t="shared" si="22"/>
        <v/>
      </c>
      <c r="K127" s="1" t="str">
        <f t="shared" si="23"/>
        <v/>
      </c>
      <c r="L127" s="1" t="str">
        <f t="shared" si="24"/>
        <v/>
      </c>
    </row>
    <row r="128" spans="1:12">
      <c r="A128" t="s">
        <v>56</v>
      </c>
      <c r="B128">
        <v>10</v>
      </c>
      <c r="C128" t="str">
        <f t="shared" si="18"/>
        <v>test.Class11_10_</v>
      </c>
      <c r="D128">
        <v>2</v>
      </c>
      <c r="E128">
        <v>0.30295566502463056</v>
      </c>
      <c r="F128">
        <v>0.125032358270774</v>
      </c>
      <c r="G128" s="1">
        <f t="shared" si="19"/>
        <v>0.30295566502463056</v>
      </c>
      <c r="H128" s="1" t="str">
        <f t="shared" si="20"/>
        <v/>
      </c>
      <c r="I128" s="1" t="str">
        <f t="shared" si="21"/>
        <v/>
      </c>
      <c r="J128" s="1" t="str">
        <f t="shared" si="22"/>
        <v/>
      </c>
      <c r="K128" s="1" t="str">
        <f t="shared" si="23"/>
        <v/>
      </c>
      <c r="L128" s="1" t="str">
        <f t="shared" si="24"/>
        <v/>
      </c>
    </row>
    <row r="129" spans="1:12">
      <c r="A129" t="s">
        <v>56</v>
      </c>
      <c r="B129">
        <v>10</v>
      </c>
      <c r="C129" t="str">
        <f t="shared" si="18"/>
        <v>test.Class11_10_</v>
      </c>
      <c r="D129">
        <v>3</v>
      </c>
      <c r="E129">
        <v>0.43349753694581283</v>
      </c>
      <c r="F129">
        <v>0.1710242471309</v>
      </c>
      <c r="G129" s="1">
        <f t="shared" si="19"/>
        <v>0.43349753694581283</v>
      </c>
      <c r="H129" s="1" t="str">
        <f t="shared" si="20"/>
        <v/>
      </c>
      <c r="I129" s="1" t="str">
        <f t="shared" si="21"/>
        <v/>
      </c>
      <c r="J129" s="1" t="str">
        <f t="shared" si="22"/>
        <v/>
      </c>
      <c r="K129" s="1" t="str">
        <f t="shared" si="23"/>
        <v/>
      </c>
      <c r="L129" s="1" t="str">
        <f t="shared" si="24"/>
        <v/>
      </c>
    </row>
    <row r="130" spans="1:12">
      <c r="A130" t="s">
        <v>56</v>
      </c>
      <c r="B130">
        <v>10</v>
      </c>
      <c r="C130" t="str">
        <f t="shared" si="18"/>
        <v>test.Class11_10_</v>
      </c>
      <c r="D130">
        <v>4</v>
      </c>
      <c r="E130">
        <v>0.43349753694581283</v>
      </c>
      <c r="F130">
        <v>0.17948054189317456</v>
      </c>
      <c r="G130" s="1">
        <f t="shared" si="19"/>
        <v>0.43349753694581283</v>
      </c>
      <c r="H130" s="1" t="str">
        <f t="shared" si="20"/>
        <v/>
      </c>
      <c r="I130" s="1" t="str">
        <f t="shared" si="21"/>
        <v/>
      </c>
      <c r="J130" s="1" t="str">
        <f t="shared" si="22"/>
        <v/>
      </c>
      <c r="K130" s="1" t="str">
        <f t="shared" si="23"/>
        <v/>
      </c>
      <c r="L130" s="1" t="str">
        <f t="shared" si="24"/>
        <v/>
      </c>
    </row>
    <row r="131" spans="1:12">
      <c r="A131" t="s">
        <v>56</v>
      </c>
      <c r="B131">
        <v>10</v>
      </c>
      <c r="C131" t="str">
        <f t="shared" ref="C131:C194" si="25">CONCATENATE(A131, "_",B131,"_")</f>
        <v>test.Class11_10_</v>
      </c>
      <c r="D131">
        <v>5</v>
      </c>
      <c r="E131">
        <v>0.43349753694581283</v>
      </c>
      <c r="F131">
        <v>0.22236603675899561</v>
      </c>
      <c r="G131" s="1" t="str">
        <f t="shared" ref="G131:G194" si="26">IF($F131 &lt;= 0.2,$E131,"")</f>
        <v/>
      </c>
      <c r="H131" s="1">
        <f t="shared" ref="H131:H194" si="27">IF(AND($F131 &gt; 0.2,$F131 &lt;= 0.4),$E131,"")</f>
        <v>0.43349753694581283</v>
      </c>
      <c r="I131" s="1" t="str">
        <f t="shared" ref="I131:I194" si="28">IF(AND($F131 &gt; 0.4,$F131 &lt;= 0.6),$E131,"")</f>
        <v/>
      </c>
      <c r="J131" s="1" t="str">
        <f t="shared" ref="J131:J194" si="29">IF(AND($F131 &gt; 0.6,$F131 &lt;= 0.8),$E131,"")</f>
        <v/>
      </c>
      <c r="K131" s="1" t="str">
        <f t="shared" ref="K131:K194" si="30">IF(AND($F131 &gt; 0.8, $F131 &lt;=1.1),$E131,"")</f>
        <v/>
      </c>
      <c r="L131" s="1" t="str">
        <f t="shared" ref="L131:L194" si="31">IF(AND($F131 &gt; 1.1),$E131,"")</f>
        <v/>
      </c>
    </row>
    <row r="132" spans="1:12">
      <c r="A132" t="s">
        <v>56</v>
      </c>
      <c r="B132">
        <v>10</v>
      </c>
      <c r="C132" t="str">
        <f t="shared" si="25"/>
        <v>test.Class11_10_</v>
      </c>
      <c r="D132">
        <v>6</v>
      </c>
      <c r="E132">
        <v>0.43349753694581283</v>
      </c>
      <c r="F132">
        <v>0.22521356458710848</v>
      </c>
      <c r="G132" s="1" t="str">
        <f t="shared" si="26"/>
        <v/>
      </c>
      <c r="H132" s="1">
        <f t="shared" si="27"/>
        <v>0.43349753694581283</v>
      </c>
      <c r="I132" s="1" t="str">
        <f t="shared" si="28"/>
        <v/>
      </c>
      <c r="J132" s="1" t="str">
        <f t="shared" si="29"/>
        <v/>
      </c>
      <c r="K132" s="1" t="str">
        <f t="shared" si="30"/>
        <v/>
      </c>
      <c r="L132" s="1" t="str">
        <f t="shared" si="31"/>
        <v/>
      </c>
    </row>
    <row r="133" spans="1:12">
      <c r="A133" t="s">
        <v>56</v>
      </c>
      <c r="B133">
        <v>10</v>
      </c>
      <c r="C133" t="str">
        <f t="shared" si="25"/>
        <v>test.Class11_10_</v>
      </c>
      <c r="D133">
        <v>7</v>
      </c>
      <c r="E133">
        <v>0.43349753694581283</v>
      </c>
      <c r="F133">
        <v>0.23039088791095003</v>
      </c>
      <c r="G133" s="1" t="str">
        <f t="shared" si="26"/>
        <v/>
      </c>
      <c r="H133" s="1">
        <f t="shared" si="27"/>
        <v>0.43349753694581283</v>
      </c>
      <c r="I133" s="1" t="str">
        <f t="shared" si="28"/>
        <v/>
      </c>
      <c r="J133" s="1" t="str">
        <f t="shared" si="29"/>
        <v/>
      </c>
      <c r="K133" s="1" t="str">
        <f t="shared" si="30"/>
        <v/>
      </c>
      <c r="L133" s="1" t="str">
        <f t="shared" si="31"/>
        <v/>
      </c>
    </row>
    <row r="134" spans="1:12">
      <c r="A134" t="s">
        <v>56</v>
      </c>
      <c r="B134">
        <v>10</v>
      </c>
      <c r="C134" t="str">
        <f t="shared" si="25"/>
        <v>test.Class11_10_</v>
      </c>
      <c r="D134">
        <v>8</v>
      </c>
      <c r="E134">
        <v>0.43349753694581283</v>
      </c>
      <c r="F134">
        <v>0.23082233152127016</v>
      </c>
      <c r="G134" s="1" t="str">
        <f t="shared" si="26"/>
        <v/>
      </c>
      <c r="H134" s="1">
        <f t="shared" si="27"/>
        <v>0.43349753694581283</v>
      </c>
      <c r="I134" s="1" t="str">
        <f t="shared" si="28"/>
        <v/>
      </c>
      <c r="J134" s="1" t="str">
        <f t="shared" si="29"/>
        <v/>
      </c>
      <c r="K134" s="1" t="str">
        <f t="shared" si="30"/>
        <v/>
      </c>
      <c r="L134" s="1" t="str">
        <f t="shared" si="31"/>
        <v/>
      </c>
    </row>
    <row r="135" spans="1:12">
      <c r="A135" t="s">
        <v>56</v>
      </c>
      <c r="B135">
        <v>10</v>
      </c>
      <c r="C135" t="str">
        <f t="shared" si="25"/>
        <v>test.Class11_10_</v>
      </c>
      <c r="D135">
        <v>9</v>
      </c>
      <c r="E135">
        <v>0.43349753694581283</v>
      </c>
      <c r="F135">
        <v>0.23919233756148073</v>
      </c>
      <c r="G135" s="1" t="str">
        <f t="shared" si="26"/>
        <v/>
      </c>
      <c r="H135" s="1">
        <f t="shared" si="27"/>
        <v>0.43349753694581283</v>
      </c>
      <c r="I135" s="1" t="str">
        <f t="shared" si="28"/>
        <v/>
      </c>
      <c r="J135" s="1" t="str">
        <f t="shared" si="29"/>
        <v/>
      </c>
      <c r="K135" s="1" t="str">
        <f t="shared" si="30"/>
        <v/>
      </c>
      <c r="L135" s="1" t="str">
        <f t="shared" si="31"/>
        <v/>
      </c>
    </row>
    <row r="136" spans="1:12">
      <c r="A136" t="s">
        <v>56</v>
      </c>
      <c r="B136">
        <v>10</v>
      </c>
      <c r="C136" t="str">
        <f t="shared" si="25"/>
        <v>test.Class11_10_</v>
      </c>
      <c r="D136">
        <v>10</v>
      </c>
      <c r="E136">
        <v>0.43349753694581283</v>
      </c>
      <c r="F136">
        <v>0.24048666839244109</v>
      </c>
      <c r="G136" s="1" t="str">
        <f t="shared" si="26"/>
        <v/>
      </c>
      <c r="H136" s="1">
        <f t="shared" si="27"/>
        <v>0.43349753694581283</v>
      </c>
      <c r="I136" s="1" t="str">
        <f t="shared" si="28"/>
        <v/>
      </c>
      <c r="J136" s="1" t="str">
        <f t="shared" si="29"/>
        <v/>
      </c>
      <c r="K136" s="1" t="str">
        <f t="shared" si="30"/>
        <v/>
      </c>
      <c r="L136" s="1" t="str">
        <f t="shared" si="31"/>
        <v/>
      </c>
    </row>
    <row r="137" spans="1:12">
      <c r="A137" t="s">
        <v>56</v>
      </c>
      <c r="B137">
        <v>10</v>
      </c>
      <c r="C137" t="str">
        <f t="shared" si="25"/>
        <v>test.Class11_10_</v>
      </c>
      <c r="D137">
        <v>11</v>
      </c>
      <c r="E137">
        <v>0.43349753694581283</v>
      </c>
      <c r="F137">
        <v>0.24505997066183449</v>
      </c>
      <c r="G137" s="1" t="str">
        <f t="shared" si="26"/>
        <v/>
      </c>
      <c r="H137" s="1">
        <f t="shared" si="27"/>
        <v>0.43349753694581283</v>
      </c>
      <c r="I137" s="1" t="str">
        <f t="shared" si="28"/>
        <v/>
      </c>
      <c r="J137" s="1" t="str">
        <f t="shared" si="29"/>
        <v/>
      </c>
      <c r="K137" s="1" t="str">
        <f t="shared" si="30"/>
        <v/>
      </c>
      <c r="L137" s="1" t="str">
        <f t="shared" si="31"/>
        <v/>
      </c>
    </row>
    <row r="138" spans="1:12">
      <c r="A138" t="s">
        <v>56</v>
      </c>
      <c r="B138">
        <v>10</v>
      </c>
      <c r="C138" t="str">
        <f t="shared" si="25"/>
        <v>test.Class11_10_</v>
      </c>
      <c r="D138">
        <v>12</v>
      </c>
      <c r="E138">
        <v>0.43349753694581283</v>
      </c>
      <c r="F138">
        <v>0.24514625938389853</v>
      </c>
      <c r="G138" s="1" t="str">
        <f t="shared" si="26"/>
        <v/>
      </c>
      <c r="H138" s="1">
        <f t="shared" si="27"/>
        <v>0.43349753694581283</v>
      </c>
      <c r="I138" s="1" t="str">
        <f t="shared" si="28"/>
        <v/>
      </c>
      <c r="J138" s="1" t="str">
        <f t="shared" si="29"/>
        <v/>
      </c>
      <c r="K138" s="1" t="str">
        <f t="shared" si="30"/>
        <v/>
      </c>
      <c r="L138" s="1" t="str">
        <f t="shared" si="31"/>
        <v/>
      </c>
    </row>
    <row r="139" spans="1:12">
      <c r="A139" t="s">
        <v>56</v>
      </c>
      <c r="B139">
        <v>10</v>
      </c>
      <c r="C139" t="str">
        <f t="shared" si="25"/>
        <v>test.Class11_10_</v>
      </c>
      <c r="D139">
        <v>13</v>
      </c>
      <c r="E139">
        <v>0.43349753694581283</v>
      </c>
      <c r="F139">
        <v>0.24687203382517905</v>
      </c>
      <c r="G139" s="1" t="str">
        <f t="shared" si="26"/>
        <v/>
      </c>
      <c r="H139" s="1">
        <f t="shared" si="27"/>
        <v>0.43349753694581283</v>
      </c>
      <c r="I139" s="1" t="str">
        <f t="shared" si="28"/>
        <v/>
      </c>
      <c r="J139" s="1" t="str">
        <f t="shared" si="29"/>
        <v/>
      </c>
      <c r="K139" s="1" t="str">
        <f t="shared" si="30"/>
        <v/>
      </c>
      <c r="L139" s="1" t="str">
        <f t="shared" si="31"/>
        <v/>
      </c>
    </row>
    <row r="140" spans="1:12">
      <c r="A140" t="s">
        <v>56</v>
      </c>
      <c r="B140">
        <v>10</v>
      </c>
      <c r="C140" t="str">
        <f t="shared" si="25"/>
        <v>test.Class11_10_</v>
      </c>
      <c r="D140">
        <v>14</v>
      </c>
      <c r="E140">
        <v>0.45320197044334976</v>
      </c>
      <c r="F140">
        <v>0.25291224436966087</v>
      </c>
      <c r="G140" s="1" t="str">
        <f t="shared" si="26"/>
        <v/>
      </c>
      <c r="H140" s="1">
        <f t="shared" si="27"/>
        <v>0.45320197044334976</v>
      </c>
      <c r="I140" s="1" t="str">
        <f t="shared" si="28"/>
        <v/>
      </c>
      <c r="J140" s="1" t="str">
        <f t="shared" si="29"/>
        <v/>
      </c>
      <c r="K140" s="1" t="str">
        <f t="shared" si="30"/>
        <v/>
      </c>
      <c r="L140" s="1" t="str">
        <f t="shared" si="31"/>
        <v/>
      </c>
    </row>
    <row r="141" spans="1:12">
      <c r="A141" t="s">
        <v>56</v>
      </c>
      <c r="B141">
        <v>10</v>
      </c>
      <c r="C141" t="str">
        <f t="shared" si="25"/>
        <v>test.Class11_10_</v>
      </c>
      <c r="D141">
        <v>15</v>
      </c>
      <c r="E141">
        <v>0.46305418719211822</v>
      </c>
      <c r="F141">
        <v>0.25860730002588661</v>
      </c>
      <c r="G141" s="1" t="str">
        <f t="shared" si="26"/>
        <v/>
      </c>
      <c r="H141" s="1">
        <f t="shared" si="27"/>
        <v>0.46305418719211822</v>
      </c>
      <c r="I141" s="1" t="str">
        <f t="shared" si="28"/>
        <v/>
      </c>
      <c r="J141" s="1" t="str">
        <f t="shared" si="29"/>
        <v/>
      </c>
      <c r="K141" s="1" t="str">
        <f t="shared" si="30"/>
        <v/>
      </c>
      <c r="L141" s="1" t="str">
        <f t="shared" si="31"/>
        <v/>
      </c>
    </row>
    <row r="142" spans="1:12">
      <c r="A142" t="s">
        <v>56</v>
      </c>
      <c r="B142">
        <v>10</v>
      </c>
      <c r="C142" t="str">
        <f t="shared" si="25"/>
        <v>test.Class11_10_</v>
      </c>
      <c r="D142">
        <v>16</v>
      </c>
      <c r="E142">
        <v>0.47290640394088668</v>
      </c>
      <c r="F142">
        <v>0.26033307446716714</v>
      </c>
      <c r="G142" s="1" t="str">
        <f t="shared" si="26"/>
        <v/>
      </c>
      <c r="H142" s="1">
        <f t="shared" si="27"/>
        <v>0.47290640394088668</v>
      </c>
      <c r="I142" s="1" t="str">
        <f t="shared" si="28"/>
        <v/>
      </c>
      <c r="J142" s="1" t="str">
        <f t="shared" si="29"/>
        <v/>
      </c>
      <c r="K142" s="1" t="str">
        <f t="shared" si="30"/>
        <v/>
      </c>
      <c r="L142" s="1" t="str">
        <f t="shared" si="31"/>
        <v/>
      </c>
    </row>
    <row r="143" spans="1:12">
      <c r="A143" t="s">
        <v>56</v>
      </c>
      <c r="B143">
        <v>10</v>
      </c>
      <c r="C143" t="str">
        <f t="shared" si="25"/>
        <v>test.Class11_10_</v>
      </c>
      <c r="D143">
        <v>17</v>
      </c>
      <c r="E143">
        <v>0.47290640394088668</v>
      </c>
      <c r="F143">
        <v>0.2608508067995513</v>
      </c>
      <c r="G143" s="1" t="str">
        <f t="shared" si="26"/>
        <v/>
      </c>
      <c r="H143" s="1">
        <f t="shared" si="27"/>
        <v>0.47290640394088668</v>
      </c>
      <c r="I143" s="1" t="str">
        <f t="shared" si="28"/>
        <v/>
      </c>
      <c r="J143" s="1" t="str">
        <f t="shared" si="29"/>
        <v/>
      </c>
      <c r="K143" s="1" t="str">
        <f t="shared" si="30"/>
        <v/>
      </c>
      <c r="L143" s="1" t="str">
        <f t="shared" si="31"/>
        <v/>
      </c>
    </row>
    <row r="144" spans="1:12">
      <c r="A144" t="s">
        <v>56</v>
      </c>
      <c r="B144">
        <v>10</v>
      </c>
      <c r="C144" t="str">
        <f t="shared" si="25"/>
        <v>test.Class11_10_</v>
      </c>
      <c r="D144">
        <v>18</v>
      </c>
      <c r="E144">
        <v>0.49261083743842365</v>
      </c>
      <c r="F144">
        <v>0.26292173612908792</v>
      </c>
      <c r="G144" s="1" t="str">
        <f t="shared" si="26"/>
        <v/>
      </c>
      <c r="H144" s="1">
        <f t="shared" si="27"/>
        <v>0.49261083743842365</v>
      </c>
      <c r="I144" s="1" t="str">
        <f t="shared" si="28"/>
        <v/>
      </c>
      <c r="J144" s="1" t="str">
        <f t="shared" si="29"/>
        <v/>
      </c>
      <c r="K144" s="1" t="str">
        <f t="shared" si="30"/>
        <v/>
      </c>
      <c r="L144" s="1" t="str">
        <f t="shared" si="31"/>
        <v/>
      </c>
    </row>
    <row r="145" spans="1:12">
      <c r="A145" t="s">
        <v>56</v>
      </c>
      <c r="B145">
        <v>10</v>
      </c>
      <c r="C145" t="str">
        <f t="shared" si="25"/>
        <v>test.Class11_10_</v>
      </c>
      <c r="D145">
        <v>19</v>
      </c>
      <c r="E145">
        <v>0.50492610837438423</v>
      </c>
      <c r="F145">
        <v>0.26818534817499351</v>
      </c>
      <c r="G145" s="1" t="str">
        <f t="shared" si="26"/>
        <v/>
      </c>
      <c r="H145" s="1">
        <f t="shared" si="27"/>
        <v>0.50492610837438423</v>
      </c>
      <c r="I145" s="1" t="str">
        <f t="shared" si="28"/>
        <v/>
      </c>
      <c r="J145" s="1" t="str">
        <f t="shared" si="29"/>
        <v/>
      </c>
      <c r="K145" s="1" t="str">
        <f t="shared" si="30"/>
        <v/>
      </c>
      <c r="L145" s="1" t="str">
        <f t="shared" si="31"/>
        <v/>
      </c>
    </row>
    <row r="146" spans="1:12">
      <c r="A146" t="s">
        <v>56</v>
      </c>
      <c r="B146">
        <v>10</v>
      </c>
      <c r="C146" t="str">
        <f t="shared" si="25"/>
        <v>test.Class11_10_</v>
      </c>
      <c r="D146">
        <v>20</v>
      </c>
      <c r="E146">
        <v>0.52709359605911332</v>
      </c>
      <c r="F146">
        <v>0.27086029855897836</v>
      </c>
      <c r="G146" s="1" t="str">
        <f t="shared" si="26"/>
        <v/>
      </c>
      <c r="H146" s="1">
        <f t="shared" si="27"/>
        <v>0.52709359605911332</v>
      </c>
      <c r="I146" s="1" t="str">
        <f t="shared" si="28"/>
        <v/>
      </c>
      <c r="J146" s="1" t="str">
        <f t="shared" si="29"/>
        <v/>
      </c>
      <c r="K146" s="1" t="str">
        <f t="shared" si="30"/>
        <v/>
      </c>
      <c r="L146" s="1" t="str">
        <f t="shared" si="31"/>
        <v/>
      </c>
    </row>
    <row r="147" spans="1:12">
      <c r="A147" t="s">
        <v>56</v>
      </c>
      <c r="B147">
        <v>10</v>
      </c>
      <c r="C147" t="str">
        <f t="shared" si="25"/>
        <v>test.Class11_10_</v>
      </c>
      <c r="D147">
        <v>21</v>
      </c>
      <c r="E147">
        <v>0.53940886699507384</v>
      </c>
      <c r="F147">
        <v>0.27120545344723446</v>
      </c>
      <c r="G147" s="1" t="str">
        <f t="shared" si="26"/>
        <v/>
      </c>
      <c r="H147" s="1">
        <f t="shared" si="27"/>
        <v>0.53940886699507384</v>
      </c>
      <c r="I147" s="1" t="str">
        <f t="shared" si="28"/>
        <v/>
      </c>
      <c r="J147" s="1" t="str">
        <f t="shared" si="29"/>
        <v/>
      </c>
      <c r="K147" s="1" t="str">
        <f t="shared" si="30"/>
        <v/>
      </c>
      <c r="L147" s="1" t="str">
        <f t="shared" si="31"/>
        <v/>
      </c>
    </row>
    <row r="148" spans="1:12">
      <c r="A148" t="s">
        <v>56</v>
      </c>
      <c r="B148">
        <v>10</v>
      </c>
      <c r="C148" t="str">
        <f t="shared" si="25"/>
        <v>test.Class11_10_</v>
      </c>
      <c r="D148">
        <v>22</v>
      </c>
      <c r="E148">
        <v>0.56157635467980294</v>
      </c>
      <c r="F148">
        <v>0.28156010009491761</v>
      </c>
      <c r="G148" s="1" t="str">
        <f t="shared" si="26"/>
        <v/>
      </c>
      <c r="H148" s="1">
        <f t="shared" si="27"/>
        <v>0.56157635467980294</v>
      </c>
      <c r="I148" s="1" t="str">
        <f t="shared" si="28"/>
        <v/>
      </c>
      <c r="J148" s="1" t="str">
        <f t="shared" si="29"/>
        <v/>
      </c>
      <c r="K148" s="1" t="str">
        <f t="shared" si="30"/>
        <v/>
      </c>
      <c r="L148" s="1" t="str">
        <f t="shared" si="31"/>
        <v/>
      </c>
    </row>
    <row r="149" spans="1:12">
      <c r="A149" t="s">
        <v>56</v>
      </c>
      <c r="B149">
        <v>10</v>
      </c>
      <c r="C149" t="str">
        <f t="shared" si="25"/>
        <v>test.Class11_10_</v>
      </c>
      <c r="D149">
        <v>23</v>
      </c>
      <c r="E149">
        <v>0.5714285714285714</v>
      </c>
      <c r="F149">
        <v>0.28285443092587798</v>
      </c>
      <c r="G149" s="1" t="str">
        <f t="shared" si="26"/>
        <v/>
      </c>
      <c r="H149" s="1">
        <f t="shared" si="27"/>
        <v>0.5714285714285714</v>
      </c>
      <c r="I149" s="1" t="str">
        <f t="shared" si="28"/>
        <v/>
      </c>
      <c r="J149" s="1" t="str">
        <f t="shared" si="29"/>
        <v/>
      </c>
      <c r="K149" s="1" t="str">
        <f t="shared" si="30"/>
        <v/>
      </c>
      <c r="L149" s="1" t="str">
        <f t="shared" si="31"/>
        <v/>
      </c>
    </row>
    <row r="150" spans="1:12">
      <c r="A150" t="s">
        <v>56</v>
      </c>
      <c r="B150">
        <v>10</v>
      </c>
      <c r="C150" t="str">
        <f t="shared" si="25"/>
        <v>test.Class11_10_</v>
      </c>
      <c r="D150">
        <v>24</v>
      </c>
      <c r="E150">
        <v>0.59113300492610843</v>
      </c>
      <c r="F150">
        <v>0.28432133920096642</v>
      </c>
      <c r="G150" s="1" t="str">
        <f t="shared" si="26"/>
        <v/>
      </c>
      <c r="H150" s="1">
        <f t="shared" si="27"/>
        <v>0.59113300492610843</v>
      </c>
      <c r="I150" s="1" t="str">
        <f t="shared" si="28"/>
        <v/>
      </c>
      <c r="J150" s="1" t="str">
        <f t="shared" si="29"/>
        <v/>
      </c>
      <c r="K150" s="1" t="str">
        <f t="shared" si="30"/>
        <v/>
      </c>
      <c r="L150" s="1" t="str">
        <f t="shared" si="31"/>
        <v/>
      </c>
    </row>
    <row r="151" spans="1:12">
      <c r="A151" t="s">
        <v>56</v>
      </c>
      <c r="B151">
        <v>10</v>
      </c>
      <c r="C151" t="str">
        <f t="shared" si="25"/>
        <v>test.Class11_10_</v>
      </c>
      <c r="D151">
        <v>25</v>
      </c>
      <c r="E151">
        <v>0.61083743842364535</v>
      </c>
      <c r="F151">
        <v>0.28785917680559153</v>
      </c>
      <c r="G151" s="1" t="str">
        <f t="shared" si="26"/>
        <v/>
      </c>
      <c r="H151" s="1">
        <f t="shared" si="27"/>
        <v>0.61083743842364535</v>
      </c>
      <c r="I151" s="1" t="str">
        <f t="shared" si="28"/>
        <v/>
      </c>
      <c r="J151" s="1" t="str">
        <f t="shared" si="29"/>
        <v/>
      </c>
      <c r="K151" s="1" t="str">
        <f t="shared" si="30"/>
        <v/>
      </c>
      <c r="L151" s="1" t="str">
        <f t="shared" si="31"/>
        <v/>
      </c>
    </row>
    <row r="152" spans="1:12">
      <c r="A152" t="s">
        <v>56</v>
      </c>
      <c r="B152">
        <v>10</v>
      </c>
      <c r="C152" t="str">
        <f t="shared" si="25"/>
        <v>test.Class11_10_</v>
      </c>
      <c r="D152">
        <v>26</v>
      </c>
      <c r="E152">
        <v>0.62068965517241381</v>
      </c>
      <c r="F152">
        <v>0.29355423246181722</v>
      </c>
      <c r="G152" s="1" t="str">
        <f t="shared" si="26"/>
        <v/>
      </c>
      <c r="H152" s="1">
        <f t="shared" si="27"/>
        <v>0.62068965517241381</v>
      </c>
      <c r="I152" s="1" t="str">
        <f t="shared" si="28"/>
        <v/>
      </c>
      <c r="J152" s="1" t="str">
        <f t="shared" si="29"/>
        <v/>
      </c>
      <c r="K152" s="1" t="str">
        <f t="shared" si="30"/>
        <v/>
      </c>
      <c r="L152" s="1" t="str">
        <f t="shared" si="31"/>
        <v/>
      </c>
    </row>
    <row r="153" spans="1:12">
      <c r="A153" t="s">
        <v>56</v>
      </c>
      <c r="B153">
        <v>10</v>
      </c>
      <c r="C153" t="str">
        <f t="shared" si="25"/>
        <v>test.Class11_10_</v>
      </c>
      <c r="D153">
        <v>27</v>
      </c>
      <c r="E153">
        <v>0.71674876847290636</v>
      </c>
      <c r="F153">
        <v>0.72551557511433251</v>
      </c>
      <c r="G153" s="1" t="str">
        <f t="shared" si="26"/>
        <v/>
      </c>
      <c r="H153" s="1" t="str">
        <f t="shared" si="27"/>
        <v/>
      </c>
      <c r="I153" s="1" t="str">
        <f t="shared" si="28"/>
        <v/>
      </c>
      <c r="J153" s="1">
        <f t="shared" si="29"/>
        <v>0.71674876847290636</v>
      </c>
      <c r="K153" s="1" t="str">
        <f t="shared" si="30"/>
        <v/>
      </c>
      <c r="L153" s="1" t="str">
        <f t="shared" si="31"/>
        <v/>
      </c>
    </row>
    <row r="154" spans="1:12">
      <c r="A154" t="s">
        <v>56</v>
      </c>
      <c r="B154">
        <v>10</v>
      </c>
      <c r="C154" t="str">
        <f t="shared" si="25"/>
        <v>test.Class11_10_</v>
      </c>
      <c r="D154">
        <v>28</v>
      </c>
      <c r="E154">
        <v>0.80788177339901479</v>
      </c>
      <c r="F154">
        <v>0.73587022176201566</v>
      </c>
      <c r="G154" s="1" t="str">
        <f t="shared" si="26"/>
        <v/>
      </c>
      <c r="H154" s="1" t="str">
        <f t="shared" si="27"/>
        <v/>
      </c>
      <c r="I154" s="1" t="str">
        <f t="shared" si="28"/>
        <v/>
      </c>
      <c r="J154" s="1">
        <f t="shared" si="29"/>
        <v>0.80788177339901479</v>
      </c>
      <c r="K154" s="1" t="str">
        <f t="shared" si="30"/>
        <v/>
      </c>
      <c r="L154" s="1" t="str">
        <f t="shared" si="31"/>
        <v/>
      </c>
    </row>
    <row r="155" spans="1:12">
      <c r="A155" t="s">
        <v>56</v>
      </c>
      <c r="B155">
        <v>10</v>
      </c>
      <c r="C155" t="str">
        <f t="shared" si="25"/>
        <v>test.Class11_10_</v>
      </c>
      <c r="D155">
        <v>29</v>
      </c>
      <c r="E155">
        <v>0.99014778325123154</v>
      </c>
      <c r="F155">
        <v>0.8231081197687462</v>
      </c>
      <c r="G155" s="1" t="str">
        <f t="shared" si="26"/>
        <v/>
      </c>
      <c r="H155" s="1" t="str">
        <f t="shared" si="27"/>
        <v/>
      </c>
      <c r="I155" s="1" t="str">
        <f t="shared" si="28"/>
        <v/>
      </c>
      <c r="J155" s="1" t="str">
        <f t="shared" si="29"/>
        <v/>
      </c>
      <c r="K155" s="1">
        <f t="shared" si="30"/>
        <v>0.99014778325123154</v>
      </c>
      <c r="L155" s="1" t="str">
        <f t="shared" si="31"/>
        <v/>
      </c>
    </row>
    <row r="156" spans="1:12">
      <c r="A156" t="s">
        <v>56</v>
      </c>
      <c r="B156">
        <v>10</v>
      </c>
      <c r="C156" t="str">
        <f t="shared" si="25"/>
        <v>test.Class11_10_</v>
      </c>
      <c r="D156">
        <v>30</v>
      </c>
      <c r="E156">
        <v>1</v>
      </c>
      <c r="F156">
        <v>1.0115626887565796</v>
      </c>
      <c r="G156" s="1" t="str">
        <f t="shared" si="26"/>
        <v/>
      </c>
      <c r="H156" s="1" t="str">
        <f t="shared" si="27"/>
        <v/>
      </c>
      <c r="I156" s="1" t="str">
        <f t="shared" si="28"/>
        <v/>
      </c>
      <c r="J156" s="1" t="str">
        <f t="shared" si="29"/>
        <v/>
      </c>
      <c r="K156" s="1">
        <f t="shared" si="30"/>
        <v>1</v>
      </c>
      <c r="L156" s="1" t="str">
        <f t="shared" si="31"/>
        <v/>
      </c>
    </row>
    <row r="157" spans="1:12">
      <c r="A157" t="s">
        <v>56</v>
      </c>
      <c r="B157">
        <v>11</v>
      </c>
      <c r="C157" t="str">
        <f t="shared" si="25"/>
        <v>test.Class11_11_</v>
      </c>
      <c r="D157">
        <v>31</v>
      </c>
      <c r="E157">
        <v>1.0416666666666666E-2</v>
      </c>
      <c r="F157">
        <v>1.5582916506348595E-2</v>
      </c>
      <c r="G157" s="1">
        <f t="shared" si="26"/>
        <v>1.0416666666666666E-2</v>
      </c>
      <c r="H157" s="1" t="str">
        <f t="shared" si="27"/>
        <v/>
      </c>
      <c r="I157" s="1" t="str">
        <f t="shared" si="28"/>
        <v/>
      </c>
      <c r="J157" s="1" t="str">
        <f t="shared" si="29"/>
        <v/>
      </c>
      <c r="K157" s="1" t="str">
        <f t="shared" si="30"/>
        <v/>
      </c>
      <c r="L157" s="1" t="str">
        <f t="shared" si="31"/>
        <v/>
      </c>
    </row>
    <row r="158" spans="1:12">
      <c r="A158" t="s">
        <v>56</v>
      </c>
      <c r="B158">
        <v>11</v>
      </c>
      <c r="C158" t="str">
        <f t="shared" si="25"/>
        <v>test.Class11_11_</v>
      </c>
      <c r="D158">
        <v>32</v>
      </c>
      <c r="E158">
        <v>0.421875</v>
      </c>
      <c r="F158">
        <v>0.41323585994613315</v>
      </c>
      <c r="G158" s="1" t="str">
        <f t="shared" si="26"/>
        <v/>
      </c>
      <c r="H158" s="1" t="str">
        <f t="shared" si="27"/>
        <v/>
      </c>
      <c r="I158" s="1">
        <f t="shared" si="28"/>
        <v>0.421875</v>
      </c>
      <c r="J158" s="1" t="str">
        <f t="shared" si="29"/>
        <v/>
      </c>
      <c r="K158" s="1" t="str">
        <f t="shared" si="30"/>
        <v/>
      </c>
      <c r="L158" s="1" t="str">
        <f t="shared" si="31"/>
        <v/>
      </c>
    </row>
    <row r="159" spans="1:12">
      <c r="A159" t="s">
        <v>56</v>
      </c>
      <c r="B159">
        <v>11</v>
      </c>
      <c r="C159" t="str">
        <f t="shared" si="25"/>
        <v>test.Class11_11_</v>
      </c>
      <c r="D159">
        <v>33</v>
      </c>
      <c r="E159">
        <v>0.4375</v>
      </c>
      <c r="F159">
        <v>0.42708734128510967</v>
      </c>
      <c r="G159" s="1" t="str">
        <f t="shared" si="26"/>
        <v/>
      </c>
      <c r="H159" s="1" t="str">
        <f t="shared" si="27"/>
        <v/>
      </c>
      <c r="I159" s="1">
        <f t="shared" si="28"/>
        <v>0.4375</v>
      </c>
      <c r="J159" s="1" t="str">
        <f t="shared" si="29"/>
        <v/>
      </c>
      <c r="K159" s="1" t="str">
        <f t="shared" si="30"/>
        <v/>
      </c>
      <c r="L159" s="1" t="str">
        <f t="shared" si="31"/>
        <v/>
      </c>
    </row>
    <row r="160" spans="1:12">
      <c r="A160" t="s">
        <v>56</v>
      </c>
      <c r="B160">
        <v>11</v>
      </c>
      <c r="C160" t="str">
        <f t="shared" si="25"/>
        <v>test.Class11_11_</v>
      </c>
      <c r="D160">
        <v>1</v>
      </c>
      <c r="E160">
        <v>0.57291666666666663</v>
      </c>
      <c r="F160">
        <v>0.51077337437475956</v>
      </c>
      <c r="G160" s="1" t="str">
        <f t="shared" si="26"/>
        <v/>
      </c>
      <c r="H160" s="1" t="str">
        <f t="shared" si="27"/>
        <v/>
      </c>
      <c r="I160" s="1">
        <f t="shared" si="28"/>
        <v>0.57291666666666663</v>
      </c>
      <c r="J160" s="1" t="str">
        <f t="shared" si="29"/>
        <v/>
      </c>
      <c r="K160" s="1" t="str">
        <f t="shared" si="30"/>
        <v/>
      </c>
      <c r="L160" s="1" t="str">
        <f t="shared" si="31"/>
        <v/>
      </c>
    </row>
    <row r="161" spans="1:12">
      <c r="A161" t="s">
        <v>56</v>
      </c>
      <c r="B161">
        <v>11</v>
      </c>
      <c r="C161" t="str">
        <f t="shared" si="25"/>
        <v>test.Class11_11_</v>
      </c>
      <c r="D161">
        <v>2</v>
      </c>
      <c r="E161">
        <v>0.70833333333333337</v>
      </c>
      <c r="F161">
        <v>0.53539823008849563</v>
      </c>
      <c r="G161" s="1" t="str">
        <f t="shared" si="26"/>
        <v/>
      </c>
      <c r="H161" s="1" t="str">
        <f t="shared" si="27"/>
        <v/>
      </c>
      <c r="I161" s="1">
        <f t="shared" si="28"/>
        <v>0.70833333333333337</v>
      </c>
      <c r="J161" s="1" t="str">
        <f t="shared" si="29"/>
        <v/>
      </c>
      <c r="K161" s="1" t="str">
        <f t="shared" si="30"/>
        <v/>
      </c>
      <c r="L161" s="1" t="str">
        <f t="shared" si="31"/>
        <v/>
      </c>
    </row>
    <row r="162" spans="1:12">
      <c r="A162" t="s">
        <v>56</v>
      </c>
      <c r="B162">
        <v>11</v>
      </c>
      <c r="C162" t="str">
        <f t="shared" si="25"/>
        <v>test.Class11_11_</v>
      </c>
      <c r="D162">
        <v>3</v>
      </c>
      <c r="E162">
        <v>0.70833333333333337</v>
      </c>
      <c r="F162">
        <v>0.539630627164294</v>
      </c>
      <c r="G162" s="1" t="str">
        <f t="shared" si="26"/>
        <v/>
      </c>
      <c r="H162" s="1" t="str">
        <f t="shared" si="27"/>
        <v/>
      </c>
      <c r="I162" s="1">
        <f t="shared" si="28"/>
        <v>0.70833333333333337</v>
      </c>
      <c r="J162" s="1" t="str">
        <f t="shared" si="29"/>
        <v/>
      </c>
      <c r="K162" s="1" t="str">
        <f t="shared" si="30"/>
        <v/>
      </c>
      <c r="L162" s="1" t="str">
        <f t="shared" si="31"/>
        <v/>
      </c>
    </row>
    <row r="163" spans="1:12">
      <c r="A163" t="s">
        <v>56</v>
      </c>
      <c r="B163">
        <v>11</v>
      </c>
      <c r="C163" t="str">
        <f t="shared" si="25"/>
        <v>test.Class11_11_</v>
      </c>
      <c r="D163">
        <v>1</v>
      </c>
      <c r="E163">
        <v>0.84375</v>
      </c>
      <c r="F163">
        <v>0.54251635244324736</v>
      </c>
      <c r="G163" s="1" t="str">
        <f t="shared" si="26"/>
        <v/>
      </c>
      <c r="H163" s="1" t="str">
        <f t="shared" si="27"/>
        <v/>
      </c>
      <c r="I163" s="1">
        <f t="shared" si="28"/>
        <v>0.84375</v>
      </c>
      <c r="J163" s="1" t="str">
        <f t="shared" si="29"/>
        <v/>
      </c>
      <c r="K163" s="1" t="str">
        <f t="shared" si="30"/>
        <v/>
      </c>
      <c r="L163" s="1" t="str">
        <f t="shared" si="31"/>
        <v/>
      </c>
    </row>
    <row r="164" spans="1:12">
      <c r="A164" t="s">
        <v>56</v>
      </c>
      <c r="B164">
        <v>11</v>
      </c>
      <c r="C164" t="str">
        <f t="shared" si="25"/>
        <v>test.Class11_11_</v>
      </c>
      <c r="D164">
        <v>2</v>
      </c>
      <c r="E164">
        <v>0.97916666666666663</v>
      </c>
      <c r="F164">
        <v>0.54482493266641019</v>
      </c>
      <c r="G164" s="1" t="str">
        <f t="shared" si="26"/>
        <v/>
      </c>
      <c r="H164" s="1" t="str">
        <f t="shared" si="27"/>
        <v/>
      </c>
      <c r="I164" s="1">
        <f t="shared" si="28"/>
        <v>0.97916666666666663</v>
      </c>
      <c r="J164" s="1" t="str">
        <f t="shared" si="29"/>
        <v/>
      </c>
      <c r="K164" s="1" t="str">
        <f t="shared" si="30"/>
        <v/>
      </c>
      <c r="L164" s="1" t="str">
        <f t="shared" si="31"/>
        <v/>
      </c>
    </row>
    <row r="165" spans="1:12">
      <c r="A165" t="s">
        <v>56</v>
      </c>
      <c r="B165">
        <v>11</v>
      </c>
      <c r="C165" t="str">
        <f t="shared" si="25"/>
        <v>test.Class11_11_</v>
      </c>
      <c r="D165">
        <v>1</v>
      </c>
      <c r="E165">
        <v>0.97916666666666663</v>
      </c>
      <c r="F165">
        <v>0.54963447479799921</v>
      </c>
      <c r="G165" s="1" t="str">
        <f t="shared" si="26"/>
        <v/>
      </c>
      <c r="H165" s="1" t="str">
        <f t="shared" si="27"/>
        <v/>
      </c>
      <c r="I165" s="1">
        <f t="shared" si="28"/>
        <v>0.97916666666666663</v>
      </c>
      <c r="J165" s="1" t="str">
        <f t="shared" si="29"/>
        <v/>
      </c>
      <c r="K165" s="1" t="str">
        <f t="shared" si="30"/>
        <v/>
      </c>
      <c r="L165" s="1" t="str">
        <f t="shared" si="31"/>
        <v/>
      </c>
    </row>
    <row r="166" spans="1:12">
      <c r="A166" t="s">
        <v>56</v>
      </c>
      <c r="B166">
        <v>11</v>
      </c>
      <c r="C166" t="str">
        <f t="shared" si="25"/>
        <v>test.Class11_11_</v>
      </c>
      <c r="D166">
        <v>2</v>
      </c>
      <c r="E166">
        <v>0.97916666666666663</v>
      </c>
      <c r="F166">
        <v>0.55001923816852638</v>
      </c>
      <c r="G166" s="1" t="str">
        <f t="shared" si="26"/>
        <v/>
      </c>
      <c r="H166" s="1" t="str">
        <f t="shared" si="27"/>
        <v/>
      </c>
      <c r="I166" s="1">
        <f t="shared" si="28"/>
        <v>0.97916666666666663</v>
      </c>
      <c r="J166" s="1" t="str">
        <f t="shared" si="29"/>
        <v/>
      </c>
      <c r="K166" s="1" t="str">
        <f t="shared" si="30"/>
        <v/>
      </c>
      <c r="L166" s="1" t="str">
        <f t="shared" si="31"/>
        <v/>
      </c>
    </row>
    <row r="167" spans="1:12">
      <c r="A167" t="s">
        <v>56</v>
      </c>
      <c r="B167">
        <v>11</v>
      </c>
      <c r="C167" t="str">
        <f t="shared" si="25"/>
        <v>test.Class11_11_</v>
      </c>
      <c r="D167">
        <v>1</v>
      </c>
      <c r="E167">
        <v>0.97916666666666663</v>
      </c>
      <c r="F167">
        <v>0.57656791073489799</v>
      </c>
      <c r="G167" s="1" t="str">
        <f t="shared" si="26"/>
        <v/>
      </c>
      <c r="H167" s="1" t="str">
        <f t="shared" si="27"/>
        <v/>
      </c>
      <c r="I167" s="1">
        <f t="shared" si="28"/>
        <v>0.97916666666666663</v>
      </c>
      <c r="J167" s="1" t="str">
        <f t="shared" si="29"/>
        <v/>
      </c>
      <c r="K167" s="1" t="str">
        <f t="shared" si="30"/>
        <v/>
      </c>
      <c r="L167" s="1" t="str">
        <f t="shared" si="31"/>
        <v/>
      </c>
    </row>
    <row r="168" spans="1:12">
      <c r="A168" t="s">
        <v>56</v>
      </c>
      <c r="B168">
        <v>11</v>
      </c>
      <c r="C168" t="str">
        <f t="shared" si="25"/>
        <v>test.Class11_11_</v>
      </c>
      <c r="D168">
        <v>2</v>
      </c>
      <c r="E168">
        <v>1</v>
      </c>
      <c r="F168">
        <v>1.032512504809542</v>
      </c>
      <c r="G168" s="1" t="str">
        <f t="shared" si="26"/>
        <v/>
      </c>
      <c r="H168" s="1" t="str">
        <f t="shared" si="27"/>
        <v/>
      </c>
      <c r="I168" s="1" t="str">
        <f t="shared" si="28"/>
        <v/>
      </c>
      <c r="J168" s="1" t="str">
        <f t="shared" si="29"/>
        <v/>
      </c>
      <c r="K168" s="1">
        <f t="shared" si="30"/>
        <v>1</v>
      </c>
      <c r="L168" s="1" t="str">
        <f t="shared" si="31"/>
        <v/>
      </c>
    </row>
    <row r="169" spans="1:12">
      <c r="A169" t="s">
        <v>56</v>
      </c>
      <c r="B169">
        <v>12</v>
      </c>
      <c r="C169" t="str">
        <f t="shared" si="25"/>
        <v>test.Class11_12_</v>
      </c>
      <c r="D169">
        <v>3</v>
      </c>
      <c r="E169">
        <v>1.6949152542372881E-2</v>
      </c>
      <c r="F169">
        <v>2.2554099359951233E-2</v>
      </c>
      <c r="G169" s="1">
        <f t="shared" si="26"/>
        <v>1.6949152542372881E-2</v>
      </c>
      <c r="H169" s="1" t="str">
        <f t="shared" si="27"/>
        <v/>
      </c>
      <c r="I169" s="1" t="str">
        <f t="shared" si="28"/>
        <v/>
      </c>
      <c r="J169" s="1" t="str">
        <f t="shared" si="29"/>
        <v/>
      </c>
      <c r="K169" s="1" t="str">
        <f t="shared" si="30"/>
        <v/>
      </c>
      <c r="L169" s="1" t="str">
        <f t="shared" si="31"/>
        <v/>
      </c>
    </row>
    <row r="170" spans="1:12">
      <c r="A170" t="s">
        <v>56</v>
      </c>
      <c r="B170">
        <v>12</v>
      </c>
      <c r="C170" t="str">
        <f t="shared" si="25"/>
        <v>test.Class11_12_</v>
      </c>
      <c r="D170">
        <v>4</v>
      </c>
      <c r="E170">
        <v>0.48305084745762711</v>
      </c>
      <c r="F170">
        <v>0.5470893020420603</v>
      </c>
      <c r="G170" s="1" t="str">
        <f t="shared" si="26"/>
        <v/>
      </c>
      <c r="H170" s="1" t="str">
        <f t="shared" si="27"/>
        <v/>
      </c>
      <c r="I170" s="1">
        <f t="shared" si="28"/>
        <v>0.48305084745762711</v>
      </c>
      <c r="J170" s="1" t="str">
        <f t="shared" si="29"/>
        <v/>
      </c>
      <c r="K170" s="1" t="str">
        <f t="shared" si="30"/>
        <v/>
      </c>
      <c r="L170" s="1" t="str">
        <f t="shared" si="31"/>
        <v/>
      </c>
    </row>
    <row r="171" spans="1:12">
      <c r="A171" t="s">
        <v>56</v>
      </c>
      <c r="B171">
        <v>12</v>
      </c>
      <c r="C171" t="str">
        <f t="shared" si="25"/>
        <v>test.Class11_12_</v>
      </c>
      <c r="D171">
        <v>5</v>
      </c>
      <c r="E171">
        <v>0.55084745762711862</v>
      </c>
      <c r="F171">
        <v>0.5815300213349589</v>
      </c>
      <c r="G171" s="1" t="str">
        <f t="shared" si="26"/>
        <v/>
      </c>
      <c r="H171" s="1" t="str">
        <f t="shared" si="27"/>
        <v/>
      </c>
      <c r="I171" s="1">
        <f t="shared" si="28"/>
        <v>0.55084745762711862</v>
      </c>
      <c r="J171" s="1" t="str">
        <f t="shared" si="29"/>
        <v/>
      </c>
      <c r="K171" s="1" t="str">
        <f t="shared" si="30"/>
        <v/>
      </c>
      <c r="L171" s="1" t="str">
        <f t="shared" si="31"/>
        <v/>
      </c>
    </row>
    <row r="172" spans="1:12">
      <c r="A172" t="s">
        <v>56</v>
      </c>
      <c r="B172">
        <v>12</v>
      </c>
      <c r="C172" t="str">
        <f t="shared" si="25"/>
        <v>test.Class11_12_</v>
      </c>
      <c r="D172">
        <v>6</v>
      </c>
      <c r="E172">
        <v>0.57627118644067798</v>
      </c>
      <c r="F172">
        <v>0.60438890582139593</v>
      </c>
      <c r="G172" s="1" t="str">
        <f t="shared" si="26"/>
        <v/>
      </c>
      <c r="H172" s="1" t="str">
        <f t="shared" si="27"/>
        <v/>
      </c>
      <c r="I172" s="1" t="str">
        <f t="shared" si="28"/>
        <v/>
      </c>
      <c r="J172" s="1">
        <f t="shared" si="29"/>
        <v>0.57627118644067798</v>
      </c>
      <c r="K172" s="1" t="str">
        <f t="shared" si="30"/>
        <v/>
      </c>
      <c r="L172" s="1" t="str">
        <f t="shared" si="31"/>
        <v/>
      </c>
    </row>
    <row r="173" spans="1:12">
      <c r="A173" t="s">
        <v>56</v>
      </c>
      <c r="B173">
        <v>12</v>
      </c>
      <c r="C173" t="str">
        <f t="shared" si="25"/>
        <v>test.Class11_12_</v>
      </c>
      <c r="D173">
        <v>7</v>
      </c>
      <c r="E173">
        <v>0.57627118644067798</v>
      </c>
      <c r="F173">
        <v>0.60896068271868331</v>
      </c>
      <c r="G173" s="1" t="str">
        <f t="shared" si="26"/>
        <v/>
      </c>
      <c r="H173" s="1" t="str">
        <f t="shared" si="27"/>
        <v/>
      </c>
      <c r="I173" s="1" t="str">
        <f t="shared" si="28"/>
        <v/>
      </c>
      <c r="J173" s="1">
        <f t="shared" si="29"/>
        <v>0.57627118644067798</v>
      </c>
      <c r="K173" s="1" t="str">
        <f t="shared" si="30"/>
        <v/>
      </c>
      <c r="L173" s="1" t="str">
        <f t="shared" si="31"/>
        <v/>
      </c>
    </row>
    <row r="174" spans="1:12">
      <c r="A174" t="s">
        <v>56</v>
      </c>
      <c r="B174">
        <v>12</v>
      </c>
      <c r="C174" t="str">
        <f t="shared" si="25"/>
        <v>test.Class11_12_</v>
      </c>
      <c r="D174">
        <v>8</v>
      </c>
      <c r="E174">
        <v>0.64406779661016944</v>
      </c>
      <c r="F174">
        <v>0.62968607131971954</v>
      </c>
      <c r="G174" s="1" t="str">
        <f t="shared" si="26"/>
        <v/>
      </c>
      <c r="H174" s="1" t="str">
        <f t="shared" si="27"/>
        <v/>
      </c>
      <c r="I174" s="1" t="str">
        <f t="shared" si="28"/>
        <v/>
      </c>
      <c r="J174" s="1">
        <f t="shared" si="29"/>
        <v>0.64406779661016944</v>
      </c>
      <c r="K174" s="1" t="str">
        <f t="shared" si="30"/>
        <v/>
      </c>
      <c r="L174" s="1" t="str">
        <f t="shared" si="31"/>
        <v/>
      </c>
    </row>
    <row r="175" spans="1:12">
      <c r="A175" t="s">
        <v>56</v>
      </c>
      <c r="B175">
        <v>12</v>
      </c>
      <c r="C175" t="str">
        <f t="shared" si="25"/>
        <v>test.Class11_12_</v>
      </c>
      <c r="D175">
        <v>9</v>
      </c>
      <c r="E175">
        <v>0.64406779661016944</v>
      </c>
      <c r="F175">
        <v>0.66991770801584882</v>
      </c>
      <c r="G175" s="1" t="str">
        <f t="shared" si="26"/>
        <v/>
      </c>
      <c r="H175" s="1" t="str">
        <f t="shared" si="27"/>
        <v/>
      </c>
      <c r="I175" s="1" t="str">
        <f t="shared" si="28"/>
        <v/>
      </c>
      <c r="J175" s="1">
        <f t="shared" si="29"/>
        <v>0.64406779661016944</v>
      </c>
      <c r="K175" s="1" t="str">
        <f t="shared" si="30"/>
        <v/>
      </c>
      <c r="L175" s="1" t="str">
        <f t="shared" si="31"/>
        <v/>
      </c>
    </row>
    <row r="176" spans="1:12">
      <c r="A176" t="s">
        <v>56</v>
      </c>
      <c r="B176">
        <v>12</v>
      </c>
      <c r="C176" t="str">
        <f t="shared" si="25"/>
        <v>test.Class11_12_</v>
      </c>
      <c r="D176">
        <v>10</v>
      </c>
      <c r="E176">
        <v>0.64406779661016944</v>
      </c>
      <c r="F176">
        <v>0.68302346845473938</v>
      </c>
      <c r="G176" s="1" t="str">
        <f t="shared" si="26"/>
        <v/>
      </c>
      <c r="H176" s="1" t="str">
        <f t="shared" si="27"/>
        <v/>
      </c>
      <c r="I176" s="1" t="str">
        <f t="shared" si="28"/>
        <v/>
      </c>
      <c r="J176" s="1">
        <f t="shared" si="29"/>
        <v>0.64406779661016944</v>
      </c>
      <c r="K176" s="1" t="str">
        <f t="shared" si="30"/>
        <v/>
      </c>
      <c r="L176" s="1" t="str">
        <f t="shared" si="31"/>
        <v/>
      </c>
    </row>
    <row r="177" spans="1:12">
      <c r="A177" t="s">
        <v>56</v>
      </c>
      <c r="B177">
        <v>12</v>
      </c>
      <c r="C177" t="str">
        <f t="shared" si="25"/>
        <v>test.Class11_12_</v>
      </c>
      <c r="D177">
        <v>11</v>
      </c>
      <c r="E177">
        <v>0.64406779661016944</v>
      </c>
      <c r="F177">
        <v>0.71715940262115208</v>
      </c>
      <c r="G177" s="1" t="str">
        <f t="shared" si="26"/>
        <v/>
      </c>
      <c r="H177" s="1" t="str">
        <f t="shared" si="27"/>
        <v/>
      </c>
      <c r="I177" s="1" t="str">
        <f t="shared" si="28"/>
        <v/>
      </c>
      <c r="J177" s="1">
        <f t="shared" si="29"/>
        <v>0.64406779661016944</v>
      </c>
      <c r="K177" s="1" t="str">
        <f t="shared" si="30"/>
        <v/>
      </c>
      <c r="L177" s="1" t="str">
        <f t="shared" si="31"/>
        <v/>
      </c>
    </row>
    <row r="178" spans="1:12">
      <c r="A178" t="s">
        <v>56</v>
      </c>
      <c r="B178">
        <v>12</v>
      </c>
      <c r="C178" t="str">
        <f t="shared" si="25"/>
        <v>test.Class11_12_</v>
      </c>
      <c r="D178">
        <v>12</v>
      </c>
      <c r="E178">
        <v>0.73728813559322037</v>
      </c>
      <c r="F178">
        <v>0.73331301432490092</v>
      </c>
      <c r="G178" s="1" t="str">
        <f t="shared" si="26"/>
        <v/>
      </c>
      <c r="H178" s="1" t="str">
        <f t="shared" si="27"/>
        <v/>
      </c>
      <c r="I178" s="1" t="str">
        <f t="shared" si="28"/>
        <v/>
      </c>
      <c r="J178" s="1">
        <f t="shared" si="29"/>
        <v>0.73728813559322037</v>
      </c>
      <c r="K178" s="1" t="str">
        <f t="shared" si="30"/>
        <v/>
      </c>
      <c r="L178" s="1" t="str">
        <f t="shared" si="31"/>
        <v/>
      </c>
    </row>
    <row r="179" spans="1:12">
      <c r="A179" t="s">
        <v>56</v>
      </c>
      <c r="B179">
        <v>12</v>
      </c>
      <c r="C179" t="str">
        <f t="shared" si="25"/>
        <v>test.Class11_12_</v>
      </c>
      <c r="D179">
        <v>13</v>
      </c>
      <c r="E179">
        <v>0.89830508474576276</v>
      </c>
      <c r="F179">
        <v>0.89362999085644623</v>
      </c>
      <c r="G179" s="1" t="str">
        <f t="shared" si="26"/>
        <v/>
      </c>
      <c r="H179" s="1" t="str">
        <f t="shared" si="27"/>
        <v/>
      </c>
      <c r="I179" s="1" t="str">
        <f t="shared" si="28"/>
        <v/>
      </c>
      <c r="J179" s="1" t="str">
        <f t="shared" si="29"/>
        <v/>
      </c>
      <c r="K179" s="1">
        <f t="shared" si="30"/>
        <v>0.89830508474576276</v>
      </c>
      <c r="L179" s="1" t="str">
        <f t="shared" si="31"/>
        <v/>
      </c>
    </row>
    <row r="180" spans="1:12">
      <c r="A180" t="s">
        <v>56</v>
      </c>
      <c r="B180">
        <v>12</v>
      </c>
      <c r="C180" t="str">
        <f t="shared" si="25"/>
        <v>test.Class11_12_</v>
      </c>
      <c r="D180">
        <v>14</v>
      </c>
      <c r="E180">
        <v>1</v>
      </c>
      <c r="F180">
        <v>1.0006095702529716</v>
      </c>
      <c r="G180" s="1" t="str">
        <f t="shared" si="26"/>
        <v/>
      </c>
      <c r="H180" s="1" t="str">
        <f t="shared" si="27"/>
        <v/>
      </c>
      <c r="I180" s="1" t="str">
        <f t="shared" si="28"/>
        <v/>
      </c>
      <c r="J180" s="1" t="str">
        <f t="shared" si="29"/>
        <v/>
      </c>
      <c r="K180" s="1">
        <f t="shared" si="30"/>
        <v>1</v>
      </c>
      <c r="L180" s="1" t="str">
        <f t="shared" si="31"/>
        <v/>
      </c>
    </row>
    <row r="181" spans="1:12">
      <c r="A181" t="s">
        <v>65</v>
      </c>
      <c r="B181">
        <v>1</v>
      </c>
      <c r="C181" t="str">
        <f t="shared" si="25"/>
        <v>test.client_1_</v>
      </c>
      <c r="D181">
        <v>15</v>
      </c>
      <c r="E181">
        <v>0.10119047619047619</v>
      </c>
      <c r="F181">
        <v>3.7841246959185511E-2</v>
      </c>
      <c r="G181" s="1">
        <f t="shared" si="26"/>
        <v>0.10119047619047619</v>
      </c>
      <c r="H181" s="1" t="str">
        <f t="shared" si="27"/>
        <v/>
      </c>
      <c r="I181" s="1" t="str">
        <f t="shared" si="28"/>
        <v/>
      </c>
      <c r="J181" s="1" t="str">
        <f t="shared" si="29"/>
        <v/>
      </c>
      <c r="K181" s="1" t="str">
        <f t="shared" si="30"/>
        <v/>
      </c>
      <c r="L181" s="1" t="str">
        <f t="shared" si="31"/>
        <v/>
      </c>
    </row>
    <row r="182" spans="1:12">
      <c r="A182" t="s">
        <v>65</v>
      </c>
      <c r="B182">
        <v>1</v>
      </c>
      <c r="C182" t="str">
        <f t="shared" si="25"/>
        <v>test.client_1_</v>
      </c>
      <c r="D182">
        <v>16</v>
      </c>
      <c r="E182">
        <v>0.26785714285714285</v>
      </c>
      <c r="F182">
        <v>5.7662852509235064E-2</v>
      </c>
      <c r="G182" s="1">
        <f t="shared" si="26"/>
        <v>0.26785714285714285</v>
      </c>
      <c r="H182" s="1" t="str">
        <f t="shared" si="27"/>
        <v/>
      </c>
      <c r="I182" s="1" t="str">
        <f t="shared" si="28"/>
        <v/>
      </c>
      <c r="J182" s="1" t="str">
        <f t="shared" si="29"/>
        <v/>
      </c>
      <c r="K182" s="1" t="str">
        <f t="shared" si="30"/>
        <v/>
      </c>
      <c r="L182" s="1" t="str">
        <f t="shared" si="31"/>
        <v/>
      </c>
    </row>
    <row r="183" spans="1:12">
      <c r="A183" t="s">
        <v>65</v>
      </c>
      <c r="B183">
        <v>1</v>
      </c>
      <c r="C183" t="str">
        <f t="shared" si="25"/>
        <v>test.client_1_</v>
      </c>
      <c r="D183">
        <v>17</v>
      </c>
      <c r="E183">
        <v>0.26785714285714285</v>
      </c>
      <c r="F183">
        <v>5.7843048923326423E-2</v>
      </c>
      <c r="G183" s="1">
        <f t="shared" si="26"/>
        <v>0.26785714285714285</v>
      </c>
      <c r="H183" s="1" t="str">
        <f t="shared" si="27"/>
        <v/>
      </c>
      <c r="I183" s="1" t="str">
        <f t="shared" si="28"/>
        <v/>
      </c>
      <c r="J183" s="1" t="str">
        <f t="shared" si="29"/>
        <v/>
      </c>
      <c r="K183" s="1" t="str">
        <f t="shared" si="30"/>
        <v/>
      </c>
      <c r="L183" s="1" t="str">
        <f t="shared" si="31"/>
        <v/>
      </c>
    </row>
    <row r="184" spans="1:12">
      <c r="A184" t="s">
        <v>65</v>
      </c>
      <c r="B184">
        <v>1</v>
      </c>
      <c r="C184" t="str">
        <f t="shared" si="25"/>
        <v>test.client_1_</v>
      </c>
      <c r="D184">
        <v>18</v>
      </c>
      <c r="E184">
        <v>0.89880952380952384</v>
      </c>
      <c r="F184">
        <v>0.95828453013785031</v>
      </c>
      <c r="G184" s="1" t="str">
        <f t="shared" si="26"/>
        <v/>
      </c>
      <c r="H184" s="1" t="str">
        <f t="shared" si="27"/>
        <v/>
      </c>
      <c r="I184" s="1" t="str">
        <f t="shared" si="28"/>
        <v/>
      </c>
      <c r="J184" s="1" t="str">
        <f t="shared" si="29"/>
        <v/>
      </c>
      <c r="K184" s="1">
        <f t="shared" si="30"/>
        <v>0.89880952380952384</v>
      </c>
      <c r="L184" s="1" t="str">
        <f t="shared" si="31"/>
        <v/>
      </c>
    </row>
    <row r="185" spans="1:12">
      <c r="A185" t="s">
        <v>65</v>
      </c>
      <c r="B185">
        <v>1</v>
      </c>
      <c r="C185" t="str">
        <f t="shared" si="25"/>
        <v>test.client_1_</v>
      </c>
      <c r="D185">
        <v>19</v>
      </c>
      <c r="E185">
        <v>1</v>
      </c>
      <c r="F185">
        <v>0.98071898369222454</v>
      </c>
      <c r="G185" s="1" t="str">
        <f t="shared" si="26"/>
        <v/>
      </c>
      <c r="H185" s="1" t="str">
        <f t="shared" si="27"/>
        <v/>
      </c>
      <c r="I185" s="1" t="str">
        <f t="shared" si="28"/>
        <v/>
      </c>
      <c r="J185" s="1" t="str">
        <f t="shared" si="29"/>
        <v/>
      </c>
      <c r="K185" s="1">
        <f t="shared" si="30"/>
        <v>1</v>
      </c>
      <c r="L185" s="1" t="str">
        <f t="shared" si="31"/>
        <v/>
      </c>
    </row>
    <row r="186" spans="1:12">
      <c r="A186" t="s">
        <v>65</v>
      </c>
      <c r="B186">
        <v>1</v>
      </c>
      <c r="C186" t="str">
        <f t="shared" si="25"/>
        <v>test.client_1_</v>
      </c>
      <c r="D186">
        <v>20</v>
      </c>
      <c r="E186">
        <v>1</v>
      </c>
      <c r="F186">
        <v>1.0048653031804666</v>
      </c>
      <c r="G186" s="1" t="str">
        <f t="shared" si="26"/>
        <v/>
      </c>
      <c r="H186" s="1" t="str">
        <f t="shared" si="27"/>
        <v/>
      </c>
      <c r="I186" s="1" t="str">
        <f t="shared" si="28"/>
        <v/>
      </c>
      <c r="J186" s="1" t="str">
        <f t="shared" si="29"/>
        <v/>
      </c>
      <c r="K186" s="1">
        <f t="shared" si="30"/>
        <v>1</v>
      </c>
      <c r="L186" s="1" t="str">
        <f t="shared" si="31"/>
        <v/>
      </c>
    </row>
    <row r="187" spans="1:12">
      <c r="A187" t="s">
        <v>65</v>
      </c>
      <c r="B187">
        <v>1</v>
      </c>
      <c r="C187" t="str">
        <f t="shared" si="25"/>
        <v>test.client_1_</v>
      </c>
      <c r="D187">
        <v>21</v>
      </c>
      <c r="E187">
        <v>1</v>
      </c>
      <c r="F187">
        <v>1.0584737363726462</v>
      </c>
      <c r="G187" s="1" t="str">
        <f t="shared" si="26"/>
        <v/>
      </c>
      <c r="H187" s="1" t="str">
        <f t="shared" si="27"/>
        <v/>
      </c>
      <c r="I187" s="1" t="str">
        <f t="shared" si="28"/>
        <v/>
      </c>
      <c r="J187" s="1" t="str">
        <f t="shared" si="29"/>
        <v/>
      </c>
      <c r="K187" s="1">
        <f t="shared" si="30"/>
        <v>1</v>
      </c>
      <c r="L187" s="1" t="str">
        <f t="shared" si="31"/>
        <v/>
      </c>
    </row>
    <row r="188" spans="1:12">
      <c r="A188" t="s">
        <v>65</v>
      </c>
      <c r="B188">
        <v>3</v>
      </c>
      <c r="C188" t="str">
        <f t="shared" si="25"/>
        <v>test.client_3_</v>
      </c>
      <c r="D188">
        <v>22</v>
      </c>
      <c r="E188">
        <v>0.84638554216867468</v>
      </c>
      <c r="F188">
        <v>0.774227489201462</v>
      </c>
      <c r="G188" s="1" t="str">
        <f t="shared" si="26"/>
        <v/>
      </c>
      <c r="H188" s="1" t="str">
        <f t="shared" si="27"/>
        <v/>
      </c>
      <c r="I188" s="1" t="str">
        <f t="shared" si="28"/>
        <v/>
      </c>
      <c r="J188" s="1">
        <f t="shared" si="29"/>
        <v>0.84638554216867468</v>
      </c>
      <c r="K188" s="1" t="str">
        <f t="shared" si="30"/>
        <v/>
      </c>
      <c r="L188" s="1" t="str">
        <f t="shared" si="31"/>
        <v/>
      </c>
    </row>
    <row r="189" spans="1:12">
      <c r="A189" t="s">
        <v>65</v>
      </c>
      <c r="B189">
        <v>3</v>
      </c>
      <c r="C189" t="str">
        <f t="shared" si="25"/>
        <v>test.client_3_</v>
      </c>
      <c r="D189">
        <v>23</v>
      </c>
      <c r="E189">
        <v>1</v>
      </c>
      <c r="F189">
        <v>0.91554989478347548</v>
      </c>
      <c r="G189" s="1" t="str">
        <f t="shared" si="26"/>
        <v/>
      </c>
      <c r="H189" s="1" t="str">
        <f t="shared" si="27"/>
        <v/>
      </c>
      <c r="I189" s="1" t="str">
        <f t="shared" si="28"/>
        <v/>
      </c>
      <c r="J189" s="1" t="str">
        <f t="shared" si="29"/>
        <v/>
      </c>
      <c r="K189" s="1">
        <f t="shared" si="30"/>
        <v>1</v>
      </c>
      <c r="L189" s="1" t="str">
        <f t="shared" si="31"/>
        <v/>
      </c>
    </row>
    <row r="190" spans="1:12">
      <c r="A190" t="s">
        <v>65</v>
      </c>
      <c r="B190">
        <v>3</v>
      </c>
      <c r="C190" t="str">
        <f t="shared" si="25"/>
        <v>test.client_3_</v>
      </c>
      <c r="D190">
        <v>24</v>
      </c>
      <c r="E190">
        <v>1</v>
      </c>
      <c r="F190">
        <v>1.0300143980507255</v>
      </c>
      <c r="G190" s="1" t="str">
        <f t="shared" si="26"/>
        <v/>
      </c>
      <c r="H190" s="1" t="str">
        <f t="shared" si="27"/>
        <v/>
      </c>
      <c r="I190" s="1" t="str">
        <f t="shared" si="28"/>
        <v/>
      </c>
      <c r="J190" s="1" t="str">
        <f t="shared" si="29"/>
        <v/>
      </c>
      <c r="K190" s="1">
        <f t="shared" si="30"/>
        <v>1</v>
      </c>
      <c r="L190" s="1" t="str">
        <f t="shared" si="31"/>
        <v/>
      </c>
    </row>
    <row r="191" spans="1:12">
      <c r="A191" t="s">
        <v>65</v>
      </c>
      <c r="B191">
        <v>4</v>
      </c>
      <c r="C191" t="str">
        <f t="shared" si="25"/>
        <v>test.client_4_</v>
      </c>
      <c r="D191">
        <v>25</v>
      </c>
      <c r="E191">
        <v>0.77519379844961245</v>
      </c>
      <c r="F191">
        <v>0.82930002602133746</v>
      </c>
      <c r="G191" s="1" t="str">
        <f t="shared" si="26"/>
        <v/>
      </c>
      <c r="H191" s="1" t="str">
        <f t="shared" si="27"/>
        <v/>
      </c>
      <c r="I191" s="1" t="str">
        <f t="shared" si="28"/>
        <v/>
      </c>
      <c r="J191" s="1" t="str">
        <f t="shared" si="29"/>
        <v/>
      </c>
      <c r="K191" s="1">
        <f t="shared" si="30"/>
        <v>0.77519379844961245</v>
      </c>
      <c r="L191" s="1" t="str">
        <f t="shared" si="31"/>
        <v/>
      </c>
    </row>
    <row r="192" spans="1:12">
      <c r="A192" t="s">
        <v>65</v>
      </c>
      <c r="B192">
        <v>4</v>
      </c>
      <c r="C192" t="str">
        <f t="shared" si="25"/>
        <v>test.client_4_</v>
      </c>
      <c r="D192">
        <v>26</v>
      </c>
      <c r="E192">
        <v>0.8294573643410853</v>
      </c>
      <c r="F192">
        <v>0.83320322664584956</v>
      </c>
      <c r="G192" s="1" t="str">
        <f t="shared" si="26"/>
        <v/>
      </c>
      <c r="H192" s="1" t="str">
        <f t="shared" si="27"/>
        <v/>
      </c>
      <c r="I192" s="1" t="str">
        <f t="shared" si="28"/>
        <v/>
      </c>
      <c r="J192" s="1" t="str">
        <f t="shared" si="29"/>
        <v/>
      </c>
      <c r="K192" s="1">
        <f t="shared" si="30"/>
        <v>0.8294573643410853</v>
      </c>
      <c r="L192" s="1" t="str">
        <f t="shared" si="31"/>
        <v/>
      </c>
    </row>
    <row r="193" spans="1:12">
      <c r="A193" t="s">
        <v>65</v>
      </c>
      <c r="B193">
        <v>4</v>
      </c>
      <c r="C193" t="str">
        <f t="shared" si="25"/>
        <v>test.client_4_</v>
      </c>
      <c r="D193">
        <v>27</v>
      </c>
      <c r="E193">
        <v>0.93023255813953487</v>
      </c>
      <c r="F193">
        <v>0.85323965651834499</v>
      </c>
      <c r="G193" s="1" t="str">
        <f t="shared" si="26"/>
        <v/>
      </c>
      <c r="H193" s="1" t="str">
        <f t="shared" si="27"/>
        <v/>
      </c>
      <c r="I193" s="1" t="str">
        <f t="shared" si="28"/>
        <v/>
      </c>
      <c r="J193" s="1" t="str">
        <f t="shared" si="29"/>
        <v/>
      </c>
      <c r="K193" s="1">
        <f t="shared" si="30"/>
        <v>0.93023255813953487</v>
      </c>
      <c r="L193" s="1" t="str">
        <f t="shared" si="31"/>
        <v/>
      </c>
    </row>
    <row r="194" spans="1:12">
      <c r="A194" t="s">
        <v>65</v>
      </c>
      <c r="B194">
        <v>4</v>
      </c>
      <c r="C194" t="str">
        <f t="shared" si="25"/>
        <v>test.client_4_</v>
      </c>
      <c r="D194">
        <v>28</v>
      </c>
      <c r="E194">
        <v>0.93023255813953487</v>
      </c>
      <c r="F194">
        <v>0.85844392401769454</v>
      </c>
      <c r="G194" s="1" t="str">
        <f t="shared" si="26"/>
        <v/>
      </c>
      <c r="H194" s="1" t="str">
        <f t="shared" si="27"/>
        <v/>
      </c>
      <c r="I194" s="1" t="str">
        <f t="shared" si="28"/>
        <v/>
      </c>
      <c r="J194" s="1" t="str">
        <f t="shared" si="29"/>
        <v/>
      </c>
      <c r="K194" s="1">
        <f t="shared" si="30"/>
        <v>0.93023255813953487</v>
      </c>
      <c r="L194" s="1" t="str">
        <f t="shared" si="31"/>
        <v/>
      </c>
    </row>
    <row r="195" spans="1:12">
      <c r="A195" t="s">
        <v>65</v>
      </c>
      <c r="B195">
        <v>4</v>
      </c>
      <c r="C195" t="str">
        <f t="shared" ref="C195:C258" si="32">CONCATENATE(A195, "_",B195,"_")</f>
        <v>test.client_4_</v>
      </c>
      <c r="D195">
        <v>29</v>
      </c>
      <c r="E195">
        <v>0.93023255813953487</v>
      </c>
      <c r="F195">
        <v>0.87067395264116576</v>
      </c>
      <c r="G195" s="1" t="str">
        <f t="shared" ref="G195:G258" si="33">IF($F195 &lt;= 0.2,$E195,"")</f>
        <v/>
      </c>
      <c r="H195" s="1" t="str">
        <f t="shared" ref="H195:H258" si="34">IF(AND($F195 &gt; 0.2,$F195 &lt;= 0.4),$E195,"")</f>
        <v/>
      </c>
      <c r="I195" s="1" t="str">
        <f t="shared" ref="I195:I258" si="35">IF(AND($F195 &gt; 0.4,$F195 &lt;= 0.6),$E195,"")</f>
        <v/>
      </c>
      <c r="J195" s="1" t="str">
        <f t="shared" ref="J195:J258" si="36">IF(AND($F195 &gt; 0.6,$F195 &lt;= 0.8),$E195,"")</f>
        <v/>
      </c>
      <c r="K195" s="1">
        <f t="shared" ref="K195:K258" si="37">IF(AND($F195 &gt; 0.8, $F195 &lt;=1.1),$E195,"")</f>
        <v>0.93023255813953487</v>
      </c>
      <c r="L195" s="1" t="str">
        <f t="shared" ref="L195:L258" si="38">IF(AND($F195 &gt; 1.1),$E195,"")</f>
        <v/>
      </c>
    </row>
    <row r="196" spans="1:12">
      <c r="A196" t="s">
        <v>65</v>
      </c>
      <c r="B196">
        <v>4</v>
      </c>
      <c r="C196" t="str">
        <f t="shared" si="32"/>
        <v>test.client_4_</v>
      </c>
      <c r="D196">
        <v>30</v>
      </c>
      <c r="E196">
        <v>0.93023255813953487</v>
      </c>
      <c r="F196">
        <v>0.91152745251105904</v>
      </c>
      <c r="G196" s="1" t="str">
        <f t="shared" si="33"/>
        <v/>
      </c>
      <c r="H196" s="1" t="str">
        <f t="shared" si="34"/>
        <v/>
      </c>
      <c r="I196" s="1" t="str">
        <f t="shared" si="35"/>
        <v/>
      </c>
      <c r="J196" s="1" t="str">
        <f t="shared" si="36"/>
        <v/>
      </c>
      <c r="K196" s="1">
        <f t="shared" si="37"/>
        <v>0.93023255813953487</v>
      </c>
      <c r="L196" s="1" t="str">
        <f t="shared" si="38"/>
        <v/>
      </c>
    </row>
    <row r="197" spans="1:12">
      <c r="A197" t="s">
        <v>65</v>
      </c>
      <c r="B197">
        <v>4</v>
      </c>
      <c r="C197" t="str">
        <f t="shared" si="32"/>
        <v>test.client_4_</v>
      </c>
      <c r="D197">
        <v>31</v>
      </c>
      <c r="E197">
        <v>1</v>
      </c>
      <c r="F197">
        <v>0.91256830601092898</v>
      </c>
      <c r="G197" s="1" t="str">
        <f t="shared" si="33"/>
        <v/>
      </c>
      <c r="H197" s="1" t="str">
        <f t="shared" si="34"/>
        <v/>
      </c>
      <c r="I197" s="1" t="str">
        <f t="shared" si="35"/>
        <v/>
      </c>
      <c r="J197" s="1" t="str">
        <f t="shared" si="36"/>
        <v/>
      </c>
      <c r="K197" s="1">
        <f t="shared" si="37"/>
        <v>1</v>
      </c>
      <c r="L197" s="1" t="str">
        <f t="shared" si="38"/>
        <v/>
      </c>
    </row>
    <row r="198" spans="1:12">
      <c r="A198" t="s">
        <v>65</v>
      </c>
      <c r="B198">
        <v>4</v>
      </c>
      <c r="C198" t="str">
        <f t="shared" si="32"/>
        <v>test.client_4_</v>
      </c>
      <c r="D198">
        <v>32</v>
      </c>
      <c r="E198">
        <v>1</v>
      </c>
      <c r="F198">
        <v>0.92037470725995318</v>
      </c>
      <c r="G198" s="1" t="str">
        <f t="shared" si="33"/>
        <v/>
      </c>
      <c r="H198" s="1" t="str">
        <f t="shared" si="34"/>
        <v/>
      </c>
      <c r="I198" s="1" t="str">
        <f t="shared" si="35"/>
        <v/>
      </c>
      <c r="J198" s="1" t="str">
        <f t="shared" si="36"/>
        <v/>
      </c>
      <c r="K198" s="1">
        <f t="shared" si="37"/>
        <v>1</v>
      </c>
      <c r="L198" s="1" t="str">
        <f t="shared" si="38"/>
        <v/>
      </c>
    </row>
    <row r="199" spans="1:12">
      <c r="A199" t="s">
        <v>65</v>
      </c>
      <c r="B199">
        <v>4</v>
      </c>
      <c r="C199" t="str">
        <f t="shared" si="32"/>
        <v>test.client_4_</v>
      </c>
      <c r="D199">
        <v>1</v>
      </c>
      <c r="E199">
        <v>1</v>
      </c>
      <c r="F199">
        <v>0.93650793650793651</v>
      </c>
      <c r="G199" s="1" t="str">
        <f t="shared" si="33"/>
        <v/>
      </c>
      <c r="H199" s="1" t="str">
        <f t="shared" si="34"/>
        <v/>
      </c>
      <c r="I199" s="1" t="str">
        <f t="shared" si="35"/>
        <v/>
      </c>
      <c r="J199" s="1" t="str">
        <f t="shared" si="36"/>
        <v/>
      </c>
      <c r="K199" s="1">
        <f t="shared" si="37"/>
        <v>1</v>
      </c>
      <c r="L199" s="1" t="str">
        <f t="shared" si="38"/>
        <v/>
      </c>
    </row>
    <row r="200" spans="1:12">
      <c r="A200" t="s">
        <v>65</v>
      </c>
      <c r="B200">
        <v>4</v>
      </c>
      <c r="C200" t="str">
        <f t="shared" si="32"/>
        <v>test.client_4_</v>
      </c>
      <c r="D200">
        <v>2</v>
      </c>
      <c r="E200">
        <v>1</v>
      </c>
      <c r="F200">
        <v>0.93884985688264377</v>
      </c>
      <c r="G200" s="1" t="str">
        <f t="shared" si="33"/>
        <v/>
      </c>
      <c r="H200" s="1" t="str">
        <f t="shared" si="34"/>
        <v/>
      </c>
      <c r="I200" s="1" t="str">
        <f t="shared" si="35"/>
        <v/>
      </c>
      <c r="J200" s="1" t="str">
        <f t="shared" si="36"/>
        <v/>
      </c>
      <c r="K200" s="1">
        <f t="shared" si="37"/>
        <v>1</v>
      </c>
      <c r="L200" s="1" t="str">
        <f t="shared" si="38"/>
        <v/>
      </c>
    </row>
    <row r="201" spans="1:12">
      <c r="A201" t="s">
        <v>65</v>
      </c>
      <c r="B201">
        <v>4</v>
      </c>
      <c r="C201" t="str">
        <f t="shared" si="32"/>
        <v>test.client_4_</v>
      </c>
      <c r="D201">
        <v>3</v>
      </c>
      <c r="E201">
        <v>1</v>
      </c>
      <c r="F201">
        <v>0.94535519125683065</v>
      </c>
      <c r="G201" s="1" t="str">
        <f t="shared" si="33"/>
        <v/>
      </c>
      <c r="H201" s="1" t="str">
        <f t="shared" si="34"/>
        <v/>
      </c>
      <c r="I201" s="1" t="str">
        <f t="shared" si="35"/>
        <v/>
      </c>
      <c r="J201" s="1" t="str">
        <f t="shared" si="36"/>
        <v/>
      </c>
      <c r="K201" s="1">
        <f t="shared" si="37"/>
        <v>1</v>
      </c>
      <c r="L201" s="1" t="str">
        <f t="shared" si="38"/>
        <v/>
      </c>
    </row>
    <row r="202" spans="1:12">
      <c r="A202" t="s">
        <v>65</v>
      </c>
      <c r="B202">
        <v>4</v>
      </c>
      <c r="C202" t="str">
        <f t="shared" si="32"/>
        <v>test.client_4_</v>
      </c>
      <c r="D202">
        <v>4</v>
      </c>
      <c r="E202">
        <v>1</v>
      </c>
      <c r="F202">
        <v>0.95706479313036685</v>
      </c>
      <c r="G202" s="1" t="str">
        <f t="shared" si="33"/>
        <v/>
      </c>
      <c r="H202" s="1" t="str">
        <f t="shared" si="34"/>
        <v/>
      </c>
      <c r="I202" s="1" t="str">
        <f t="shared" si="35"/>
        <v/>
      </c>
      <c r="J202" s="1" t="str">
        <f t="shared" si="36"/>
        <v/>
      </c>
      <c r="K202" s="1">
        <f t="shared" si="37"/>
        <v>1</v>
      </c>
      <c r="L202" s="1" t="str">
        <f t="shared" si="38"/>
        <v/>
      </c>
    </row>
    <row r="203" spans="1:12">
      <c r="A203" t="s">
        <v>65</v>
      </c>
      <c r="B203">
        <v>4</v>
      </c>
      <c r="C203" t="str">
        <f t="shared" si="32"/>
        <v>test.client_4_</v>
      </c>
      <c r="D203">
        <v>5</v>
      </c>
      <c r="E203">
        <v>1</v>
      </c>
      <c r="F203">
        <v>1.0502211813687223</v>
      </c>
      <c r="G203" s="1" t="str">
        <f t="shared" si="33"/>
        <v/>
      </c>
      <c r="H203" s="1" t="str">
        <f t="shared" si="34"/>
        <v/>
      </c>
      <c r="I203" s="1" t="str">
        <f t="shared" si="35"/>
        <v/>
      </c>
      <c r="J203" s="1" t="str">
        <f t="shared" si="36"/>
        <v/>
      </c>
      <c r="K203" s="1">
        <f t="shared" si="37"/>
        <v>1</v>
      </c>
      <c r="L203" s="1" t="str">
        <f t="shared" si="38"/>
        <v/>
      </c>
    </row>
    <row r="204" spans="1:12">
      <c r="A204" t="s">
        <v>65</v>
      </c>
      <c r="B204">
        <v>4</v>
      </c>
      <c r="C204" t="str">
        <f t="shared" si="32"/>
        <v>test.client_4_</v>
      </c>
      <c r="D204">
        <v>6</v>
      </c>
      <c r="E204">
        <v>1</v>
      </c>
      <c r="F204">
        <v>1.3645589383294301</v>
      </c>
      <c r="G204" s="1" t="str">
        <f t="shared" si="33"/>
        <v/>
      </c>
      <c r="H204" s="1" t="str">
        <f t="shared" si="34"/>
        <v/>
      </c>
      <c r="I204" s="1" t="str">
        <f t="shared" si="35"/>
        <v/>
      </c>
      <c r="J204" s="1" t="str">
        <f t="shared" si="36"/>
        <v/>
      </c>
      <c r="K204" s="1" t="str">
        <f t="shared" si="37"/>
        <v/>
      </c>
      <c r="L204" s="1">
        <f t="shared" si="38"/>
        <v>1</v>
      </c>
    </row>
    <row r="205" spans="1:12">
      <c r="A205" t="s">
        <v>65</v>
      </c>
      <c r="B205">
        <v>4</v>
      </c>
      <c r="C205" t="str">
        <f t="shared" si="32"/>
        <v>test.client_4_</v>
      </c>
      <c r="D205">
        <v>7</v>
      </c>
      <c r="E205">
        <v>1</v>
      </c>
      <c r="F205">
        <v>1.3786104605776737</v>
      </c>
      <c r="G205" s="1" t="str">
        <f t="shared" si="33"/>
        <v/>
      </c>
      <c r="H205" s="1" t="str">
        <f t="shared" si="34"/>
        <v/>
      </c>
      <c r="I205" s="1" t="str">
        <f t="shared" si="35"/>
        <v/>
      </c>
      <c r="J205" s="1" t="str">
        <f t="shared" si="36"/>
        <v/>
      </c>
      <c r="K205" s="1" t="str">
        <f t="shared" si="37"/>
        <v/>
      </c>
      <c r="L205" s="1">
        <f t="shared" si="38"/>
        <v>1</v>
      </c>
    </row>
    <row r="206" spans="1:12">
      <c r="A206" t="s">
        <v>65</v>
      </c>
      <c r="B206">
        <v>4</v>
      </c>
      <c r="C206" t="str">
        <f t="shared" si="32"/>
        <v>test.client_4_</v>
      </c>
      <c r="D206">
        <v>8</v>
      </c>
      <c r="E206">
        <v>1</v>
      </c>
      <c r="F206">
        <v>1.5412438199323446</v>
      </c>
      <c r="G206" s="1" t="str">
        <f t="shared" si="33"/>
        <v/>
      </c>
      <c r="H206" s="1" t="str">
        <f t="shared" si="34"/>
        <v/>
      </c>
      <c r="I206" s="1" t="str">
        <f t="shared" si="35"/>
        <v/>
      </c>
      <c r="J206" s="1" t="str">
        <f t="shared" si="36"/>
        <v/>
      </c>
      <c r="K206" s="1" t="str">
        <f t="shared" si="37"/>
        <v/>
      </c>
      <c r="L206" s="1">
        <f t="shared" si="38"/>
        <v>1</v>
      </c>
    </row>
    <row r="207" spans="1:12">
      <c r="A207" t="s">
        <v>65</v>
      </c>
      <c r="B207">
        <v>6</v>
      </c>
      <c r="C207" t="str">
        <f t="shared" si="32"/>
        <v>test.client_6_</v>
      </c>
      <c r="D207">
        <v>9</v>
      </c>
      <c r="E207">
        <v>0.66115702479338845</v>
      </c>
      <c r="F207">
        <v>0.62570888468809072</v>
      </c>
      <c r="G207" s="1" t="str">
        <f t="shared" si="33"/>
        <v/>
      </c>
      <c r="H207" s="1" t="str">
        <f t="shared" si="34"/>
        <v/>
      </c>
      <c r="I207" s="1" t="str">
        <f t="shared" si="35"/>
        <v/>
      </c>
      <c r="J207" s="1">
        <f t="shared" si="36"/>
        <v>0.66115702479338845</v>
      </c>
      <c r="K207" s="1" t="str">
        <f t="shared" si="37"/>
        <v/>
      </c>
      <c r="L207" s="1" t="str">
        <f t="shared" si="38"/>
        <v/>
      </c>
    </row>
    <row r="208" spans="1:12">
      <c r="A208" t="s">
        <v>65</v>
      </c>
      <c r="B208">
        <v>6</v>
      </c>
      <c r="C208" t="str">
        <f t="shared" si="32"/>
        <v>test.client_6_</v>
      </c>
      <c r="D208">
        <v>10</v>
      </c>
      <c r="E208">
        <v>1</v>
      </c>
      <c r="F208">
        <v>0.63497164461247635</v>
      </c>
      <c r="G208" s="1" t="str">
        <f t="shared" si="33"/>
        <v/>
      </c>
      <c r="H208" s="1" t="str">
        <f t="shared" si="34"/>
        <v/>
      </c>
      <c r="I208" s="1" t="str">
        <f t="shared" si="35"/>
        <v/>
      </c>
      <c r="J208" s="1">
        <f t="shared" si="36"/>
        <v>1</v>
      </c>
      <c r="K208" s="1" t="str">
        <f t="shared" si="37"/>
        <v/>
      </c>
      <c r="L208" s="1" t="str">
        <f t="shared" si="38"/>
        <v/>
      </c>
    </row>
    <row r="209" spans="1:12">
      <c r="A209" t="s">
        <v>65</v>
      </c>
      <c r="B209">
        <v>7</v>
      </c>
      <c r="C209" t="str">
        <f t="shared" si="32"/>
        <v>test.client_7_</v>
      </c>
      <c r="D209">
        <v>11</v>
      </c>
      <c r="E209">
        <v>4.6511627906976744E-2</v>
      </c>
      <c r="F209">
        <v>7.3457394711067575E-2</v>
      </c>
      <c r="G209" s="1">
        <f t="shared" si="33"/>
        <v>4.6511627906976744E-2</v>
      </c>
      <c r="H209" s="1" t="str">
        <f t="shared" si="34"/>
        <v/>
      </c>
      <c r="I209" s="1" t="str">
        <f t="shared" si="35"/>
        <v/>
      </c>
      <c r="J209" s="1" t="str">
        <f t="shared" si="36"/>
        <v/>
      </c>
      <c r="K209" s="1" t="str">
        <f t="shared" si="37"/>
        <v/>
      </c>
      <c r="L209" s="1" t="str">
        <f t="shared" si="38"/>
        <v/>
      </c>
    </row>
    <row r="210" spans="1:12">
      <c r="A210" t="s">
        <v>65</v>
      </c>
      <c r="B210">
        <v>7</v>
      </c>
      <c r="C210" t="str">
        <f t="shared" si="32"/>
        <v>test.client_7_</v>
      </c>
      <c r="D210">
        <v>12</v>
      </c>
      <c r="E210">
        <v>9.3023255813953487E-2</v>
      </c>
      <c r="F210">
        <v>0.14103819784524976</v>
      </c>
      <c r="G210" s="1">
        <f t="shared" si="33"/>
        <v>9.3023255813953487E-2</v>
      </c>
      <c r="H210" s="1" t="str">
        <f t="shared" si="34"/>
        <v/>
      </c>
      <c r="I210" s="1" t="str">
        <f t="shared" si="35"/>
        <v/>
      </c>
      <c r="J210" s="1" t="str">
        <f t="shared" si="36"/>
        <v/>
      </c>
      <c r="K210" s="1" t="str">
        <f t="shared" si="37"/>
        <v/>
      </c>
      <c r="L210" s="1" t="str">
        <f t="shared" si="38"/>
        <v/>
      </c>
    </row>
    <row r="211" spans="1:12">
      <c r="A211" t="s">
        <v>65</v>
      </c>
      <c r="B211">
        <v>7</v>
      </c>
      <c r="C211" t="str">
        <f t="shared" si="32"/>
        <v>test.client_7_</v>
      </c>
      <c r="D211">
        <v>13</v>
      </c>
      <c r="E211">
        <v>0.13953488372093023</v>
      </c>
      <c r="F211">
        <v>0.17140058765915769</v>
      </c>
      <c r="G211" s="1">
        <f t="shared" si="33"/>
        <v>0.13953488372093023</v>
      </c>
      <c r="H211" s="1" t="str">
        <f t="shared" si="34"/>
        <v/>
      </c>
      <c r="I211" s="1" t="str">
        <f t="shared" si="35"/>
        <v/>
      </c>
      <c r="J211" s="1" t="str">
        <f t="shared" si="36"/>
        <v/>
      </c>
      <c r="K211" s="1" t="str">
        <f t="shared" si="37"/>
        <v/>
      </c>
      <c r="L211" s="1" t="str">
        <f t="shared" si="38"/>
        <v/>
      </c>
    </row>
    <row r="212" spans="1:12">
      <c r="A212" t="s">
        <v>65</v>
      </c>
      <c r="B212">
        <v>7</v>
      </c>
      <c r="C212" t="str">
        <f t="shared" si="32"/>
        <v>test.client_7_</v>
      </c>
      <c r="D212">
        <v>1</v>
      </c>
      <c r="E212">
        <v>0.18604651162790697</v>
      </c>
      <c r="F212">
        <v>0.20666013712047013</v>
      </c>
      <c r="G212" s="1" t="str">
        <f t="shared" si="33"/>
        <v/>
      </c>
      <c r="H212" s="1">
        <f t="shared" si="34"/>
        <v>0.18604651162790697</v>
      </c>
      <c r="I212" s="1" t="str">
        <f t="shared" si="35"/>
        <v/>
      </c>
      <c r="J212" s="1" t="str">
        <f t="shared" si="36"/>
        <v/>
      </c>
      <c r="K212" s="1" t="str">
        <f t="shared" si="37"/>
        <v/>
      </c>
      <c r="L212" s="1" t="str">
        <f t="shared" si="38"/>
        <v/>
      </c>
    </row>
    <row r="213" spans="1:12">
      <c r="A213" t="s">
        <v>65</v>
      </c>
      <c r="B213">
        <v>7</v>
      </c>
      <c r="C213" t="str">
        <f t="shared" si="32"/>
        <v>test.client_7_</v>
      </c>
      <c r="D213">
        <v>2</v>
      </c>
      <c r="E213">
        <v>1</v>
      </c>
      <c r="F213">
        <v>0.9627815866797258</v>
      </c>
      <c r="G213" s="1" t="str">
        <f t="shared" si="33"/>
        <v/>
      </c>
      <c r="H213" s="1" t="str">
        <f t="shared" si="34"/>
        <v/>
      </c>
      <c r="I213" s="1" t="str">
        <f t="shared" si="35"/>
        <v/>
      </c>
      <c r="J213" s="1" t="str">
        <f t="shared" si="36"/>
        <v/>
      </c>
      <c r="K213" s="1">
        <f t="shared" si="37"/>
        <v>1</v>
      </c>
      <c r="L213" s="1" t="str">
        <f t="shared" si="38"/>
        <v/>
      </c>
    </row>
    <row r="214" spans="1:12">
      <c r="A214" t="s">
        <v>65</v>
      </c>
      <c r="B214">
        <v>7</v>
      </c>
      <c r="C214" t="str">
        <f t="shared" si="32"/>
        <v>test.client_7_</v>
      </c>
      <c r="D214">
        <v>3</v>
      </c>
      <c r="E214">
        <v>1</v>
      </c>
      <c r="F214">
        <v>1.0205680705190989</v>
      </c>
      <c r="G214" s="1" t="str">
        <f t="shared" si="33"/>
        <v/>
      </c>
      <c r="H214" s="1" t="str">
        <f t="shared" si="34"/>
        <v/>
      </c>
      <c r="I214" s="1" t="str">
        <f t="shared" si="35"/>
        <v/>
      </c>
      <c r="J214" s="1" t="str">
        <f t="shared" si="36"/>
        <v/>
      </c>
      <c r="K214" s="1">
        <f t="shared" si="37"/>
        <v>1</v>
      </c>
      <c r="L214" s="1" t="str">
        <f t="shared" si="38"/>
        <v/>
      </c>
    </row>
    <row r="215" spans="1:12">
      <c r="A215" t="s">
        <v>71</v>
      </c>
      <c r="B215">
        <v>3</v>
      </c>
      <c r="C215" t="str">
        <f t="shared" si="32"/>
        <v>test.GeoEngine_3_</v>
      </c>
      <c r="D215">
        <v>4</v>
      </c>
      <c r="E215">
        <v>0.11290322580645161</v>
      </c>
      <c r="F215">
        <v>6.5855248858943713E-2</v>
      </c>
      <c r="G215" s="1">
        <f t="shared" si="33"/>
        <v>0.11290322580645161</v>
      </c>
      <c r="H215" s="1" t="str">
        <f t="shared" si="34"/>
        <v/>
      </c>
      <c r="I215" s="1" t="str">
        <f t="shared" si="35"/>
        <v/>
      </c>
      <c r="J215" s="1" t="str">
        <f t="shared" si="36"/>
        <v/>
      </c>
      <c r="K215" s="1" t="str">
        <f t="shared" si="37"/>
        <v/>
      </c>
      <c r="L215" s="1" t="str">
        <f t="shared" si="38"/>
        <v/>
      </c>
    </row>
    <row r="216" spans="1:12">
      <c r="A216" t="s">
        <v>71</v>
      </c>
      <c r="B216">
        <v>3</v>
      </c>
      <c r="C216" t="str">
        <f t="shared" si="32"/>
        <v>test.GeoEngine_3_</v>
      </c>
      <c r="D216">
        <v>5</v>
      </c>
      <c r="E216">
        <v>0.77419354838709675</v>
      </c>
      <c r="F216">
        <v>0.62616822429906538</v>
      </c>
      <c r="G216" s="1" t="str">
        <f t="shared" si="33"/>
        <v/>
      </c>
      <c r="H216" s="1" t="str">
        <f t="shared" si="34"/>
        <v/>
      </c>
      <c r="I216" s="1" t="str">
        <f t="shared" si="35"/>
        <v/>
      </c>
      <c r="J216" s="1">
        <f t="shared" si="36"/>
        <v>0.77419354838709675</v>
      </c>
      <c r="K216" s="1" t="str">
        <f t="shared" si="37"/>
        <v/>
      </c>
      <c r="L216" s="1" t="str">
        <f t="shared" si="38"/>
        <v/>
      </c>
    </row>
    <row r="217" spans="1:12">
      <c r="A217" t="s">
        <v>71</v>
      </c>
      <c r="B217">
        <v>3</v>
      </c>
      <c r="C217" t="str">
        <f t="shared" si="32"/>
        <v>test.GeoEngine_3_</v>
      </c>
      <c r="D217">
        <v>6</v>
      </c>
      <c r="E217">
        <v>1</v>
      </c>
      <c r="F217">
        <v>1.7580960660725928</v>
      </c>
      <c r="G217" s="1" t="str">
        <f t="shared" si="33"/>
        <v/>
      </c>
      <c r="H217" s="1" t="str">
        <f t="shared" si="34"/>
        <v/>
      </c>
      <c r="I217" s="1" t="str">
        <f t="shared" si="35"/>
        <v/>
      </c>
      <c r="J217" s="1" t="str">
        <f t="shared" si="36"/>
        <v/>
      </c>
      <c r="K217" s="1" t="str">
        <f t="shared" si="37"/>
        <v/>
      </c>
      <c r="L217" s="1">
        <f t="shared" si="38"/>
        <v>1</v>
      </c>
    </row>
    <row r="218" spans="1:12">
      <c r="A218" t="s">
        <v>71</v>
      </c>
      <c r="B218">
        <v>7</v>
      </c>
      <c r="C218" t="str">
        <f t="shared" si="32"/>
        <v>test.GeoEngine_7_</v>
      </c>
      <c r="D218">
        <v>7</v>
      </c>
      <c r="E218">
        <v>5.3571428571428568E-2</v>
      </c>
      <c r="F218">
        <v>8.6895255988727101E-3</v>
      </c>
      <c r="G218" s="1">
        <f t="shared" si="33"/>
        <v>5.3571428571428568E-2</v>
      </c>
      <c r="H218" s="1" t="str">
        <f t="shared" si="34"/>
        <v/>
      </c>
      <c r="I218" s="1" t="str">
        <f t="shared" si="35"/>
        <v/>
      </c>
      <c r="J218" s="1" t="str">
        <f t="shared" si="36"/>
        <v/>
      </c>
      <c r="K218" s="1" t="str">
        <f t="shared" si="37"/>
        <v/>
      </c>
      <c r="L218" s="1" t="str">
        <f t="shared" si="38"/>
        <v/>
      </c>
    </row>
    <row r="219" spans="1:12">
      <c r="A219" t="s">
        <v>71</v>
      </c>
      <c r="B219">
        <v>7</v>
      </c>
      <c r="C219" t="str">
        <f t="shared" si="32"/>
        <v>test.GeoEngine_7_</v>
      </c>
      <c r="D219">
        <v>8</v>
      </c>
      <c r="E219">
        <v>5.3571428571428568E-2</v>
      </c>
      <c r="F219">
        <v>1.0333489901362142E-2</v>
      </c>
      <c r="G219" s="1">
        <f t="shared" si="33"/>
        <v>5.3571428571428568E-2</v>
      </c>
      <c r="H219" s="1" t="str">
        <f t="shared" si="34"/>
        <v/>
      </c>
      <c r="I219" s="1" t="str">
        <f t="shared" si="35"/>
        <v/>
      </c>
      <c r="J219" s="1" t="str">
        <f t="shared" si="36"/>
        <v/>
      </c>
      <c r="K219" s="1" t="str">
        <f t="shared" si="37"/>
        <v/>
      </c>
      <c r="L219" s="1" t="str">
        <f t="shared" si="38"/>
        <v/>
      </c>
    </row>
    <row r="220" spans="1:12">
      <c r="A220" t="s">
        <v>71</v>
      </c>
      <c r="B220">
        <v>7</v>
      </c>
      <c r="C220" t="str">
        <f t="shared" si="32"/>
        <v>test.GeoEngine_7_</v>
      </c>
      <c r="D220">
        <v>9</v>
      </c>
      <c r="E220">
        <v>8.9285714285714288E-2</v>
      </c>
      <c r="F220">
        <v>2.489431658055425E-2</v>
      </c>
      <c r="G220" s="1">
        <f t="shared" si="33"/>
        <v>8.9285714285714288E-2</v>
      </c>
      <c r="H220" s="1" t="str">
        <f t="shared" si="34"/>
        <v/>
      </c>
      <c r="I220" s="1" t="str">
        <f t="shared" si="35"/>
        <v/>
      </c>
      <c r="J220" s="1" t="str">
        <f t="shared" si="36"/>
        <v/>
      </c>
      <c r="K220" s="1" t="str">
        <f t="shared" si="37"/>
        <v/>
      </c>
      <c r="L220" s="1" t="str">
        <f t="shared" si="38"/>
        <v/>
      </c>
    </row>
    <row r="221" spans="1:12">
      <c r="A221" t="s">
        <v>71</v>
      </c>
      <c r="B221">
        <v>7</v>
      </c>
      <c r="C221" t="str">
        <f t="shared" si="32"/>
        <v>test.GeoEngine_7_</v>
      </c>
      <c r="D221">
        <v>10</v>
      </c>
      <c r="E221">
        <v>8.9285714285714288E-2</v>
      </c>
      <c r="F221">
        <v>2.7477689055894785E-2</v>
      </c>
      <c r="G221" s="1">
        <f t="shared" si="33"/>
        <v>8.9285714285714288E-2</v>
      </c>
      <c r="H221" s="1" t="str">
        <f t="shared" si="34"/>
        <v/>
      </c>
      <c r="I221" s="1" t="str">
        <f t="shared" si="35"/>
        <v/>
      </c>
      <c r="J221" s="1" t="str">
        <f t="shared" si="36"/>
        <v/>
      </c>
      <c r="K221" s="1" t="str">
        <f t="shared" si="37"/>
        <v/>
      </c>
      <c r="L221" s="1" t="str">
        <f t="shared" si="38"/>
        <v/>
      </c>
    </row>
    <row r="222" spans="1:12">
      <c r="A222" t="s">
        <v>71</v>
      </c>
      <c r="B222">
        <v>7</v>
      </c>
      <c r="C222" t="str">
        <f t="shared" si="32"/>
        <v>test.GeoEngine_7_</v>
      </c>
      <c r="D222">
        <v>11</v>
      </c>
      <c r="E222">
        <v>0.30357142857142855</v>
      </c>
      <c r="F222">
        <v>7.4917801784875532E-2</v>
      </c>
      <c r="G222" s="1">
        <f t="shared" si="33"/>
        <v>0.30357142857142855</v>
      </c>
      <c r="H222" s="1" t="str">
        <f t="shared" si="34"/>
        <v/>
      </c>
      <c r="I222" s="1" t="str">
        <f t="shared" si="35"/>
        <v/>
      </c>
      <c r="J222" s="1" t="str">
        <f t="shared" si="36"/>
        <v/>
      </c>
      <c r="K222" s="1" t="str">
        <f t="shared" si="37"/>
        <v/>
      </c>
      <c r="L222" s="1" t="str">
        <f t="shared" si="38"/>
        <v/>
      </c>
    </row>
    <row r="223" spans="1:12">
      <c r="A223" t="s">
        <v>71</v>
      </c>
      <c r="B223">
        <v>7</v>
      </c>
      <c r="C223" t="str">
        <f t="shared" si="32"/>
        <v>test.GeoEngine_7_</v>
      </c>
      <c r="D223">
        <v>12</v>
      </c>
      <c r="E223">
        <v>0.30357142857142855</v>
      </c>
      <c r="F223">
        <v>8.2902771254109914E-2</v>
      </c>
      <c r="G223" s="1">
        <f t="shared" si="33"/>
        <v>0.30357142857142855</v>
      </c>
      <c r="H223" s="1" t="str">
        <f t="shared" si="34"/>
        <v/>
      </c>
      <c r="I223" s="1" t="str">
        <f t="shared" si="35"/>
        <v/>
      </c>
      <c r="J223" s="1" t="str">
        <f t="shared" si="36"/>
        <v/>
      </c>
      <c r="K223" s="1" t="str">
        <f t="shared" si="37"/>
        <v/>
      </c>
      <c r="L223" s="1" t="str">
        <f t="shared" si="38"/>
        <v/>
      </c>
    </row>
    <row r="224" spans="1:12">
      <c r="A224" t="s">
        <v>71</v>
      </c>
      <c r="B224">
        <v>7</v>
      </c>
      <c r="C224" t="str">
        <f t="shared" si="32"/>
        <v>test.GeoEngine_7_</v>
      </c>
      <c r="D224">
        <v>13</v>
      </c>
      <c r="E224">
        <v>0.5357142857142857</v>
      </c>
      <c r="F224">
        <v>0.10169093471113198</v>
      </c>
      <c r="G224" s="1">
        <f t="shared" si="33"/>
        <v>0.5357142857142857</v>
      </c>
      <c r="H224" s="1" t="str">
        <f t="shared" si="34"/>
        <v/>
      </c>
      <c r="I224" s="1" t="str">
        <f t="shared" si="35"/>
        <v/>
      </c>
      <c r="J224" s="1" t="str">
        <f t="shared" si="36"/>
        <v/>
      </c>
      <c r="K224" s="1" t="str">
        <f t="shared" si="37"/>
        <v/>
      </c>
      <c r="L224" s="1" t="str">
        <f t="shared" si="38"/>
        <v/>
      </c>
    </row>
    <row r="225" spans="1:12">
      <c r="A225" t="s">
        <v>71</v>
      </c>
      <c r="B225">
        <v>7</v>
      </c>
      <c r="C225" t="str">
        <f t="shared" si="32"/>
        <v>test.GeoEngine_7_</v>
      </c>
      <c r="D225">
        <v>14</v>
      </c>
      <c r="E225">
        <v>0.5357142857142857</v>
      </c>
      <c r="F225">
        <v>0.1045091592296853</v>
      </c>
      <c r="G225" s="1">
        <f t="shared" si="33"/>
        <v>0.5357142857142857</v>
      </c>
      <c r="H225" s="1" t="str">
        <f t="shared" si="34"/>
        <v/>
      </c>
      <c r="I225" s="1" t="str">
        <f t="shared" si="35"/>
        <v/>
      </c>
      <c r="J225" s="1" t="str">
        <f t="shared" si="36"/>
        <v/>
      </c>
      <c r="K225" s="1" t="str">
        <f t="shared" si="37"/>
        <v/>
      </c>
      <c r="L225" s="1" t="str">
        <f t="shared" si="38"/>
        <v/>
      </c>
    </row>
    <row r="226" spans="1:12">
      <c r="A226" t="s">
        <v>71</v>
      </c>
      <c r="B226">
        <v>7</v>
      </c>
      <c r="C226" t="str">
        <f t="shared" si="32"/>
        <v>test.GeoEngine_7_</v>
      </c>
      <c r="D226">
        <v>15</v>
      </c>
      <c r="E226">
        <v>1</v>
      </c>
      <c r="F226">
        <v>1.0171441991545327</v>
      </c>
      <c r="G226" s="1" t="str">
        <f t="shared" si="33"/>
        <v/>
      </c>
      <c r="H226" s="1" t="str">
        <f t="shared" si="34"/>
        <v/>
      </c>
      <c r="I226" s="1" t="str">
        <f t="shared" si="35"/>
        <v/>
      </c>
      <c r="J226" s="1" t="str">
        <f t="shared" si="36"/>
        <v/>
      </c>
      <c r="K226" s="1">
        <f t="shared" si="37"/>
        <v>1</v>
      </c>
      <c r="L226" s="1" t="str">
        <f t="shared" si="38"/>
        <v/>
      </c>
    </row>
    <row r="227" spans="1:12">
      <c r="A227" t="s">
        <v>71</v>
      </c>
      <c r="B227">
        <v>7</v>
      </c>
      <c r="C227" t="str">
        <f t="shared" si="32"/>
        <v>test.GeoEngine_7_</v>
      </c>
      <c r="D227">
        <v>16</v>
      </c>
      <c r="E227">
        <v>1</v>
      </c>
      <c r="F227">
        <v>1.0227806481916393</v>
      </c>
      <c r="G227" s="1" t="str">
        <f t="shared" si="33"/>
        <v/>
      </c>
      <c r="H227" s="1" t="str">
        <f t="shared" si="34"/>
        <v/>
      </c>
      <c r="I227" s="1" t="str">
        <f t="shared" si="35"/>
        <v/>
      </c>
      <c r="J227" s="1" t="str">
        <f t="shared" si="36"/>
        <v/>
      </c>
      <c r="K227" s="1">
        <f t="shared" si="37"/>
        <v>1</v>
      </c>
      <c r="L227" s="1" t="str">
        <f t="shared" si="38"/>
        <v/>
      </c>
    </row>
    <row r="228" spans="1:12">
      <c r="A228" t="s">
        <v>71</v>
      </c>
      <c r="B228">
        <v>8</v>
      </c>
      <c r="C228" t="str">
        <f t="shared" si="32"/>
        <v>test.GeoEngine_8_</v>
      </c>
      <c r="D228">
        <v>17</v>
      </c>
      <c r="E228">
        <v>5.8139534883720929E-2</v>
      </c>
      <c r="F228">
        <v>5.5631399317406141E-2</v>
      </c>
      <c r="G228" s="1">
        <f t="shared" si="33"/>
        <v>5.8139534883720929E-2</v>
      </c>
      <c r="H228" s="1" t="str">
        <f t="shared" si="34"/>
        <v/>
      </c>
      <c r="I228" s="1" t="str">
        <f t="shared" si="35"/>
        <v/>
      </c>
      <c r="J228" s="1" t="str">
        <f t="shared" si="36"/>
        <v/>
      </c>
      <c r="K228" s="1" t="str">
        <f t="shared" si="37"/>
        <v/>
      </c>
      <c r="L228" s="1" t="str">
        <f t="shared" si="38"/>
        <v/>
      </c>
    </row>
    <row r="229" spans="1:12">
      <c r="A229" t="s">
        <v>71</v>
      </c>
      <c r="B229">
        <v>8</v>
      </c>
      <c r="C229" t="str">
        <f t="shared" si="32"/>
        <v>test.GeoEngine_8_</v>
      </c>
      <c r="D229">
        <v>1</v>
      </c>
      <c r="E229">
        <v>0.19767441860465115</v>
      </c>
      <c r="F229">
        <v>0.12969283276450511</v>
      </c>
      <c r="G229" s="1">
        <f t="shared" si="33"/>
        <v>0.19767441860465115</v>
      </c>
      <c r="H229" s="1" t="str">
        <f t="shared" si="34"/>
        <v/>
      </c>
      <c r="I229" s="1" t="str">
        <f t="shared" si="35"/>
        <v/>
      </c>
      <c r="J229" s="1" t="str">
        <f t="shared" si="36"/>
        <v/>
      </c>
      <c r="K229" s="1" t="str">
        <f t="shared" si="37"/>
        <v/>
      </c>
      <c r="L229" s="1" t="str">
        <f t="shared" si="38"/>
        <v/>
      </c>
    </row>
    <row r="230" spans="1:12">
      <c r="A230" t="s">
        <v>71</v>
      </c>
      <c r="B230">
        <v>8</v>
      </c>
      <c r="C230" t="str">
        <f t="shared" si="32"/>
        <v>test.GeoEngine_8_</v>
      </c>
      <c r="D230">
        <v>2</v>
      </c>
      <c r="E230">
        <v>0.23255813953488372</v>
      </c>
      <c r="F230">
        <v>0.16757679180887372</v>
      </c>
      <c r="G230" s="1">
        <f t="shared" si="33"/>
        <v>0.23255813953488372</v>
      </c>
      <c r="H230" s="1" t="str">
        <f t="shared" si="34"/>
        <v/>
      </c>
      <c r="I230" s="1" t="str">
        <f t="shared" si="35"/>
        <v/>
      </c>
      <c r="J230" s="1" t="str">
        <f t="shared" si="36"/>
        <v/>
      </c>
      <c r="K230" s="1" t="str">
        <f t="shared" si="37"/>
        <v/>
      </c>
      <c r="L230" s="1" t="str">
        <f t="shared" si="38"/>
        <v/>
      </c>
    </row>
    <row r="231" spans="1:12">
      <c r="A231" t="s">
        <v>71</v>
      </c>
      <c r="B231">
        <v>8</v>
      </c>
      <c r="C231" t="str">
        <f t="shared" si="32"/>
        <v>test.GeoEngine_8_</v>
      </c>
      <c r="D231">
        <v>3</v>
      </c>
      <c r="E231">
        <v>0.37209302325581395</v>
      </c>
      <c r="F231">
        <v>0.19829351535836179</v>
      </c>
      <c r="G231" s="1">
        <f t="shared" si="33"/>
        <v>0.37209302325581395</v>
      </c>
      <c r="H231" s="1" t="str">
        <f t="shared" si="34"/>
        <v/>
      </c>
      <c r="I231" s="1" t="str">
        <f t="shared" si="35"/>
        <v/>
      </c>
      <c r="J231" s="1" t="str">
        <f t="shared" si="36"/>
        <v/>
      </c>
      <c r="K231" s="1" t="str">
        <f t="shared" si="37"/>
        <v/>
      </c>
      <c r="L231" s="1" t="str">
        <f t="shared" si="38"/>
        <v/>
      </c>
    </row>
    <row r="232" spans="1:12">
      <c r="A232" t="s">
        <v>71</v>
      </c>
      <c r="B232">
        <v>8</v>
      </c>
      <c r="C232" t="str">
        <f t="shared" si="32"/>
        <v>test.GeoEngine_8_</v>
      </c>
      <c r="D232">
        <v>4</v>
      </c>
      <c r="E232">
        <v>0.37209302325581395</v>
      </c>
      <c r="F232">
        <v>0.20648464163822525</v>
      </c>
      <c r="G232" s="1" t="str">
        <f t="shared" si="33"/>
        <v/>
      </c>
      <c r="H232" s="1">
        <f t="shared" si="34"/>
        <v>0.37209302325581395</v>
      </c>
      <c r="I232" s="1" t="str">
        <f t="shared" si="35"/>
        <v/>
      </c>
      <c r="J232" s="1" t="str">
        <f t="shared" si="36"/>
        <v/>
      </c>
      <c r="K232" s="1" t="str">
        <f t="shared" si="37"/>
        <v/>
      </c>
      <c r="L232" s="1" t="str">
        <f t="shared" si="38"/>
        <v/>
      </c>
    </row>
    <row r="233" spans="1:12">
      <c r="A233" t="s">
        <v>71</v>
      </c>
      <c r="B233">
        <v>8</v>
      </c>
      <c r="C233" t="str">
        <f t="shared" si="32"/>
        <v>test.GeoEngine_8_</v>
      </c>
      <c r="D233">
        <v>5</v>
      </c>
      <c r="E233">
        <v>0.80232558139534882</v>
      </c>
      <c r="F233">
        <v>0.7880546075085324</v>
      </c>
      <c r="G233" s="1" t="str">
        <f t="shared" si="33"/>
        <v/>
      </c>
      <c r="H233" s="1" t="str">
        <f t="shared" si="34"/>
        <v/>
      </c>
      <c r="I233" s="1" t="str">
        <f t="shared" si="35"/>
        <v/>
      </c>
      <c r="J233" s="1">
        <f t="shared" si="36"/>
        <v>0.80232558139534882</v>
      </c>
      <c r="K233" s="1" t="str">
        <f t="shared" si="37"/>
        <v/>
      </c>
      <c r="L233" s="1" t="str">
        <f t="shared" si="38"/>
        <v/>
      </c>
    </row>
    <row r="234" spans="1:12">
      <c r="A234" t="s">
        <v>71</v>
      </c>
      <c r="B234">
        <v>8</v>
      </c>
      <c r="C234" t="str">
        <f t="shared" si="32"/>
        <v>test.GeoEngine_8_</v>
      </c>
      <c r="D234">
        <v>6</v>
      </c>
      <c r="E234">
        <v>0.80232558139534882</v>
      </c>
      <c r="F234">
        <v>0.80034129692832767</v>
      </c>
      <c r="G234" s="1" t="str">
        <f t="shared" si="33"/>
        <v/>
      </c>
      <c r="H234" s="1" t="str">
        <f t="shared" si="34"/>
        <v/>
      </c>
      <c r="I234" s="1" t="str">
        <f t="shared" si="35"/>
        <v/>
      </c>
      <c r="J234" s="1" t="str">
        <f t="shared" si="36"/>
        <v/>
      </c>
      <c r="K234" s="1">
        <f t="shared" si="37"/>
        <v>0.80232558139534882</v>
      </c>
      <c r="L234" s="1" t="str">
        <f t="shared" si="38"/>
        <v/>
      </c>
    </row>
    <row r="235" spans="1:12">
      <c r="A235" t="s">
        <v>71</v>
      </c>
      <c r="B235">
        <v>8</v>
      </c>
      <c r="C235" t="str">
        <f t="shared" si="32"/>
        <v>test.GeoEngine_8_</v>
      </c>
      <c r="D235">
        <v>7</v>
      </c>
      <c r="E235">
        <v>0.82558139534883723</v>
      </c>
      <c r="F235">
        <v>0.81945392491467572</v>
      </c>
      <c r="G235" s="1" t="str">
        <f t="shared" si="33"/>
        <v/>
      </c>
      <c r="H235" s="1" t="str">
        <f t="shared" si="34"/>
        <v/>
      </c>
      <c r="I235" s="1" t="str">
        <f t="shared" si="35"/>
        <v/>
      </c>
      <c r="J235" s="1" t="str">
        <f t="shared" si="36"/>
        <v/>
      </c>
      <c r="K235" s="1">
        <f t="shared" si="37"/>
        <v>0.82558139534883723</v>
      </c>
      <c r="L235" s="1" t="str">
        <f t="shared" si="38"/>
        <v/>
      </c>
    </row>
    <row r="236" spans="1:12">
      <c r="A236" t="s">
        <v>71</v>
      </c>
      <c r="B236">
        <v>8</v>
      </c>
      <c r="C236" t="str">
        <f t="shared" si="32"/>
        <v>test.GeoEngine_8_</v>
      </c>
      <c r="D236">
        <v>1</v>
      </c>
      <c r="E236">
        <v>0.88372093023255816</v>
      </c>
      <c r="F236">
        <v>0.85972696245733793</v>
      </c>
      <c r="G236" s="1" t="str">
        <f t="shared" si="33"/>
        <v/>
      </c>
      <c r="H236" s="1" t="str">
        <f t="shared" si="34"/>
        <v/>
      </c>
      <c r="I236" s="1" t="str">
        <f t="shared" si="35"/>
        <v/>
      </c>
      <c r="J236" s="1" t="str">
        <f t="shared" si="36"/>
        <v/>
      </c>
      <c r="K236" s="1">
        <f t="shared" si="37"/>
        <v>0.88372093023255816</v>
      </c>
      <c r="L236" s="1" t="str">
        <f t="shared" si="38"/>
        <v/>
      </c>
    </row>
    <row r="237" spans="1:12">
      <c r="A237" t="s">
        <v>71</v>
      </c>
      <c r="B237">
        <v>8</v>
      </c>
      <c r="C237" t="str">
        <f t="shared" si="32"/>
        <v>test.GeoEngine_8_</v>
      </c>
      <c r="D237">
        <v>2</v>
      </c>
      <c r="E237">
        <v>0.93023255813953487</v>
      </c>
      <c r="F237">
        <v>0.86416382252559731</v>
      </c>
      <c r="G237" s="1" t="str">
        <f t="shared" si="33"/>
        <v/>
      </c>
      <c r="H237" s="1" t="str">
        <f t="shared" si="34"/>
        <v/>
      </c>
      <c r="I237" s="1" t="str">
        <f t="shared" si="35"/>
        <v/>
      </c>
      <c r="J237" s="1" t="str">
        <f t="shared" si="36"/>
        <v/>
      </c>
      <c r="K237" s="1">
        <f t="shared" si="37"/>
        <v>0.93023255813953487</v>
      </c>
      <c r="L237" s="1" t="str">
        <f t="shared" si="38"/>
        <v/>
      </c>
    </row>
    <row r="238" spans="1:12">
      <c r="A238" t="s">
        <v>71</v>
      </c>
      <c r="B238">
        <v>8</v>
      </c>
      <c r="C238" t="str">
        <f t="shared" si="32"/>
        <v>test.GeoEngine_8_</v>
      </c>
      <c r="D238">
        <v>3</v>
      </c>
      <c r="E238">
        <v>0.96511627906976749</v>
      </c>
      <c r="F238">
        <v>0.94778156996587026</v>
      </c>
      <c r="G238" s="1" t="str">
        <f t="shared" si="33"/>
        <v/>
      </c>
      <c r="H238" s="1" t="str">
        <f t="shared" si="34"/>
        <v/>
      </c>
      <c r="I238" s="1" t="str">
        <f t="shared" si="35"/>
        <v/>
      </c>
      <c r="J238" s="1" t="str">
        <f t="shared" si="36"/>
        <v/>
      </c>
      <c r="K238" s="1">
        <f t="shared" si="37"/>
        <v>0.96511627906976749</v>
      </c>
      <c r="L238" s="1" t="str">
        <f t="shared" si="38"/>
        <v/>
      </c>
    </row>
    <row r="239" spans="1:12">
      <c r="A239" t="s">
        <v>71</v>
      </c>
      <c r="B239">
        <v>8</v>
      </c>
      <c r="C239" t="str">
        <f t="shared" si="32"/>
        <v>test.GeoEngine_8_</v>
      </c>
      <c r="D239">
        <v>4</v>
      </c>
      <c r="E239">
        <v>1</v>
      </c>
      <c r="F239">
        <v>0.9665529010238908</v>
      </c>
      <c r="G239" s="1" t="str">
        <f t="shared" si="33"/>
        <v/>
      </c>
      <c r="H239" s="1" t="str">
        <f t="shared" si="34"/>
        <v/>
      </c>
      <c r="I239" s="1" t="str">
        <f t="shared" si="35"/>
        <v/>
      </c>
      <c r="J239" s="1" t="str">
        <f t="shared" si="36"/>
        <v/>
      </c>
      <c r="K239" s="1">
        <f t="shared" si="37"/>
        <v>1</v>
      </c>
      <c r="L239" s="1" t="str">
        <f t="shared" si="38"/>
        <v/>
      </c>
    </row>
    <row r="240" spans="1:12">
      <c r="A240" t="s">
        <v>71</v>
      </c>
      <c r="B240">
        <v>9</v>
      </c>
      <c r="C240" t="str">
        <f t="shared" si="32"/>
        <v>test.GeoEngine_9_</v>
      </c>
      <c r="D240">
        <v>5</v>
      </c>
      <c r="E240">
        <v>0.10869565217391304</v>
      </c>
      <c r="F240">
        <v>7.8961314255431903E-2</v>
      </c>
      <c r="G240" s="1">
        <f t="shared" si="33"/>
        <v>0.10869565217391304</v>
      </c>
      <c r="H240" s="1" t="str">
        <f t="shared" si="34"/>
        <v/>
      </c>
      <c r="I240" s="1" t="str">
        <f t="shared" si="35"/>
        <v/>
      </c>
      <c r="J240" s="1" t="str">
        <f t="shared" si="36"/>
        <v/>
      </c>
      <c r="K240" s="1" t="str">
        <f t="shared" si="37"/>
        <v/>
      </c>
      <c r="L240" s="1" t="str">
        <f t="shared" si="38"/>
        <v/>
      </c>
    </row>
    <row r="241" spans="1:12">
      <c r="A241" t="s">
        <v>71</v>
      </c>
      <c r="B241">
        <v>9</v>
      </c>
      <c r="C241" t="str">
        <f t="shared" si="32"/>
        <v>test.GeoEngine_9_</v>
      </c>
      <c r="D241">
        <v>6</v>
      </c>
      <c r="E241">
        <v>0.21739130434782608</v>
      </c>
      <c r="F241">
        <v>0.12612612612612611</v>
      </c>
      <c r="G241" s="1">
        <f t="shared" si="33"/>
        <v>0.21739130434782608</v>
      </c>
      <c r="H241" s="1" t="str">
        <f t="shared" si="34"/>
        <v/>
      </c>
      <c r="I241" s="1" t="str">
        <f t="shared" si="35"/>
        <v/>
      </c>
      <c r="J241" s="1" t="str">
        <f t="shared" si="36"/>
        <v/>
      </c>
      <c r="K241" s="1" t="str">
        <f t="shared" si="37"/>
        <v/>
      </c>
      <c r="L241" s="1" t="str">
        <f t="shared" si="38"/>
        <v/>
      </c>
    </row>
    <row r="242" spans="1:12">
      <c r="A242" t="s">
        <v>71</v>
      </c>
      <c r="B242">
        <v>9</v>
      </c>
      <c r="C242" t="str">
        <f t="shared" si="32"/>
        <v>test.GeoEngine_9_</v>
      </c>
      <c r="D242">
        <v>7</v>
      </c>
      <c r="E242">
        <v>0.47826086956521741</v>
      </c>
      <c r="F242">
        <v>0.30100688924218338</v>
      </c>
      <c r="G242" s="1" t="str">
        <f t="shared" si="33"/>
        <v/>
      </c>
      <c r="H242" s="1">
        <f t="shared" si="34"/>
        <v>0.47826086956521741</v>
      </c>
      <c r="I242" s="1" t="str">
        <f t="shared" si="35"/>
        <v/>
      </c>
      <c r="J242" s="1" t="str">
        <f t="shared" si="36"/>
        <v/>
      </c>
      <c r="K242" s="1" t="str">
        <f t="shared" si="37"/>
        <v/>
      </c>
      <c r="L242" s="1" t="str">
        <f t="shared" si="38"/>
        <v/>
      </c>
    </row>
    <row r="243" spans="1:12">
      <c r="A243" t="s">
        <v>71</v>
      </c>
      <c r="B243">
        <v>9</v>
      </c>
      <c r="C243" t="str">
        <f t="shared" si="32"/>
        <v>test.GeoEngine_9_</v>
      </c>
      <c r="D243">
        <v>8</v>
      </c>
      <c r="E243">
        <v>1</v>
      </c>
      <c r="F243">
        <v>0.97403285638579751</v>
      </c>
      <c r="G243" s="1" t="str">
        <f t="shared" si="33"/>
        <v/>
      </c>
      <c r="H243" s="1" t="str">
        <f t="shared" si="34"/>
        <v/>
      </c>
      <c r="I243" s="1" t="str">
        <f t="shared" si="35"/>
        <v/>
      </c>
      <c r="J243" s="1" t="str">
        <f t="shared" si="36"/>
        <v/>
      </c>
      <c r="K243" s="1">
        <f t="shared" si="37"/>
        <v>1</v>
      </c>
      <c r="L243" s="1" t="str">
        <f t="shared" si="38"/>
        <v/>
      </c>
    </row>
    <row r="244" spans="1:12">
      <c r="A244" t="s">
        <v>71</v>
      </c>
      <c r="B244">
        <v>10</v>
      </c>
      <c r="C244" t="str">
        <f t="shared" si="32"/>
        <v>test.GeoEngine_10_</v>
      </c>
      <c r="D244">
        <v>9</v>
      </c>
      <c r="E244">
        <v>6.6666666666666666E-2</v>
      </c>
      <c r="F244">
        <v>8.8474970896391156E-2</v>
      </c>
      <c r="G244" s="1">
        <f t="shared" si="33"/>
        <v>6.6666666666666666E-2</v>
      </c>
      <c r="H244" s="1" t="str">
        <f t="shared" si="34"/>
        <v/>
      </c>
      <c r="I244" s="1" t="str">
        <f t="shared" si="35"/>
        <v/>
      </c>
      <c r="J244" s="1" t="str">
        <f t="shared" si="36"/>
        <v/>
      </c>
      <c r="K244" s="1" t="str">
        <f t="shared" si="37"/>
        <v/>
      </c>
      <c r="L244" s="1" t="str">
        <f t="shared" si="38"/>
        <v/>
      </c>
    </row>
    <row r="245" spans="1:12">
      <c r="A245" t="s">
        <v>71</v>
      </c>
      <c r="B245">
        <v>10</v>
      </c>
      <c r="C245" t="str">
        <f t="shared" si="32"/>
        <v>test.GeoEngine_10_</v>
      </c>
      <c r="D245">
        <v>10</v>
      </c>
      <c r="E245">
        <v>0.3</v>
      </c>
      <c r="F245">
        <v>0.35506402793946451</v>
      </c>
      <c r="G245" s="1" t="str">
        <f t="shared" si="33"/>
        <v/>
      </c>
      <c r="H245" s="1">
        <f t="shared" si="34"/>
        <v>0.3</v>
      </c>
      <c r="I245" s="1" t="str">
        <f t="shared" si="35"/>
        <v/>
      </c>
      <c r="J245" s="1" t="str">
        <f t="shared" si="36"/>
        <v/>
      </c>
      <c r="K245" s="1" t="str">
        <f t="shared" si="37"/>
        <v/>
      </c>
      <c r="L245" s="1" t="str">
        <f t="shared" si="38"/>
        <v/>
      </c>
    </row>
    <row r="246" spans="1:12">
      <c r="A246" t="s">
        <v>71</v>
      </c>
      <c r="B246">
        <v>10</v>
      </c>
      <c r="C246" t="str">
        <f t="shared" si="32"/>
        <v>test.GeoEngine_10_</v>
      </c>
      <c r="D246">
        <v>11</v>
      </c>
      <c r="E246">
        <v>0.53333333333333333</v>
      </c>
      <c r="F246">
        <v>0.51105937136204893</v>
      </c>
      <c r="G246" s="1" t="str">
        <f t="shared" si="33"/>
        <v/>
      </c>
      <c r="H246" s="1" t="str">
        <f t="shared" si="34"/>
        <v/>
      </c>
      <c r="I246" s="1">
        <f t="shared" si="35"/>
        <v>0.53333333333333333</v>
      </c>
      <c r="J246" s="1" t="str">
        <f t="shared" si="36"/>
        <v/>
      </c>
      <c r="K246" s="1" t="str">
        <f t="shared" si="37"/>
        <v/>
      </c>
      <c r="L246" s="1" t="str">
        <f t="shared" si="38"/>
        <v/>
      </c>
    </row>
    <row r="247" spans="1:12">
      <c r="A247" t="s">
        <v>71</v>
      </c>
      <c r="B247">
        <v>10</v>
      </c>
      <c r="C247" t="str">
        <f t="shared" si="32"/>
        <v>test.GeoEngine_10_</v>
      </c>
      <c r="D247">
        <v>12</v>
      </c>
      <c r="E247">
        <v>0.53333333333333333</v>
      </c>
      <c r="F247">
        <v>0.56693830034924331</v>
      </c>
      <c r="G247" s="1" t="str">
        <f t="shared" si="33"/>
        <v/>
      </c>
      <c r="H247" s="1" t="str">
        <f t="shared" si="34"/>
        <v/>
      </c>
      <c r="I247" s="1">
        <f t="shared" si="35"/>
        <v>0.53333333333333333</v>
      </c>
      <c r="J247" s="1" t="str">
        <f t="shared" si="36"/>
        <v/>
      </c>
      <c r="K247" s="1" t="str">
        <f t="shared" si="37"/>
        <v/>
      </c>
      <c r="L247" s="1" t="str">
        <f t="shared" si="38"/>
        <v/>
      </c>
    </row>
    <row r="248" spans="1:12">
      <c r="A248" t="s">
        <v>71</v>
      </c>
      <c r="B248">
        <v>10</v>
      </c>
      <c r="C248" t="str">
        <f t="shared" si="32"/>
        <v>test.GeoEngine_10_</v>
      </c>
      <c r="D248">
        <v>13</v>
      </c>
      <c r="E248">
        <v>0.76666666666666672</v>
      </c>
      <c r="F248">
        <v>0.65890570430733408</v>
      </c>
      <c r="G248" s="1" t="str">
        <f t="shared" si="33"/>
        <v/>
      </c>
      <c r="H248" s="1" t="str">
        <f t="shared" si="34"/>
        <v/>
      </c>
      <c r="I248" s="1" t="str">
        <f t="shared" si="35"/>
        <v/>
      </c>
      <c r="J248" s="1">
        <f t="shared" si="36"/>
        <v>0.76666666666666672</v>
      </c>
      <c r="K248" s="1" t="str">
        <f t="shared" si="37"/>
        <v/>
      </c>
      <c r="L248" s="1" t="str">
        <f t="shared" si="38"/>
        <v/>
      </c>
    </row>
    <row r="249" spans="1:12">
      <c r="A249" t="s">
        <v>71</v>
      </c>
      <c r="B249">
        <v>10</v>
      </c>
      <c r="C249" t="str">
        <f t="shared" si="32"/>
        <v>test.GeoEngine_10_</v>
      </c>
      <c r="D249">
        <v>14</v>
      </c>
      <c r="E249">
        <v>0.76666666666666672</v>
      </c>
      <c r="F249">
        <v>0.71827706635622812</v>
      </c>
      <c r="G249" s="1" t="str">
        <f t="shared" si="33"/>
        <v/>
      </c>
      <c r="H249" s="1" t="str">
        <f t="shared" si="34"/>
        <v/>
      </c>
      <c r="I249" s="1" t="str">
        <f t="shared" si="35"/>
        <v/>
      </c>
      <c r="J249" s="1">
        <f t="shared" si="36"/>
        <v>0.76666666666666672</v>
      </c>
      <c r="K249" s="1" t="str">
        <f t="shared" si="37"/>
        <v/>
      </c>
      <c r="L249" s="1" t="str">
        <f t="shared" si="38"/>
        <v/>
      </c>
    </row>
    <row r="250" spans="1:12">
      <c r="A250" t="s">
        <v>71</v>
      </c>
      <c r="B250">
        <v>10</v>
      </c>
      <c r="C250" t="str">
        <f t="shared" si="32"/>
        <v>test.GeoEngine_10_</v>
      </c>
      <c r="D250">
        <v>15</v>
      </c>
      <c r="E250">
        <v>0.76666666666666672</v>
      </c>
      <c r="F250">
        <v>0.729918509895227</v>
      </c>
      <c r="G250" s="1" t="str">
        <f t="shared" si="33"/>
        <v/>
      </c>
      <c r="H250" s="1" t="str">
        <f t="shared" si="34"/>
        <v/>
      </c>
      <c r="I250" s="1" t="str">
        <f t="shared" si="35"/>
        <v/>
      </c>
      <c r="J250" s="1">
        <f t="shared" si="36"/>
        <v>0.76666666666666672</v>
      </c>
      <c r="K250" s="1" t="str">
        <f t="shared" si="37"/>
        <v/>
      </c>
      <c r="L250" s="1" t="str">
        <f t="shared" si="38"/>
        <v/>
      </c>
    </row>
    <row r="251" spans="1:12">
      <c r="A251" t="s">
        <v>71</v>
      </c>
      <c r="B251">
        <v>10</v>
      </c>
      <c r="C251" t="str">
        <f t="shared" si="32"/>
        <v>test.GeoEngine_10_</v>
      </c>
      <c r="D251">
        <v>16</v>
      </c>
      <c r="E251">
        <v>0.9</v>
      </c>
      <c r="F251">
        <v>0.76018626309662396</v>
      </c>
      <c r="G251" s="1" t="str">
        <f t="shared" si="33"/>
        <v/>
      </c>
      <c r="H251" s="1" t="str">
        <f t="shared" si="34"/>
        <v/>
      </c>
      <c r="I251" s="1" t="str">
        <f t="shared" si="35"/>
        <v/>
      </c>
      <c r="J251" s="1">
        <f t="shared" si="36"/>
        <v>0.9</v>
      </c>
      <c r="K251" s="1" t="str">
        <f t="shared" si="37"/>
        <v/>
      </c>
      <c r="L251" s="1" t="str">
        <f t="shared" si="38"/>
        <v/>
      </c>
    </row>
    <row r="252" spans="1:12">
      <c r="A252" t="s">
        <v>71</v>
      </c>
      <c r="B252">
        <v>10</v>
      </c>
      <c r="C252" t="str">
        <f t="shared" si="32"/>
        <v>test.GeoEngine_10_</v>
      </c>
      <c r="D252">
        <v>1</v>
      </c>
      <c r="E252">
        <v>0.9</v>
      </c>
      <c r="F252">
        <v>0.80675203725261935</v>
      </c>
      <c r="G252" s="1" t="str">
        <f t="shared" si="33"/>
        <v/>
      </c>
      <c r="H252" s="1" t="str">
        <f t="shared" si="34"/>
        <v/>
      </c>
      <c r="I252" s="1" t="str">
        <f t="shared" si="35"/>
        <v/>
      </c>
      <c r="J252" s="1" t="str">
        <f t="shared" si="36"/>
        <v/>
      </c>
      <c r="K252" s="1">
        <f t="shared" si="37"/>
        <v>0.9</v>
      </c>
      <c r="L252" s="1" t="str">
        <f t="shared" si="38"/>
        <v/>
      </c>
    </row>
    <row r="253" spans="1:12">
      <c r="A253" t="s">
        <v>71</v>
      </c>
      <c r="B253">
        <v>10</v>
      </c>
      <c r="C253" t="str">
        <f t="shared" si="32"/>
        <v>test.GeoEngine_10_</v>
      </c>
      <c r="D253">
        <v>2</v>
      </c>
      <c r="E253">
        <v>0.9</v>
      </c>
      <c r="F253">
        <v>0.81722933643771822</v>
      </c>
      <c r="G253" s="1" t="str">
        <f t="shared" si="33"/>
        <v/>
      </c>
      <c r="H253" s="1" t="str">
        <f t="shared" si="34"/>
        <v/>
      </c>
      <c r="I253" s="1" t="str">
        <f t="shared" si="35"/>
        <v/>
      </c>
      <c r="J253" s="1" t="str">
        <f t="shared" si="36"/>
        <v/>
      </c>
      <c r="K253" s="1">
        <f t="shared" si="37"/>
        <v>0.9</v>
      </c>
      <c r="L253" s="1" t="str">
        <f t="shared" si="38"/>
        <v/>
      </c>
    </row>
    <row r="254" spans="1:12">
      <c r="A254" t="s">
        <v>71</v>
      </c>
      <c r="B254">
        <v>10</v>
      </c>
      <c r="C254" t="str">
        <f t="shared" si="32"/>
        <v>test.GeoEngine_10_</v>
      </c>
      <c r="D254">
        <v>3</v>
      </c>
      <c r="E254">
        <v>0.9</v>
      </c>
      <c r="F254">
        <v>0.81839348079161811</v>
      </c>
      <c r="G254" s="1" t="str">
        <f t="shared" si="33"/>
        <v/>
      </c>
      <c r="H254" s="1" t="str">
        <f t="shared" si="34"/>
        <v/>
      </c>
      <c r="I254" s="1" t="str">
        <f t="shared" si="35"/>
        <v/>
      </c>
      <c r="J254" s="1" t="str">
        <f t="shared" si="36"/>
        <v/>
      </c>
      <c r="K254" s="1">
        <f t="shared" si="37"/>
        <v>0.9</v>
      </c>
      <c r="L254" s="1" t="str">
        <f t="shared" si="38"/>
        <v/>
      </c>
    </row>
    <row r="255" spans="1:12">
      <c r="A255" t="s">
        <v>71</v>
      </c>
      <c r="B255">
        <v>10</v>
      </c>
      <c r="C255" t="str">
        <f t="shared" si="32"/>
        <v>test.GeoEngine_10_</v>
      </c>
      <c r="D255">
        <v>1</v>
      </c>
      <c r="E255">
        <v>1</v>
      </c>
      <c r="F255">
        <v>0.82537834691501744</v>
      </c>
      <c r="G255" s="1" t="str">
        <f t="shared" si="33"/>
        <v/>
      </c>
      <c r="H255" s="1" t="str">
        <f t="shared" si="34"/>
        <v/>
      </c>
      <c r="I255" s="1" t="str">
        <f t="shared" si="35"/>
        <v/>
      </c>
      <c r="J255" s="1" t="str">
        <f t="shared" si="36"/>
        <v/>
      </c>
      <c r="K255" s="1">
        <f t="shared" si="37"/>
        <v>1</v>
      </c>
      <c r="L255" s="1" t="str">
        <f t="shared" si="38"/>
        <v/>
      </c>
    </row>
    <row r="256" spans="1:12">
      <c r="A256" t="s">
        <v>71</v>
      </c>
      <c r="B256">
        <v>10</v>
      </c>
      <c r="C256" t="str">
        <f t="shared" si="32"/>
        <v>test.GeoEngine_10_</v>
      </c>
      <c r="D256">
        <v>2</v>
      </c>
      <c r="E256">
        <v>1</v>
      </c>
      <c r="F256">
        <v>0.82770663562281721</v>
      </c>
      <c r="G256" s="1" t="str">
        <f t="shared" si="33"/>
        <v/>
      </c>
      <c r="H256" s="1" t="str">
        <f t="shared" si="34"/>
        <v/>
      </c>
      <c r="I256" s="1" t="str">
        <f t="shared" si="35"/>
        <v/>
      </c>
      <c r="J256" s="1" t="str">
        <f t="shared" si="36"/>
        <v/>
      </c>
      <c r="K256" s="1">
        <f t="shared" si="37"/>
        <v>1</v>
      </c>
      <c r="L256" s="1" t="str">
        <f t="shared" si="38"/>
        <v/>
      </c>
    </row>
    <row r="257" spans="1:12">
      <c r="A257" t="s">
        <v>71</v>
      </c>
      <c r="B257">
        <v>10</v>
      </c>
      <c r="C257" t="str">
        <f t="shared" si="32"/>
        <v>test.GeoEngine_10_</v>
      </c>
      <c r="D257">
        <v>3</v>
      </c>
      <c r="E257">
        <v>1</v>
      </c>
      <c r="F257">
        <v>0.83003492433061699</v>
      </c>
      <c r="G257" s="1" t="str">
        <f t="shared" si="33"/>
        <v/>
      </c>
      <c r="H257" s="1" t="str">
        <f t="shared" si="34"/>
        <v/>
      </c>
      <c r="I257" s="1" t="str">
        <f t="shared" si="35"/>
        <v/>
      </c>
      <c r="J257" s="1" t="str">
        <f t="shared" si="36"/>
        <v/>
      </c>
      <c r="K257" s="1">
        <f t="shared" si="37"/>
        <v>1</v>
      </c>
      <c r="L257" s="1" t="str">
        <f t="shared" si="38"/>
        <v/>
      </c>
    </row>
    <row r="258" spans="1:12">
      <c r="A258" t="s">
        <v>71</v>
      </c>
      <c r="B258">
        <v>10</v>
      </c>
      <c r="C258" t="str">
        <f t="shared" si="32"/>
        <v>test.GeoEngine_10_</v>
      </c>
      <c r="D258">
        <v>4</v>
      </c>
      <c r="E258">
        <v>1</v>
      </c>
      <c r="F258">
        <v>0.86845168800931316</v>
      </c>
      <c r="G258" s="1" t="str">
        <f t="shared" si="33"/>
        <v/>
      </c>
      <c r="H258" s="1" t="str">
        <f t="shared" si="34"/>
        <v/>
      </c>
      <c r="I258" s="1" t="str">
        <f t="shared" si="35"/>
        <v/>
      </c>
      <c r="J258" s="1" t="str">
        <f t="shared" si="36"/>
        <v/>
      </c>
      <c r="K258" s="1">
        <f t="shared" si="37"/>
        <v>1</v>
      </c>
      <c r="L258" s="1" t="str">
        <f t="shared" si="38"/>
        <v/>
      </c>
    </row>
    <row r="259" spans="1:12">
      <c r="A259" t="s">
        <v>71</v>
      </c>
      <c r="B259">
        <v>10</v>
      </c>
      <c r="C259" t="str">
        <f t="shared" ref="C259:C322" si="39">CONCATENATE(A259, "_",B259,"_")</f>
        <v>test.GeoEngine_10_</v>
      </c>
      <c r="D259">
        <v>5</v>
      </c>
      <c r="E259">
        <v>1</v>
      </c>
      <c r="F259">
        <v>0.88125727590221192</v>
      </c>
      <c r="G259" s="1" t="str">
        <f t="shared" ref="G259:G322" si="40">IF($F259 &lt;= 0.2,$E259,"")</f>
        <v/>
      </c>
      <c r="H259" s="1" t="str">
        <f t="shared" ref="H259:H322" si="41">IF(AND($F259 &gt; 0.2,$F259 &lt;= 0.4),$E259,"")</f>
        <v/>
      </c>
      <c r="I259" s="1" t="str">
        <f t="shared" ref="I259:I322" si="42">IF(AND($F259 &gt; 0.4,$F259 &lt;= 0.6),$E259,"")</f>
        <v/>
      </c>
      <c r="J259" s="1" t="str">
        <f t="shared" ref="J259:J322" si="43">IF(AND($F259 &gt; 0.6,$F259 &lt;= 0.8),$E259,"")</f>
        <v/>
      </c>
      <c r="K259" s="1">
        <f t="shared" ref="K259:K322" si="44">IF(AND($F259 &gt; 0.8, $F259 &lt;=1.1),$E259,"")</f>
        <v>1</v>
      </c>
      <c r="L259" s="1" t="str">
        <f t="shared" ref="L259:L322" si="45">IF(AND($F259 &gt; 1.1),$E259,"")</f>
        <v/>
      </c>
    </row>
    <row r="260" spans="1:12">
      <c r="A260" t="s">
        <v>71</v>
      </c>
      <c r="B260">
        <v>10</v>
      </c>
      <c r="C260" t="str">
        <f t="shared" si="39"/>
        <v>test.GeoEngine_10_</v>
      </c>
      <c r="D260">
        <v>6</v>
      </c>
      <c r="E260">
        <v>1</v>
      </c>
      <c r="F260">
        <v>0.88358556461001159</v>
      </c>
      <c r="G260" s="1" t="str">
        <f t="shared" si="40"/>
        <v/>
      </c>
      <c r="H260" s="1" t="str">
        <f t="shared" si="41"/>
        <v/>
      </c>
      <c r="I260" s="1" t="str">
        <f t="shared" si="42"/>
        <v/>
      </c>
      <c r="J260" s="1" t="str">
        <f t="shared" si="43"/>
        <v/>
      </c>
      <c r="K260" s="1">
        <f t="shared" si="44"/>
        <v>1</v>
      </c>
      <c r="L260" s="1" t="str">
        <f t="shared" si="45"/>
        <v/>
      </c>
    </row>
    <row r="261" spans="1:12">
      <c r="A261" t="s">
        <v>71</v>
      </c>
      <c r="B261">
        <v>10</v>
      </c>
      <c r="C261" t="str">
        <f t="shared" si="39"/>
        <v>test.GeoEngine_10_</v>
      </c>
      <c r="D261">
        <v>7</v>
      </c>
      <c r="E261">
        <v>1</v>
      </c>
      <c r="F261">
        <v>0.88591385331781136</v>
      </c>
      <c r="G261" s="1" t="str">
        <f t="shared" si="40"/>
        <v/>
      </c>
      <c r="H261" s="1" t="str">
        <f t="shared" si="41"/>
        <v/>
      </c>
      <c r="I261" s="1" t="str">
        <f t="shared" si="42"/>
        <v/>
      </c>
      <c r="J261" s="1" t="str">
        <f t="shared" si="43"/>
        <v/>
      </c>
      <c r="K261" s="1">
        <f t="shared" si="44"/>
        <v>1</v>
      </c>
      <c r="L261" s="1" t="str">
        <f t="shared" si="45"/>
        <v/>
      </c>
    </row>
    <row r="262" spans="1:12">
      <c r="A262" t="s">
        <v>71</v>
      </c>
      <c r="B262">
        <v>10</v>
      </c>
      <c r="C262" t="str">
        <f t="shared" si="39"/>
        <v>test.GeoEngine_10_</v>
      </c>
      <c r="D262">
        <v>8</v>
      </c>
      <c r="E262">
        <v>1</v>
      </c>
      <c r="F262">
        <v>0.88940628637951102</v>
      </c>
      <c r="G262" s="1" t="str">
        <f t="shared" si="40"/>
        <v/>
      </c>
      <c r="H262" s="1" t="str">
        <f t="shared" si="41"/>
        <v/>
      </c>
      <c r="I262" s="1" t="str">
        <f t="shared" si="42"/>
        <v/>
      </c>
      <c r="J262" s="1" t="str">
        <f t="shared" si="43"/>
        <v/>
      </c>
      <c r="K262" s="1">
        <f t="shared" si="44"/>
        <v>1</v>
      </c>
      <c r="L262" s="1" t="str">
        <f t="shared" si="45"/>
        <v/>
      </c>
    </row>
    <row r="263" spans="1:12">
      <c r="A263" t="s">
        <v>71</v>
      </c>
      <c r="B263">
        <v>10</v>
      </c>
      <c r="C263" t="str">
        <f t="shared" si="39"/>
        <v>test.GeoEngine_10_</v>
      </c>
      <c r="D263">
        <v>9</v>
      </c>
      <c r="E263">
        <v>1</v>
      </c>
      <c r="F263">
        <v>0.90221187427240979</v>
      </c>
      <c r="G263" s="1" t="str">
        <f t="shared" si="40"/>
        <v/>
      </c>
      <c r="H263" s="1" t="str">
        <f t="shared" si="41"/>
        <v/>
      </c>
      <c r="I263" s="1" t="str">
        <f t="shared" si="42"/>
        <v/>
      </c>
      <c r="J263" s="1" t="str">
        <f t="shared" si="43"/>
        <v/>
      </c>
      <c r="K263" s="1">
        <f t="shared" si="44"/>
        <v>1</v>
      </c>
      <c r="L263" s="1" t="str">
        <f t="shared" si="45"/>
        <v/>
      </c>
    </row>
    <row r="264" spans="1:12">
      <c r="A264" t="s">
        <v>71</v>
      </c>
      <c r="B264">
        <v>10</v>
      </c>
      <c r="C264" t="str">
        <f t="shared" si="39"/>
        <v>test.GeoEngine_10_</v>
      </c>
      <c r="D264">
        <v>1</v>
      </c>
      <c r="E264">
        <v>1</v>
      </c>
      <c r="F264">
        <v>0.90919674039580911</v>
      </c>
      <c r="G264" s="1" t="str">
        <f t="shared" si="40"/>
        <v/>
      </c>
      <c r="H264" s="1" t="str">
        <f t="shared" si="41"/>
        <v/>
      </c>
      <c r="I264" s="1" t="str">
        <f t="shared" si="42"/>
        <v/>
      </c>
      <c r="J264" s="1" t="str">
        <f t="shared" si="43"/>
        <v/>
      </c>
      <c r="K264" s="1">
        <f t="shared" si="44"/>
        <v>1</v>
      </c>
      <c r="L264" s="1" t="str">
        <f t="shared" si="45"/>
        <v/>
      </c>
    </row>
    <row r="265" spans="1:12">
      <c r="A265" t="s">
        <v>71</v>
      </c>
      <c r="B265">
        <v>10</v>
      </c>
      <c r="C265" t="str">
        <f t="shared" si="39"/>
        <v>test.GeoEngine_10_</v>
      </c>
      <c r="D265">
        <v>2</v>
      </c>
      <c r="E265">
        <v>1</v>
      </c>
      <c r="F265">
        <v>0.92898719441210709</v>
      </c>
      <c r="G265" s="1" t="str">
        <f t="shared" si="40"/>
        <v/>
      </c>
      <c r="H265" s="1" t="str">
        <f t="shared" si="41"/>
        <v/>
      </c>
      <c r="I265" s="1" t="str">
        <f t="shared" si="42"/>
        <v/>
      </c>
      <c r="J265" s="1" t="str">
        <f t="shared" si="43"/>
        <v/>
      </c>
      <c r="K265" s="1">
        <f t="shared" si="44"/>
        <v>1</v>
      </c>
      <c r="L265" s="1" t="str">
        <f t="shared" si="45"/>
        <v/>
      </c>
    </row>
    <row r="266" spans="1:12">
      <c r="A266" t="s">
        <v>71</v>
      </c>
      <c r="B266">
        <v>10</v>
      </c>
      <c r="C266" t="str">
        <f t="shared" si="39"/>
        <v>test.GeoEngine_10_</v>
      </c>
      <c r="D266">
        <v>1</v>
      </c>
      <c r="E266">
        <v>1</v>
      </c>
      <c r="F266">
        <v>0.94295692665890574</v>
      </c>
      <c r="G266" s="1" t="str">
        <f t="shared" si="40"/>
        <v/>
      </c>
      <c r="H266" s="1" t="str">
        <f t="shared" si="41"/>
        <v/>
      </c>
      <c r="I266" s="1" t="str">
        <f t="shared" si="42"/>
        <v/>
      </c>
      <c r="J266" s="1" t="str">
        <f t="shared" si="43"/>
        <v/>
      </c>
      <c r="K266" s="1">
        <f t="shared" si="44"/>
        <v>1</v>
      </c>
      <c r="L266" s="1" t="str">
        <f t="shared" si="45"/>
        <v/>
      </c>
    </row>
    <row r="267" spans="1:12">
      <c r="A267" t="s">
        <v>71</v>
      </c>
      <c r="B267">
        <v>10</v>
      </c>
      <c r="C267" t="str">
        <f t="shared" si="39"/>
        <v>test.GeoEngine_10_</v>
      </c>
      <c r="D267">
        <v>2</v>
      </c>
      <c r="E267">
        <v>1</v>
      </c>
      <c r="F267">
        <v>0.94412107101280562</v>
      </c>
      <c r="G267" s="1" t="str">
        <f t="shared" si="40"/>
        <v/>
      </c>
      <c r="H267" s="1" t="str">
        <f t="shared" si="41"/>
        <v/>
      </c>
      <c r="I267" s="1" t="str">
        <f t="shared" si="42"/>
        <v/>
      </c>
      <c r="J267" s="1" t="str">
        <f t="shared" si="43"/>
        <v/>
      </c>
      <c r="K267" s="1">
        <f t="shared" si="44"/>
        <v>1</v>
      </c>
      <c r="L267" s="1" t="str">
        <f t="shared" si="45"/>
        <v/>
      </c>
    </row>
    <row r="268" spans="1:12">
      <c r="A268" t="s">
        <v>71</v>
      </c>
      <c r="B268">
        <v>10</v>
      </c>
      <c r="C268" t="str">
        <f t="shared" si="39"/>
        <v>test.GeoEngine_10_</v>
      </c>
      <c r="D268">
        <v>3</v>
      </c>
      <c r="E268">
        <v>1</v>
      </c>
      <c r="F268">
        <v>0.94761350407450529</v>
      </c>
      <c r="G268" s="1" t="str">
        <f t="shared" si="40"/>
        <v/>
      </c>
      <c r="H268" s="1" t="str">
        <f t="shared" si="41"/>
        <v/>
      </c>
      <c r="I268" s="1" t="str">
        <f t="shared" si="42"/>
        <v/>
      </c>
      <c r="J268" s="1" t="str">
        <f t="shared" si="43"/>
        <v/>
      </c>
      <c r="K268" s="1">
        <f t="shared" si="44"/>
        <v>1</v>
      </c>
      <c r="L268" s="1" t="str">
        <f t="shared" si="45"/>
        <v/>
      </c>
    </row>
    <row r="269" spans="1:12">
      <c r="A269" t="s">
        <v>71</v>
      </c>
      <c r="B269">
        <v>10</v>
      </c>
      <c r="C269" t="str">
        <f t="shared" si="39"/>
        <v>test.GeoEngine_10_</v>
      </c>
      <c r="D269">
        <v>4</v>
      </c>
      <c r="E269">
        <v>1</v>
      </c>
      <c r="F269">
        <v>0.95343422584400461</v>
      </c>
      <c r="G269" s="1" t="str">
        <f t="shared" si="40"/>
        <v/>
      </c>
      <c r="H269" s="1" t="str">
        <f t="shared" si="41"/>
        <v/>
      </c>
      <c r="I269" s="1" t="str">
        <f t="shared" si="42"/>
        <v/>
      </c>
      <c r="J269" s="1" t="str">
        <f t="shared" si="43"/>
        <v/>
      </c>
      <c r="K269" s="1">
        <f t="shared" si="44"/>
        <v>1</v>
      </c>
      <c r="L269" s="1" t="str">
        <f t="shared" si="45"/>
        <v/>
      </c>
    </row>
    <row r="270" spans="1:12">
      <c r="A270" t="s">
        <v>71</v>
      </c>
      <c r="B270">
        <v>10</v>
      </c>
      <c r="C270" t="str">
        <f t="shared" si="39"/>
        <v>test.GeoEngine_10_</v>
      </c>
      <c r="D270">
        <v>5</v>
      </c>
      <c r="E270">
        <v>1</v>
      </c>
      <c r="F270">
        <v>0.95576251455180439</v>
      </c>
      <c r="G270" s="1" t="str">
        <f t="shared" si="40"/>
        <v/>
      </c>
      <c r="H270" s="1" t="str">
        <f t="shared" si="41"/>
        <v/>
      </c>
      <c r="I270" s="1" t="str">
        <f t="shared" si="42"/>
        <v/>
      </c>
      <c r="J270" s="1" t="str">
        <f t="shared" si="43"/>
        <v/>
      </c>
      <c r="K270" s="1">
        <f t="shared" si="44"/>
        <v>1</v>
      </c>
      <c r="L270" s="1" t="str">
        <f t="shared" si="45"/>
        <v/>
      </c>
    </row>
    <row r="271" spans="1:12">
      <c r="A271" t="s">
        <v>71</v>
      </c>
      <c r="B271">
        <v>10</v>
      </c>
      <c r="C271" t="str">
        <f t="shared" si="39"/>
        <v>test.GeoEngine_10_</v>
      </c>
      <c r="D271">
        <v>6</v>
      </c>
      <c r="E271">
        <v>1</v>
      </c>
      <c r="F271">
        <v>0.95925494761350405</v>
      </c>
      <c r="G271" s="1" t="str">
        <f t="shared" si="40"/>
        <v/>
      </c>
      <c r="H271" s="1" t="str">
        <f t="shared" si="41"/>
        <v/>
      </c>
      <c r="I271" s="1" t="str">
        <f t="shared" si="42"/>
        <v/>
      </c>
      <c r="J271" s="1" t="str">
        <f t="shared" si="43"/>
        <v/>
      </c>
      <c r="K271" s="1">
        <f t="shared" si="44"/>
        <v>1</v>
      </c>
      <c r="L271" s="1" t="str">
        <f t="shared" si="45"/>
        <v/>
      </c>
    </row>
    <row r="272" spans="1:12">
      <c r="A272" t="s">
        <v>71</v>
      </c>
      <c r="B272">
        <v>10</v>
      </c>
      <c r="C272" t="str">
        <f t="shared" si="39"/>
        <v>test.GeoEngine_10_</v>
      </c>
      <c r="D272">
        <v>7</v>
      </c>
      <c r="E272">
        <v>1</v>
      </c>
      <c r="F272">
        <v>0.96041909196740394</v>
      </c>
      <c r="G272" s="1" t="str">
        <f t="shared" si="40"/>
        <v/>
      </c>
      <c r="H272" s="1" t="str">
        <f t="shared" si="41"/>
        <v/>
      </c>
      <c r="I272" s="1" t="str">
        <f t="shared" si="42"/>
        <v/>
      </c>
      <c r="J272" s="1" t="str">
        <f t="shared" si="43"/>
        <v/>
      </c>
      <c r="K272" s="1">
        <f t="shared" si="44"/>
        <v>1</v>
      </c>
      <c r="L272" s="1" t="str">
        <f t="shared" si="45"/>
        <v/>
      </c>
    </row>
    <row r="273" spans="1:12">
      <c r="A273" t="s">
        <v>71</v>
      </c>
      <c r="B273">
        <v>10</v>
      </c>
      <c r="C273" t="str">
        <f t="shared" si="39"/>
        <v>test.GeoEngine_10_</v>
      </c>
      <c r="D273">
        <v>1</v>
      </c>
      <c r="E273">
        <v>1</v>
      </c>
      <c r="F273">
        <v>0.96856810244470315</v>
      </c>
      <c r="G273" s="1" t="str">
        <f t="shared" si="40"/>
        <v/>
      </c>
      <c r="H273" s="1" t="str">
        <f t="shared" si="41"/>
        <v/>
      </c>
      <c r="I273" s="1" t="str">
        <f t="shared" si="42"/>
        <v/>
      </c>
      <c r="J273" s="1" t="str">
        <f t="shared" si="43"/>
        <v/>
      </c>
      <c r="K273" s="1">
        <f t="shared" si="44"/>
        <v>1</v>
      </c>
      <c r="L273" s="1" t="str">
        <f t="shared" si="45"/>
        <v/>
      </c>
    </row>
    <row r="274" spans="1:12">
      <c r="A274" t="s">
        <v>71</v>
      </c>
      <c r="B274">
        <v>10</v>
      </c>
      <c r="C274" t="str">
        <f t="shared" si="39"/>
        <v>test.GeoEngine_10_</v>
      </c>
      <c r="D274">
        <v>2</v>
      </c>
      <c r="E274">
        <v>1</v>
      </c>
      <c r="F274">
        <v>1.0151338766006985</v>
      </c>
      <c r="G274" s="1" t="str">
        <f t="shared" si="40"/>
        <v/>
      </c>
      <c r="H274" s="1" t="str">
        <f t="shared" si="41"/>
        <v/>
      </c>
      <c r="I274" s="1" t="str">
        <f t="shared" si="42"/>
        <v/>
      </c>
      <c r="J274" s="1" t="str">
        <f t="shared" si="43"/>
        <v/>
      </c>
      <c r="K274" s="1">
        <f t="shared" si="44"/>
        <v>1</v>
      </c>
      <c r="L274" s="1" t="str">
        <f t="shared" si="45"/>
        <v/>
      </c>
    </row>
    <row r="275" spans="1:12">
      <c r="A275" t="s">
        <v>71</v>
      </c>
      <c r="B275">
        <v>10</v>
      </c>
      <c r="C275" t="str">
        <f t="shared" si="39"/>
        <v>test.GeoEngine_10_</v>
      </c>
      <c r="D275">
        <v>3</v>
      </c>
      <c r="E275">
        <v>1</v>
      </c>
      <c r="F275">
        <v>1.0267753201396974</v>
      </c>
      <c r="G275" s="1" t="str">
        <f t="shared" si="40"/>
        <v/>
      </c>
      <c r="H275" s="1" t="str">
        <f t="shared" si="41"/>
        <v/>
      </c>
      <c r="I275" s="1" t="str">
        <f t="shared" si="42"/>
        <v/>
      </c>
      <c r="J275" s="1" t="str">
        <f t="shared" si="43"/>
        <v/>
      </c>
      <c r="K275" s="1">
        <f t="shared" si="44"/>
        <v>1</v>
      </c>
      <c r="L275" s="1" t="str">
        <f t="shared" si="45"/>
        <v/>
      </c>
    </row>
    <row r="276" spans="1:12">
      <c r="A276" t="s">
        <v>112</v>
      </c>
      <c r="B276">
        <v>3</v>
      </c>
      <c r="C276" t="str">
        <f t="shared" si="39"/>
        <v>test.FastBlurFilter_3_</v>
      </c>
      <c r="D276">
        <v>1</v>
      </c>
      <c r="E276">
        <v>0.89928057553956831</v>
      </c>
      <c r="F276">
        <v>1.015337220087452</v>
      </c>
      <c r="G276" s="1" t="str">
        <f t="shared" si="40"/>
        <v/>
      </c>
      <c r="H276" s="1" t="str">
        <f t="shared" si="41"/>
        <v/>
      </c>
      <c r="I276" s="1" t="str">
        <f t="shared" si="42"/>
        <v/>
      </c>
      <c r="J276" s="1" t="str">
        <f t="shared" si="43"/>
        <v/>
      </c>
      <c r="K276" s="1">
        <f t="shared" si="44"/>
        <v>0.89928057553956831</v>
      </c>
      <c r="L276" s="1" t="str">
        <f t="shared" si="45"/>
        <v/>
      </c>
    </row>
    <row r="277" spans="1:12">
      <c r="A277" t="s">
        <v>112</v>
      </c>
      <c r="B277">
        <v>3</v>
      </c>
      <c r="C277" t="str">
        <f t="shared" si="39"/>
        <v>test.FastBlurFilter_3_</v>
      </c>
      <c r="D277">
        <v>2</v>
      </c>
      <c r="E277">
        <v>1</v>
      </c>
      <c r="F277">
        <v>1.0538624619053929</v>
      </c>
      <c r="G277" s="1" t="str">
        <f t="shared" si="40"/>
        <v/>
      </c>
      <c r="H277" s="1" t="str">
        <f t="shared" si="41"/>
        <v/>
      </c>
      <c r="I277" s="1" t="str">
        <f t="shared" si="42"/>
        <v/>
      </c>
      <c r="J277" s="1" t="str">
        <f t="shared" si="43"/>
        <v/>
      </c>
      <c r="K277" s="1">
        <f t="shared" si="44"/>
        <v>1</v>
      </c>
      <c r="L277" s="1" t="str">
        <f t="shared" si="45"/>
        <v/>
      </c>
    </row>
    <row r="278" spans="1:12">
      <c r="A278" t="s">
        <v>303</v>
      </c>
      <c r="B278">
        <v>2</v>
      </c>
      <c r="C278" t="str">
        <f t="shared" si="39"/>
        <v>test.InfTree_2_</v>
      </c>
      <c r="D278">
        <v>3</v>
      </c>
      <c r="E278">
        <v>6.25E-2</v>
      </c>
      <c r="F278">
        <v>3.3185178853797168E-2</v>
      </c>
      <c r="G278" s="1">
        <f t="shared" si="40"/>
        <v>6.25E-2</v>
      </c>
      <c r="H278" s="1" t="str">
        <f t="shared" si="41"/>
        <v/>
      </c>
      <c r="I278" s="1" t="str">
        <f t="shared" si="42"/>
        <v/>
      </c>
      <c r="J278" s="1" t="str">
        <f t="shared" si="43"/>
        <v/>
      </c>
      <c r="K278" s="1" t="str">
        <f t="shared" si="44"/>
        <v/>
      </c>
      <c r="L278" s="1" t="str">
        <f t="shared" si="45"/>
        <v/>
      </c>
    </row>
    <row r="279" spans="1:12">
      <c r="A279" t="s">
        <v>303</v>
      </c>
      <c r="B279">
        <v>2</v>
      </c>
      <c r="C279" t="str">
        <f t="shared" si="39"/>
        <v>test.InfTree_2_</v>
      </c>
      <c r="D279">
        <v>4</v>
      </c>
      <c r="E279">
        <v>0.24583333333333332</v>
      </c>
      <c r="F279">
        <v>6.4404461729133722E-2</v>
      </c>
      <c r="G279" s="1">
        <f t="shared" si="40"/>
        <v>0.24583333333333332</v>
      </c>
      <c r="H279" s="1" t="str">
        <f t="shared" si="41"/>
        <v/>
      </c>
      <c r="I279" s="1" t="str">
        <f t="shared" si="42"/>
        <v/>
      </c>
      <c r="J279" s="1" t="str">
        <f t="shared" si="43"/>
        <v/>
      </c>
      <c r="K279" s="1" t="str">
        <f t="shared" si="44"/>
        <v/>
      </c>
      <c r="L279" s="1" t="str">
        <f t="shared" si="45"/>
        <v/>
      </c>
    </row>
    <row r="280" spans="1:12">
      <c r="A280" t="s">
        <v>303</v>
      </c>
      <c r="B280">
        <v>2</v>
      </c>
      <c r="C280" t="str">
        <f t="shared" si="39"/>
        <v>test.InfTree_2_</v>
      </c>
      <c r="D280">
        <v>5</v>
      </c>
      <c r="E280">
        <v>1</v>
      </c>
      <c r="F280">
        <v>0.99497841788110608</v>
      </c>
      <c r="G280" s="1" t="str">
        <f t="shared" si="40"/>
        <v/>
      </c>
      <c r="H280" s="1" t="str">
        <f t="shared" si="41"/>
        <v/>
      </c>
      <c r="I280" s="1" t="str">
        <f t="shared" si="42"/>
        <v/>
      </c>
      <c r="J280" s="1" t="str">
        <f t="shared" si="43"/>
        <v/>
      </c>
      <c r="K280" s="1">
        <f t="shared" si="44"/>
        <v>1</v>
      </c>
      <c r="L280" s="1" t="str">
        <f t="shared" si="45"/>
        <v/>
      </c>
    </row>
    <row r="281" spans="1:12">
      <c r="A281" t="s">
        <v>113</v>
      </c>
      <c r="B281">
        <v>2</v>
      </c>
      <c r="C281" t="str">
        <f t="shared" si="39"/>
        <v>test.ImageData_2_</v>
      </c>
      <c r="D281">
        <v>6</v>
      </c>
      <c r="E281">
        <v>0.25892857142857145</v>
      </c>
      <c r="F281">
        <v>0.29215976331360949</v>
      </c>
      <c r="G281" s="1" t="str">
        <f t="shared" si="40"/>
        <v/>
      </c>
      <c r="H281" s="1">
        <f t="shared" si="41"/>
        <v>0.25892857142857145</v>
      </c>
      <c r="I281" s="1" t="str">
        <f t="shared" si="42"/>
        <v/>
      </c>
      <c r="J281" s="1" t="str">
        <f t="shared" si="43"/>
        <v/>
      </c>
      <c r="K281" s="1" t="str">
        <f t="shared" si="44"/>
        <v/>
      </c>
      <c r="L281" s="1" t="str">
        <f t="shared" si="45"/>
        <v/>
      </c>
    </row>
    <row r="282" spans="1:12">
      <c r="A282" t="s">
        <v>113</v>
      </c>
      <c r="B282">
        <v>2</v>
      </c>
      <c r="C282" t="str">
        <f t="shared" si="39"/>
        <v>test.ImageData_2_</v>
      </c>
      <c r="D282">
        <v>1</v>
      </c>
      <c r="E282">
        <v>0.3482142857142857</v>
      </c>
      <c r="F282">
        <v>0.30029585798816566</v>
      </c>
      <c r="G282" s="1" t="str">
        <f t="shared" si="40"/>
        <v/>
      </c>
      <c r="H282" s="1">
        <f t="shared" si="41"/>
        <v>0.3482142857142857</v>
      </c>
      <c r="I282" s="1" t="str">
        <f t="shared" si="42"/>
        <v/>
      </c>
      <c r="J282" s="1" t="str">
        <f t="shared" si="43"/>
        <v/>
      </c>
      <c r="K282" s="1" t="str">
        <f t="shared" si="44"/>
        <v/>
      </c>
      <c r="L282" s="1" t="str">
        <f t="shared" si="45"/>
        <v/>
      </c>
    </row>
    <row r="283" spans="1:12">
      <c r="A283" t="s">
        <v>113</v>
      </c>
      <c r="B283">
        <v>2</v>
      </c>
      <c r="C283" t="str">
        <f t="shared" si="39"/>
        <v>test.ImageData_2_</v>
      </c>
      <c r="D283">
        <v>2</v>
      </c>
      <c r="E283">
        <v>0.45535714285714285</v>
      </c>
      <c r="F283">
        <v>0.31028106508875741</v>
      </c>
      <c r="G283" s="1" t="str">
        <f t="shared" si="40"/>
        <v/>
      </c>
      <c r="H283" s="1">
        <f t="shared" si="41"/>
        <v>0.45535714285714285</v>
      </c>
      <c r="I283" s="1" t="str">
        <f t="shared" si="42"/>
        <v/>
      </c>
      <c r="J283" s="1" t="str">
        <f t="shared" si="43"/>
        <v/>
      </c>
      <c r="K283" s="1" t="str">
        <f t="shared" si="44"/>
        <v/>
      </c>
      <c r="L283" s="1" t="str">
        <f t="shared" si="45"/>
        <v/>
      </c>
    </row>
    <row r="284" spans="1:12">
      <c r="A284" t="s">
        <v>113</v>
      </c>
      <c r="B284">
        <v>2</v>
      </c>
      <c r="C284" t="str">
        <f t="shared" si="39"/>
        <v>test.ImageData_2_</v>
      </c>
      <c r="D284">
        <v>3</v>
      </c>
      <c r="E284">
        <v>0.5089285714285714</v>
      </c>
      <c r="F284">
        <v>0.3213757396449704</v>
      </c>
      <c r="G284" s="1" t="str">
        <f t="shared" si="40"/>
        <v/>
      </c>
      <c r="H284" s="1">
        <f t="shared" si="41"/>
        <v>0.5089285714285714</v>
      </c>
      <c r="I284" s="1" t="str">
        <f t="shared" si="42"/>
        <v/>
      </c>
      <c r="J284" s="1" t="str">
        <f t="shared" si="43"/>
        <v/>
      </c>
      <c r="K284" s="1" t="str">
        <f t="shared" si="44"/>
        <v/>
      </c>
      <c r="L284" s="1" t="str">
        <f t="shared" si="45"/>
        <v/>
      </c>
    </row>
    <row r="285" spans="1:12">
      <c r="A285" t="s">
        <v>113</v>
      </c>
      <c r="B285">
        <v>2</v>
      </c>
      <c r="C285" t="str">
        <f t="shared" si="39"/>
        <v>test.ImageData_2_</v>
      </c>
      <c r="D285">
        <v>4</v>
      </c>
      <c r="E285">
        <v>0.5982142857142857</v>
      </c>
      <c r="F285">
        <v>0.35318047337278108</v>
      </c>
      <c r="G285" s="1" t="str">
        <f t="shared" si="40"/>
        <v/>
      </c>
      <c r="H285" s="1">
        <f t="shared" si="41"/>
        <v>0.5982142857142857</v>
      </c>
      <c r="I285" s="1" t="str">
        <f t="shared" si="42"/>
        <v/>
      </c>
      <c r="J285" s="1" t="str">
        <f t="shared" si="43"/>
        <v/>
      </c>
      <c r="K285" s="1" t="str">
        <f t="shared" si="44"/>
        <v/>
      </c>
      <c r="L285" s="1" t="str">
        <f t="shared" si="45"/>
        <v/>
      </c>
    </row>
    <row r="286" spans="1:12">
      <c r="A286" t="s">
        <v>113</v>
      </c>
      <c r="B286">
        <v>2</v>
      </c>
      <c r="C286" t="str">
        <f t="shared" si="39"/>
        <v>test.ImageData_2_</v>
      </c>
      <c r="D286">
        <v>5</v>
      </c>
      <c r="E286">
        <v>0.6875</v>
      </c>
      <c r="F286">
        <v>0.36797337278106507</v>
      </c>
      <c r="G286" s="1" t="str">
        <f t="shared" si="40"/>
        <v/>
      </c>
      <c r="H286" s="1">
        <f t="shared" si="41"/>
        <v>0.6875</v>
      </c>
      <c r="I286" s="1" t="str">
        <f t="shared" si="42"/>
        <v/>
      </c>
      <c r="J286" s="1" t="str">
        <f t="shared" si="43"/>
        <v/>
      </c>
      <c r="K286" s="1" t="str">
        <f t="shared" si="44"/>
        <v/>
      </c>
      <c r="L286" s="1" t="str">
        <f t="shared" si="45"/>
        <v/>
      </c>
    </row>
    <row r="287" spans="1:12">
      <c r="A287" t="s">
        <v>113</v>
      </c>
      <c r="B287">
        <v>2</v>
      </c>
      <c r="C287" t="str">
        <f t="shared" si="39"/>
        <v>test.ImageData_2_</v>
      </c>
      <c r="D287">
        <v>6</v>
      </c>
      <c r="E287">
        <v>0.8214285714285714</v>
      </c>
      <c r="F287">
        <v>0.46486686390532544</v>
      </c>
      <c r="G287" s="1" t="str">
        <f t="shared" si="40"/>
        <v/>
      </c>
      <c r="H287" s="1" t="str">
        <f t="shared" si="41"/>
        <v/>
      </c>
      <c r="I287" s="1">
        <f t="shared" si="42"/>
        <v>0.8214285714285714</v>
      </c>
      <c r="J287" s="1" t="str">
        <f t="shared" si="43"/>
        <v/>
      </c>
      <c r="K287" s="1" t="str">
        <f t="shared" si="44"/>
        <v/>
      </c>
      <c r="L287" s="1" t="str">
        <f t="shared" si="45"/>
        <v/>
      </c>
    </row>
    <row r="288" spans="1:12">
      <c r="A288" t="s">
        <v>113</v>
      </c>
      <c r="B288">
        <v>2</v>
      </c>
      <c r="C288" t="str">
        <f t="shared" si="39"/>
        <v>test.ImageData_2_</v>
      </c>
      <c r="D288">
        <v>7</v>
      </c>
      <c r="E288">
        <v>1</v>
      </c>
      <c r="F288">
        <v>0.49038461538461536</v>
      </c>
      <c r="G288" s="1" t="str">
        <f t="shared" si="40"/>
        <v/>
      </c>
      <c r="H288" s="1" t="str">
        <f t="shared" si="41"/>
        <v/>
      </c>
      <c r="I288" s="1">
        <f t="shared" si="42"/>
        <v>1</v>
      </c>
      <c r="J288" s="1" t="str">
        <f t="shared" si="43"/>
        <v/>
      </c>
      <c r="K288" s="1" t="str">
        <f t="shared" si="44"/>
        <v/>
      </c>
      <c r="L288" s="1" t="str">
        <f t="shared" si="45"/>
        <v/>
      </c>
    </row>
    <row r="289" spans="1:12">
      <c r="A289" t="s">
        <v>113</v>
      </c>
      <c r="B289">
        <v>3</v>
      </c>
      <c r="C289" t="str">
        <f t="shared" si="39"/>
        <v>test.ImageData_3_</v>
      </c>
      <c r="D289">
        <v>8</v>
      </c>
      <c r="E289">
        <v>0.11428571428571428</v>
      </c>
      <c r="F289">
        <v>6.8441542132362171E-2</v>
      </c>
      <c r="G289" s="1">
        <f t="shared" si="40"/>
        <v>0.11428571428571428</v>
      </c>
      <c r="H289" s="1" t="str">
        <f t="shared" si="41"/>
        <v/>
      </c>
      <c r="I289" s="1" t="str">
        <f t="shared" si="42"/>
        <v/>
      </c>
      <c r="J289" s="1" t="str">
        <f t="shared" si="43"/>
        <v/>
      </c>
      <c r="K289" s="1" t="str">
        <f t="shared" si="44"/>
        <v/>
      </c>
      <c r="L289" s="1" t="str">
        <f t="shared" si="45"/>
        <v/>
      </c>
    </row>
    <row r="290" spans="1:12">
      <c r="A290" t="s">
        <v>113</v>
      </c>
      <c r="B290">
        <v>3</v>
      </c>
      <c r="C290" t="str">
        <f t="shared" si="39"/>
        <v>test.ImageData_3_</v>
      </c>
      <c r="D290">
        <v>9</v>
      </c>
      <c r="E290">
        <v>0.18285714285714286</v>
      </c>
      <c r="F290">
        <v>0.11126459876930805</v>
      </c>
      <c r="G290" s="1">
        <f t="shared" si="40"/>
        <v>0.18285714285714286</v>
      </c>
      <c r="H290" s="1" t="str">
        <f t="shared" si="41"/>
        <v/>
      </c>
      <c r="I290" s="1" t="str">
        <f t="shared" si="42"/>
        <v/>
      </c>
      <c r="J290" s="1" t="str">
        <f t="shared" si="43"/>
        <v/>
      </c>
      <c r="K290" s="1" t="str">
        <f t="shared" si="44"/>
        <v/>
      </c>
      <c r="L290" s="1" t="str">
        <f t="shared" si="45"/>
        <v/>
      </c>
    </row>
    <row r="291" spans="1:12">
      <c r="A291" t="s">
        <v>113</v>
      </c>
      <c r="B291">
        <v>3</v>
      </c>
      <c r="C291" t="str">
        <f t="shared" si="39"/>
        <v>test.ImageData_3_</v>
      </c>
      <c r="D291">
        <v>10</v>
      </c>
      <c r="E291">
        <v>0.37714285714285717</v>
      </c>
      <c r="F291">
        <v>0.22830591485620996</v>
      </c>
      <c r="G291" s="1" t="str">
        <f t="shared" si="40"/>
        <v/>
      </c>
      <c r="H291" s="1">
        <f t="shared" si="41"/>
        <v>0.37714285714285717</v>
      </c>
      <c r="I291" s="1" t="str">
        <f t="shared" si="42"/>
        <v/>
      </c>
      <c r="J291" s="1" t="str">
        <f t="shared" si="43"/>
        <v/>
      </c>
      <c r="K291" s="1" t="str">
        <f t="shared" si="44"/>
        <v/>
      </c>
      <c r="L291" s="1" t="str">
        <f t="shared" si="45"/>
        <v/>
      </c>
    </row>
    <row r="292" spans="1:12">
      <c r="A292" t="s">
        <v>113</v>
      </c>
      <c r="B292">
        <v>3</v>
      </c>
      <c r="C292" t="str">
        <f t="shared" si="39"/>
        <v>test.ImageData_3_</v>
      </c>
      <c r="D292">
        <v>11</v>
      </c>
      <c r="E292">
        <v>0.5714285714285714</v>
      </c>
      <c r="F292">
        <v>0.22918498053497427</v>
      </c>
      <c r="G292" s="1" t="str">
        <f t="shared" si="40"/>
        <v/>
      </c>
      <c r="H292" s="1">
        <f t="shared" si="41"/>
        <v>0.5714285714285714</v>
      </c>
      <c r="I292" s="1" t="str">
        <f t="shared" si="42"/>
        <v/>
      </c>
      <c r="J292" s="1" t="str">
        <f t="shared" si="43"/>
        <v/>
      </c>
      <c r="K292" s="1" t="str">
        <f t="shared" si="44"/>
        <v/>
      </c>
      <c r="L292" s="1" t="str">
        <f t="shared" si="45"/>
        <v/>
      </c>
    </row>
    <row r="293" spans="1:12">
      <c r="A293" t="s">
        <v>113</v>
      </c>
      <c r="B293">
        <v>3</v>
      </c>
      <c r="C293" t="str">
        <f t="shared" si="39"/>
        <v>test.ImageData_3_</v>
      </c>
      <c r="D293">
        <v>1</v>
      </c>
      <c r="E293">
        <v>0.89142857142857146</v>
      </c>
      <c r="F293">
        <v>0.32424965465276906</v>
      </c>
      <c r="G293" s="1" t="str">
        <f t="shared" si="40"/>
        <v/>
      </c>
      <c r="H293" s="1">
        <f t="shared" si="41"/>
        <v>0.89142857142857146</v>
      </c>
      <c r="I293" s="1" t="str">
        <f t="shared" si="42"/>
        <v/>
      </c>
      <c r="J293" s="1" t="str">
        <f t="shared" si="43"/>
        <v/>
      </c>
      <c r="K293" s="1" t="str">
        <f t="shared" si="44"/>
        <v/>
      </c>
      <c r="L293" s="1" t="str">
        <f t="shared" si="45"/>
        <v/>
      </c>
    </row>
    <row r="294" spans="1:12">
      <c r="A294" t="s">
        <v>113</v>
      </c>
      <c r="B294">
        <v>3</v>
      </c>
      <c r="C294" t="str">
        <f t="shared" si="39"/>
        <v>test.ImageData_3_</v>
      </c>
      <c r="D294">
        <v>2</v>
      </c>
      <c r="E294">
        <v>1</v>
      </c>
      <c r="F294">
        <v>0.54740675624764534</v>
      </c>
      <c r="G294" s="1" t="str">
        <f t="shared" si="40"/>
        <v/>
      </c>
      <c r="H294" s="1" t="str">
        <f t="shared" si="41"/>
        <v/>
      </c>
      <c r="I294" s="1">
        <f t="shared" si="42"/>
        <v>1</v>
      </c>
      <c r="J294" s="1" t="str">
        <f t="shared" si="43"/>
        <v/>
      </c>
      <c r="K294" s="1" t="str">
        <f t="shared" si="44"/>
        <v/>
      </c>
      <c r="L294" s="1" t="str">
        <f t="shared" si="45"/>
        <v/>
      </c>
    </row>
    <row r="295" spans="1:12">
      <c r="A295" t="s">
        <v>113</v>
      </c>
      <c r="B295">
        <v>4</v>
      </c>
      <c r="C295" t="str">
        <f t="shared" si="39"/>
        <v>test.ImageData_4_</v>
      </c>
      <c r="D295">
        <v>3</v>
      </c>
      <c r="E295">
        <v>7.3529411764705885E-2</v>
      </c>
      <c r="F295">
        <v>2.5729223995597138E-2</v>
      </c>
      <c r="G295" s="1">
        <f t="shared" si="40"/>
        <v>7.3529411764705885E-2</v>
      </c>
      <c r="H295" s="1" t="str">
        <f t="shared" si="41"/>
        <v/>
      </c>
      <c r="I295" s="1" t="str">
        <f t="shared" si="42"/>
        <v/>
      </c>
      <c r="J295" s="1" t="str">
        <f t="shared" si="43"/>
        <v/>
      </c>
      <c r="K295" s="1" t="str">
        <f t="shared" si="44"/>
        <v/>
      </c>
      <c r="L295" s="1" t="str">
        <f t="shared" si="45"/>
        <v/>
      </c>
    </row>
    <row r="296" spans="1:12">
      <c r="A296" t="s">
        <v>113</v>
      </c>
      <c r="B296">
        <v>4</v>
      </c>
      <c r="C296" t="str">
        <f t="shared" si="39"/>
        <v>test.ImageData_4_</v>
      </c>
      <c r="D296">
        <v>4</v>
      </c>
      <c r="E296">
        <v>0.13970588235294118</v>
      </c>
      <c r="F296">
        <v>4.9211153916712533E-2</v>
      </c>
      <c r="G296" s="1">
        <f t="shared" si="40"/>
        <v>0.13970588235294118</v>
      </c>
      <c r="H296" s="1" t="str">
        <f t="shared" si="41"/>
        <v/>
      </c>
      <c r="I296" s="1" t="str">
        <f t="shared" si="42"/>
        <v/>
      </c>
      <c r="J296" s="1" t="str">
        <f t="shared" si="43"/>
        <v/>
      </c>
      <c r="K296" s="1" t="str">
        <f t="shared" si="44"/>
        <v/>
      </c>
      <c r="L296" s="1" t="str">
        <f t="shared" si="45"/>
        <v/>
      </c>
    </row>
    <row r="297" spans="1:12">
      <c r="A297" t="s">
        <v>113</v>
      </c>
      <c r="B297">
        <v>4</v>
      </c>
      <c r="C297" t="str">
        <f t="shared" si="39"/>
        <v>test.ImageData_4_</v>
      </c>
      <c r="D297">
        <v>5</v>
      </c>
      <c r="E297">
        <v>0.26470588235294118</v>
      </c>
      <c r="F297">
        <v>8.4067143643368189E-2</v>
      </c>
      <c r="G297" s="1">
        <f t="shared" si="40"/>
        <v>0.26470588235294118</v>
      </c>
      <c r="H297" s="1" t="str">
        <f t="shared" si="41"/>
        <v/>
      </c>
      <c r="I297" s="1" t="str">
        <f t="shared" si="42"/>
        <v/>
      </c>
      <c r="J297" s="1" t="str">
        <f t="shared" si="43"/>
        <v/>
      </c>
      <c r="K297" s="1" t="str">
        <f t="shared" si="44"/>
        <v/>
      </c>
      <c r="L297" s="1" t="str">
        <f t="shared" si="45"/>
        <v/>
      </c>
    </row>
    <row r="298" spans="1:12">
      <c r="A298" t="s">
        <v>113</v>
      </c>
      <c r="B298">
        <v>4</v>
      </c>
      <c r="C298" t="str">
        <f t="shared" si="39"/>
        <v>test.ImageData_4_</v>
      </c>
      <c r="D298">
        <v>1</v>
      </c>
      <c r="E298">
        <v>0.38970588235294118</v>
      </c>
      <c r="F298">
        <v>8.4525775087139973E-2</v>
      </c>
      <c r="G298" s="1">
        <f t="shared" si="40"/>
        <v>0.38970588235294118</v>
      </c>
      <c r="H298" s="1" t="str">
        <f t="shared" si="41"/>
        <v/>
      </c>
      <c r="I298" s="1" t="str">
        <f t="shared" si="42"/>
        <v/>
      </c>
      <c r="J298" s="1" t="str">
        <f t="shared" si="43"/>
        <v/>
      </c>
      <c r="K298" s="1" t="str">
        <f t="shared" si="44"/>
        <v/>
      </c>
      <c r="L298" s="1" t="str">
        <f t="shared" si="45"/>
        <v/>
      </c>
    </row>
    <row r="299" spans="1:12">
      <c r="A299" t="s">
        <v>113</v>
      </c>
      <c r="B299">
        <v>4</v>
      </c>
      <c r="C299" t="str">
        <f t="shared" si="39"/>
        <v>test.ImageData_4_</v>
      </c>
      <c r="D299">
        <v>2</v>
      </c>
      <c r="E299">
        <v>0.58088235294117652</v>
      </c>
      <c r="F299">
        <v>0.1213538800220143</v>
      </c>
      <c r="G299" s="1">
        <f t="shared" si="40"/>
        <v>0.58088235294117652</v>
      </c>
      <c r="H299" s="1" t="str">
        <f t="shared" si="41"/>
        <v/>
      </c>
      <c r="I299" s="1" t="str">
        <f t="shared" si="42"/>
        <v/>
      </c>
      <c r="J299" s="1" t="str">
        <f t="shared" si="43"/>
        <v/>
      </c>
      <c r="K299" s="1" t="str">
        <f t="shared" si="44"/>
        <v/>
      </c>
      <c r="L299" s="1" t="str">
        <f t="shared" si="45"/>
        <v/>
      </c>
    </row>
    <row r="300" spans="1:12">
      <c r="A300" t="s">
        <v>113</v>
      </c>
      <c r="B300">
        <v>4</v>
      </c>
      <c r="C300" t="str">
        <f t="shared" si="39"/>
        <v>test.ImageData_4_</v>
      </c>
      <c r="D300">
        <v>3</v>
      </c>
      <c r="E300">
        <v>0.65441176470588236</v>
      </c>
      <c r="F300">
        <v>0.20225646670335717</v>
      </c>
      <c r="G300" s="1" t="str">
        <f t="shared" si="40"/>
        <v/>
      </c>
      <c r="H300" s="1">
        <f t="shared" si="41"/>
        <v>0.65441176470588236</v>
      </c>
      <c r="I300" s="1" t="str">
        <f t="shared" si="42"/>
        <v/>
      </c>
      <c r="J300" s="1" t="str">
        <f t="shared" si="43"/>
        <v/>
      </c>
      <c r="K300" s="1" t="str">
        <f t="shared" si="44"/>
        <v/>
      </c>
      <c r="L300" s="1" t="str">
        <f t="shared" si="45"/>
        <v/>
      </c>
    </row>
    <row r="301" spans="1:12">
      <c r="A301" t="s">
        <v>113</v>
      </c>
      <c r="B301">
        <v>4</v>
      </c>
      <c r="C301" t="str">
        <f t="shared" si="39"/>
        <v>test.ImageData_4_</v>
      </c>
      <c r="D301">
        <v>4</v>
      </c>
      <c r="E301">
        <v>0.75</v>
      </c>
      <c r="F301">
        <v>0.24412951751972115</v>
      </c>
      <c r="G301" s="1" t="str">
        <f t="shared" si="40"/>
        <v/>
      </c>
      <c r="H301" s="1">
        <f t="shared" si="41"/>
        <v>0.75</v>
      </c>
      <c r="I301" s="1" t="str">
        <f t="shared" si="42"/>
        <v/>
      </c>
      <c r="J301" s="1" t="str">
        <f t="shared" si="43"/>
        <v/>
      </c>
      <c r="K301" s="1" t="str">
        <f t="shared" si="44"/>
        <v/>
      </c>
      <c r="L301" s="1" t="str">
        <f t="shared" si="45"/>
        <v/>
      </c>
    </row>
    <row r="302" spans="1:12">
      <c r="A302" t="s">
        <v>113</v>
      </c>
      <c r="B302">
        <v>4</v>
      </c>
      <c r="C302" t="str">
        <f t="shared" si="39"/>
        <v>test.ImageData_4_</v>
      </c>
      <c r="D302">
        <v>5</v>
      </c>
      <c r="E302">
        <v>0.86397058823529416</v>
      </c>
      <c r="F302">
        <v>0.25715465052283987</v>
      </c>
      <c r="G302" s="1" t="str">
        <f t="shared" si="40"/>
        <v/>
      </c>
      <c r="H302" s="1">
        <f t="shared" si="41"/>
        <v>0.86397058823529416</v>
      </c>
      <c r="I302" s="1" t="str">
        <f t="shared" si="42"/>
        <v/>
      </c>
      <c r="J302" s="1" t="str">
        <f t="shared" si="43"/>
        <v/>
      </c>
      <c r="K302" s="1" t="str">
        <f t="shared" si="44"/>
        <v/>
      </c>
      <c r="L302" s="1" t="str">
        <f t="shared" si="45"/>
        <v/>
      </c>
    </row>
    <row r="303" spans="1:12">
      <c r="A303" t="s">
        <v>113</v>
      </c>
      <c r="B303">
        <v>4</v>
      </c>
      <c r="C303" t="str">
        <f t="shared" si="39"/>
        <v>test.ImageData_4_</v>
      </c>
      <c r="D303">
        <v>6</v>
      </c>
      <c r="E303">
        <v>1</v>
      </c>
      <c r="F303">
        <v>0.27595853971748302</v>
      </c>
      <c r="G303" s="1" t="str">
        <f t="shared" si="40"/>
        <v/>
      </c>
      <c r="H303" s="1">
        <f t="shared" si="41"/>
        <v>1</v>
      </c>
      <c r="I303" s="1" t="str">
        <f t="shared" si="42"/>
        <v/>
      </c>
      <c r="J303" s="1" t="str">
        <f t="shared" si="43"/>
        <v/>
      </c>
      <c r="K303" s="1" t="str">
        <f t="shared" si="44"/>
        <v/>
      </c>
      <c r="L303" s="1" t="str">
        <f t="shared" si="45"/>
        <v/>
      </c>
    </row>
    <row r="304" spans="1:12">
      <c r="A304" t="s">
        <v>113</v>
      </c>
      <c r="B304">
        <v>6</v>
      </c>
      <c r="C304" t="str">
        <f t="shared" si="39"/>
        <v>test.ImageData_6_</v>
      </c>
      <c r="D304">
        <v>7</v>
      </c>
      <c r="E304">
        <v>0.8571428571428571</v>
      </c>
      <c r="F304">
        <v>0.82572614107883813</v>
      </c>
      <c r="G304" s="1" t="str">
        <f t="shared" si="40"/>
        <v/>
      </c>
      <c r="H304" s="1" t="str">
        <f t="shared" si="41"/>
        <v/>
      </c>
      <c r="I304" s="1" t="str">
        <f t="shared" si="42"/>
        <v/>
      </c>
      <c r="J304" s="1" t="str">
        <f t="shared" si="43"/>
        <v/>
      </c>
      <c r="K304" s="1">
        <f t="shared" si="44"/>
        <v>0.8571428571428571</v>
      </c>
      <c r="L304" s="1" t="str">
        <f t="shared" si="45"/>
        <v/>
      </c>
    </row>
    <row r="305" spans="1:12">
      <c r="A305" t="s">
        <v>113</v>
      </c>
      <c r="B305">
        <v>6</v>
      </c>
      <c r="C305" t="str">
        <f t="shared" si="39"/>
        <v>test.ImageData_6_</v>
      </c>
      <c r="D305">
        <v>8</v>
      </c>
      <c r="E305">
        <v>1</v>
      </c>
      <c r="F305">
        <v>1.1521438450899031</v>
      </c>
      <c r="G305" s="1" t="str">
        <f t="shared" si="40"/>
        <v/>
      </c>
      <c r="H305" s="1" t="str">
        <f t="shared" si="41"/>
        <v/>
      </c>
      <c r="I305" s="1" t="str">
        <f t="shared" si="42"/>
        <v/>
      </c>
      <c r="J305" s="1" t="str">
        <f t="shared" si="43"/>
        <v/>
      </c>
      <c r="K305" s="1" t="str">
        <f t="shared" si="44"/>
        <v/>
      </c>
      <c r="L305" s="1">
        <f t="shared" si="45"/>
        <v>1</v>
      </c>
    </row>
    <row r="306" spans="1:12">
      <c r="A306" t="s">
        <v>113</v>
      </c>
      <c r="B306">
        <v>7</v>
      </c>
      <c r="C306" t="str">
        <f t="shared" si="39"/>
        <v>test.ImageData_7_</v>
      </c>
      <c r="D306">
        <v>9</v>
      </c>
      <c r="E306">
        <v>0.25833333333333336</v>
      </c>
      <c r="F306">
        <v>0.29095257074531689</v>
      </c>
      <c r="G306" s="1" t="str">
        <f t="shared" si="40"/>
        <v/>
      </c>
      <c r="H306" s="1">
        <f t="shared" si="41"/>
        <v>0.25833333333333336</v>
      </c>
      <c r="I306" s="1" t="str">
        <f t="shared" si="42"/>
        <v/>
      </c>
      <c r="J306" s="1" t="str">
        <f t="shared" si="43"/>
        <v/>
      </c>
      <c r="K306" s="1" t="str">
        <f t="shared" si="44"/>
        <v/>
      </c>
      <c r="L306" s="1" t="str">
        <f t="shared" si="45"/>
        <v/>
      </c>
    </row>
    <row r="307" spans="1:12">
      <c r="A307" t="s">
        <v>113</v>
      </c>
      <c r="B307">
        <v>7</v>
      </c>
      <c r="C307" t="str">
        <f t="shared" si="39"/>
        <v>test.ImageData_7_</v>
      </c>
      <c r="D307">
        <v>10</v>
      </c>
      <c r="E307">
        <v>0.27500000000000002</v>
      </c>
      <c r="F307">
        <v>0.29493822239936229</v>
      </c>
      <c r="G307" s="1" t="str">
        <f t="shared" si="40"/>
        <v/>
      </c>
      <c r="H307" s="1">
        <f t="shared" si="41"/>
        <v>0.27500000000000002</v>
      </c>
      <c r="I307" s="1" t="str">
        <f t="shared" si="42"/>
        <v/>
      </c>
      <c r="J307" s="1" t="str">
        <f t="shared" si="43"/>
        <v/>
      </c>
      <c r="K307" s="1" t="str">
        <f t="shared" si="44"/>
        <v/>
      </c>
      <c r="L307" s="1" t="str">
        <f t="shared" si="45"/>
        <v/>
      </c>
    </row>
    <row r="308" spans="1:12">
      <c r="A308" t="s">
        <v>113</v>
      </c>
      <c r="B308">
        <v>7</v>
      </c>
      <c r="C308" t="str">
        <f t="shared" si="39"/>
        <v>test.ImageData_7_</v>
      </c>
      <c r="D308">
        <v>11</v>
      </c>
      <c r="E308">
        <v>0.35833333333333334</v>
      </c>
      <c r="F308">
        <v>0.31127939418094858</v>
      </c>
      <c r="G308" s="1" t="str">
        <f t="shared" si="40"/>
        <v/>
      </c>
      <c r="H308" s="1">
        <f t="shared" si="41"/>
        <v>0.35833333333333334</v>
      </c>
      <c r="I308" s="1" t="str">
        <f t="shared" si="42"/>
        <v/>
      </c>
      <c r="J308" s="1" t="str">
        <f t="shared" si="43"/>
        <v/>
      </c>
      <c r="K308" s="1" t="str">
        <f t="shared" si="44"/>
        <v/>
      </c>
      <c r="L308" s="1" t="str">
        <f t="shared" si="45"/>
        <v/>
      </c>
    </row>
    <row r="309" spans="1:12">
      <c r="A309" t="s">
        <v>113</v>
      </c>
      <c r="B309">
        <v>7</v>
      </c>
      <c r="C309" t="str">
        <f t="shared" si="39"/>
        <v>test.ImageData_7_</v>
      </c>
      <c r="D309">
        <v>12</v>
      </c>
      <c r="E309">
        <v>0.45</v>
      </c>
      <c r="F309">
        <v>0.31646074133120766</v>
      </c>
      <c r="G309" s="1" t="str">
        <f t="shared" si="40"/>
        <v/>
      </c>
      <c r="H309" s="1">
        <f t="shared" si="41"/>
        <v>0.45</v>
      </c>
      <c r="I309" s="1" t="str">
        <f t="shared" si="42"/>
        <v/>
      </c>
      <c r="J309" s="1" t="str">
        <f t="shared" si="43"/>
        <v/>
      </c>
      <c r="K309" s="1" t="str">
        <f t="shared" si="44"/>
        <v/>
      </c>
      <c r="L309" s="1" t="str">
        <f t="shared" si="45"/>
        <v/>
      </c>
    </row>
    <row r="310" spans="1:12">
      <c r="A310" t="s">
        <v>113</v>
      </c>
      <c r="B310">
        <v>7</v>
      </c>
      <c r="C310" t="str">
        <f t="shared" si="39"/>
        <v>test.ImageData_7_</v>
      </c>
      <c r="D310">
        <v>13</v>
      </c>
      <c r="E310">
        <v>0.5</v>
      </c>
      <c r="F310">
        <v>0.33678756476683935</v>
      </c>
      <c r="G310" s="1" t="str">
        <f t="shared" si="40"/>
        <v/>
      </c>
      <c r="H310" s="1">
        <f t="shared" si="41"/>
        <v>0.5</v>
      </c>
      <c r="I310" s="1" t="str">
        <f t="shared" si="42"/>
        <v/>
      </c>
      <c r="J310" s="1" t="str">
        <f t="shared" si="43"/>
        <v/>
      </c>
      <c r="K310" s="1" t="str">
        <f t="shared" si="44"/>
        <v/>
      </c>
      <c r="L310" s="1" t="str">
        <f t="shared" si="45"/>
        <v/>
      </c>
    </row>
    <row r="311" spans="1:12">
      <c r="A311" t="s">
        <v>113</v>
      </c>
      <c r="B311">
        <v>7</v>
      </c>
      <c r="C311" t="str">
        <f t="shared" si="39"/>
        <v>test.ImageData_7_</v>
      </c>
      <c r="D311">
        <v>14</v>
      </c>
      <c r="E311">
        <v>0.55000000000000004</v>
      </c>
      <c r="F311">
        <v>0.34994021522518931</v>
      </c>
      <c r="G311" s="1" t="str">
        <f t="shared" si="40"/>
        <v/>
      </c>
      <c r="H311" s="1">
        <f t="shared" si="41"/>
        <v>0.55000000000000004</v>
      </c>
      <c r="I311" s="1" t="str">
        <f t="shared" si="42"/>
        <v/>
      </c>
      <c r="J311" s="1" t="str">
        <f t="shared" si="43"/>
        <v/>
      </c>
      <c r="K311" s="1" t="str">
        <f t="shared" si="44"/>
        <v/>
      </c>
      <c r="L311" s="1" t="str">
        <f t="shared" si="45"/>
        <v/>
      </c>
    </row>
    <row r="312" spans="1:12">
      <c r="A312" t="s">
        <v>113</v>
      </c>
      <c r="B312">
        <v>7</v>
      </c>
      <c r="C312" t="str">
        <f t="shared" si="39"/>
        <v>test.ImageData_7_</v>
      </c>
      <c r="D312">
        <v>15</v>
      </c>
      <c r="E312">
        <v>0.67500000000000004</v>
      </c>
      <c r="F312">
        <v>0.36548425667596651</v>
      </c>
      <c r="G312" s="1" t="str">
        <f t="shared" si="40"/>
        <v/>
      </c>
      <c r="H312" s="1">
        <f t="shared" si="41"/>
        <v>0.67500000000000004</v>
      </c>
      <c r="I312" s="1" t="str">
        <f t="shared" si="42"/>
        <v/>
      </c>
      <c r="J312" s="1" t="str">
        <f t="shared" si="43"/>
        <v/>
      </c>
      <c r="K312" s="1" t="str">
        <f t="shared" si="44"/>
        <v/>
      </c>
      <c r="L312" s="1" t="str">
        <f t="shared" si="45"/>
        <v/>
      </c>
    </row>
    <row r="313" spans="1:12">
      <c r="A313" t="s">
        <v>113</v>
      </c>
      <c r="B313">
        <v>7</v>
      </c>
      <c r="C313" t="str">
        <f t="shared" si="39"/>
        <v>test.ImageData_7_</v>
      </c>
      <c r="D313">
        <v>16</v>
      </c>
      <c r="E313">
        <v>0.75</v>
      </c>
      <c r="F313">
        <v>0.37465125548027101</v>
      </c>
      <c r="G313" s="1" t="str">
        <f t="shared" si="40"/>
        <v/>
      </c>
      <c r="H313" s="1">
        <f t="shared" si="41"/>
        <v>0.75</v>
      </c>
      <c r="I313" s="1" t="str">
        <f t="shared" si="42"/>
        <v/>
      </c>
      <c r="J313" s="1" t="str">
        <f t="shared" si="43"/>
        <v/>
      </c>
      <c r="K313" s="1" t="str">
        <f t="shared" si="44"/>
        <v/>
      </c>
      <c r="L313" s="1" t="str">
        <f t="shared" si="45"/>
        <v/>
      </c>
    </row>
    <row r="314" spans="1:12">
      <c r="A314" t="s">
        <v>113</v>
      </c>
      <c r="B314">
        <v>7</v>
      </c>
      <c r="C314" t="str">
        <f t="shared" si="39"/>
        <v>test.ImageData_7_</v>
      </c>
      <c r="D314">
        <v>17</v>
      </c>
      <c r="E314">
        <v>0.85833333333333328</v>
      </c>
      <c r="F314">
        <v>0.43682742128337981</v>
      </c>
      <c r="G314" s="1" t="str">
        <f t="shared" si="40"/>
        <v/>
      </c>
      <c r="H314" s="1" t="str">
        <f t="shared" si="41"/>
        <v/>
      </c>
      <c r="I314" s="1">
        <f t="shared" si="42"/>
        <v>0.85833333333333328</v>
      </c>
      <c r="J314" s="1" t="str">
        <f t="shared" si="43"/>
        <v/>
      </c>
      <c r="K314" s="1" t="str">
        <f t="shared" si="44"/>
        <v/>
      </c>
      <c r="L314" s="1" t="str">
        <f t="shared" si="45"/>
        <v/>
      </c>
    </row>
    <row r="315" spans="1:12">
      <c r="A315" t="s">
        <v>113</v>
      </c>
      <c r="B315">
        <v>7</v>
      </c>
      <c r="C315" t="str">
        <f t="shared" si="39"/>
        <v>test.ImageData_7_</v>
      </c>
      <c r="D315">
        <v>18</v>
      </c>
      <c r="E315">
        <v>1</v>
      </c>
      <c r="F315">
        <v>0.47150259067357514</v>
      </c>
      <c r="G315" s="1" t="str">
        <f t="shared" si="40"/>
        <v/>
      </c>
      <c r="H315" s="1" t="str">
        <f t="shared" si="41"/>
        <v/>
      </c>
      <c r="I315" s="1">
        <f t="shared" si="42"/>
        <v>1</v>
      </c>
      <c r="J315" s="1" t="str">
        <f t="shared" si="43"/>
        <v/>
      </c>
      <c r="K315" s="1" t="str">
        <f t="shared" si="44"/>
        <v/>
      </c>
      <c r="L315" s="1" t="str">
        <f t="shared" si="45"/>
        <v/>
      </c>
    </row>
    <row r="316" spans="1:12">
      <c r="A316" t="s">
        <v>113</v>
      </c>
      <c r="B316">
        <v>8</v>
      </c>
      <c r="C316" t="str">
        <f t="shared" si="39"/>
        <v>test.ImageData_8_</v>
      </c>
      <c r="D316">
        <v>19</v>
      </c>
      <c r="E316">
        <v>0.12345679012345678</v>
      </c>
      <c r="F316">
        <v>7.0622177621675872E-2</v>
      </c>
      <c r="G316" s="1">
        <f t="shared" si="40"/>
        <v>0.12345679012345678</v>
      </c>
      <c r="H316" s="1" t="str">
        <f t="shared" si="41"/>
        <v/>
      </c>
      <c r="I316" s="1" t="str">
        <f t="shared" si="42"/>
        <v/>
      </c>
      <c r="J316" s="1" t="str">
        <f t="shared" si="43"/>
        <v/>
      </c>
      <c r="K316" s="1" t="str">
        <f t="shared" si="44"/>
        <v/>
      </c>
      <c r="L316" s="1" t="str">
        <f t="shared" si="45"/>
        <v/>
      </c>
    </row>
    <row r="317" spans="1:12">
      <c r="A317" t="s">
        <v>113</v>
      </c>
      <c r="B317">
        <v>8</v>
      </c>
      <c r="C317" t="str">
        <f t="shared" si="39"/>
        <v>test.ImageData_8_</v>
      </c>
      <c r="D317">
        <v>20</v>
      </c>
      <c r="E317">
        <v>0.19753086419753085</v>
      </c>
      <c r="F317">
        <v>0.10950827897641746</v>
      </c>
      <c r="G317" s="1">
        <f t="shared" si="40"/>
        <v>0.19753086419753085</v>
      </c>
      <c r="H317" s="1" t="str">
        <f t="shared" si="41"/>
        <v/>
      </c>
      <c r="I317" s="1" t="str">
        <f t="shared" si="42"/>
        <v/>
      </c>
      <c r="J317" s="1" t="str">
        <f t="shared" si="43"/>
        <v/>
      </c>
      <c r="K317" s="1" t="str">
        <f t="shared" si="44"/>
        <v/>
      </c>
      <c r="L317" s="1" t="str">
        <f t="shared" si="45"/>
        <v/>
      </c>
    </row>
    <row r="318" spans="1:12">
      <c r="A318" t="s">
        <v>113</v>
      </c>
      <c r="B318">
        <v>8</v>
      </c>
      <c r="C318" t="str">
        <f t="shared" si="39"/>
        <v>test.ImageData_8_</v>
      </c>
      <c r="D318">
        <v>21</v>
      </c>
      <c r="E318">
        <v>0.40740740740740738</v>
      </c>
      <c r="F318">
        <v>0.20985950827897643</v>
      </c>
      <c r="G318" s="1" t="str">
        <f t="shared" si="40"/>
        <v/>
      </c>
      <c r="H318" s="1">
        <f t="shared" si="41"/>
        <v>0.40740740740740738</v>
      </c>
      <c r="I318" s="1" t="str">
        <f t="shared" si="42"/>
        <v/>
      </c>
      <c r="J318" s="1" t="str">
        <f t="shared" si="43"/>
        <v/>
      </c>
      <c r="K318" s="1" t="str">
        <f t="shared" si="44"/>
        <v/>
      </c>
      <c r="L318" s="1" t="str">
        <f t="shared" si="45"/>
        <v/>
      </c>
    </row>
    <row r="319" spans="1:12">
      <c r="A319" t="s">
        <v>113</v>
      </c>
      <c r="B319">
        <v>8</v>
      </c>
      <c r="C319" t="str">
        <f t="shared" si="39"/>
        <v>test.ImageData_8_</v>
      </c>
      <c r="D319">
        <v>22</v>
      </c>
      <c r="E319">
        <v>0.6728395061728395</v>
      </c>
      <c r="F319">
        <v>0.24987456096337179</v>
      </c>
      <c r="G319" s="1" t="str">
        <f t="shared" si="40"/>
        <v/>
      </c>
      <c r="H319" s="1">
        <f t="shared" si="41"/>
        <v>0.6728395061728395</v>
      </c>
      <c r="I319" s="1" t="str">
        <f t="shared" si="42"/>
        <v/>
      </c>
      <c r="J319" s="1" t="str">
        <f t="shared" si="43"/>
        <v/>
      </c>
      <c r="K319" s="1" t="str">
        <f t="shared" si="44"/>
        <v/>
      </c>
      <c r="L319" s="1" t="str">
        <f t="shared" si="45"/>
        <v/>
      </c>
    </row>
    <row r="320" spans="1:12">
      <c r="A320" t="s">
        <v>113</v>
      </c>
      <c r="B320">
        <v>8</v>
      </c>
      <c r="C320" t="str">
        <f t="shared" si="39"/>
        <v>test.ImageData_8_</v>
      </c>
      <c r="D320">
        <v>23</v>
      </c>
      <c r="E320">
        <v>0.87037037037037035</v>
      </c>
      <c r="F320">
        <v>0.32300551931761162</v>
      </c>
      <c r="G320" s="1" t="str">
        <f t="shared" si="40"/>
        <v/>
      </c>
      <c r="H320" s="1">
        <f t="shared" si="41"/>
        <v>0.87037037037037035</v>
      </c>
      <c r="I320" s="1" t="str">
        <f t="shared" si="42"/>
        <v/>
      </c>
      <c r="J320" s="1" t="str">
        <f t="shared" si="43"/>
        <v/>
      </c>
      <c r="K320" s="1" t="str">
        <f t="shared" si="44"/>
        <v/>
      </c>
      <c r="L320" s="1" t="str">
        <f t="shared" si="45"/>
        <v/>
      </c>
    </row>
    <row r="321" spans="1:12">
      <c r="A321" t="s">
        <v>113</v>
      </c>
      <c r="B321">
        <v>8</v>
      </c>
      <c r="C321" t="str">
        <f t="shared" si="39"/>
        <v>test.ImageData_8_</v>
      </c>
      <c r="D321">
        <v>24</v>
      </c>
      <c r="E321">
        <v>1</v>
      </c>
      <c r="F321">
        <v>0.55092824887104863</v>
      </c>
      <c r="G321" s="1" t="str">
        <f t="shared" si="40"/>
        <v/>
      </c>
      <c r="H321" s="1" t="str">
        <f t="shared" si="41"/>
        <v/>
      </c>
      <c r="I321" s="1">
        <f t="shared" si="42"/>
        <v>1</v>
      </c>
      <c r="J321" s="1" t="str">
        <f t="shared" si="43"/>
        <v/>
      </c>
      <c r="K321" s="1" t="str">
        <f t="shared" si="44"/>
        <v/>
      </c>
      <c r="L321" s="1" t="str">
        <f t="shared" si="45"/>
        <v/>
      </c>
    </row>
    <row r="322" spans="1:12">
      <c r="A322" t="s">
        <v>113</v>
      </c>
      <c r="B322">
        <v>9</v>
      </c>
      <c r="C322" t="str">
        <f t="shared" si="39"/>
        <v>test.ImageData_9_</v>
      </c>
      <c r="D322">
        <v>25</v>
      </c>
      <c r="E322">
        <v>7.7519379844961239E-2</v>
      </c>
      <c r="F322">
        <v>2.2289881220869043E-2</v>
      </c>
      <c r="G322" s="1">
        <f t="shared" si="40"/>
        <v>7.7519379844961239E-2</v>
      </c>
      <c r="H322" s="1" t="str">
        <f t="shared" si="41"/>
        <v/>
      </c>
      <c r="I322" s="1" t="str">
        <f t="shared" si="42"/>
        <v/>
      </c>
      <c r="J322" s="1" t="str">
        <f t="shared" si="43"/>
        <v/>
      </c>
      <c r="K322" s="1" t="str">
        <f t="shared" si="44"/>
        <v/>
      </c>
      <c r="L322" s="1" t="str">
        <f t="shared" si="45"/>
        <v/>
      </c>
    </row>
    <row r="323" spans="1:12">
      <c r="A323" t="s">
        <v>113</v>
      </c>
      <c r="B323">
        <v>9</v>
      </c>
      <c r="C323" t="str">
        <f t="shared" ref="C323:C386" si="46">CONCATENATE(A323, "_",B323,"_")</f>
        <v>test.ImageData_9_</v>
      </c>
      <c r="D323">
        <v>26</v>
      </c>
      <c r="E323">
        <v>0.14728682170542637</v>
      </c>
      <c r="F323">
        <v>4.0595399188092018E-2</v>
      </c>
      <c r="G323" s="1">
        <f t="shared" ref="G323:G386" si="47">IF($F323 &lt;= 0.2,$E323,"")</f>
        <v>0.14728682170542637</v>
      </c>
      <c r="H323" s="1" t="str">
        <f t="shared" ref="H323:H386" si="48">IF(AND($F323 &gt; 0.2,$F323 &lt;= 0.4),$E323,"")</f>
        <v/>
      </c>
      <c r="I323" s="1" t="str">
        <f t="shared" ref="I323:I386" si="49">IF(AND($F323 &gt; 0.4,$F323 &lt;= 0.6),$E323,"")</f>
        <v/>
      </c>
      <c r="J323" s="1" t="str">
        <f t="shared" ref="J323:J386" si="50">IF(AND($F323 &gt; 0.6,$F323 &lt;= 0.8),$E323,"")</f>
        <v/>
      </c>
      <c r="K323" s="1" t="str">
        <f t="shared" ref="K323:K386" si="51">IF(AND($F323 &gt; 0.8, $F323 &lt;=1.1),$E323,"")</f>
        <v/>
      </c>
      <c r="L323" s="1" t="str">
        <f t="shared" ref="L323:L386" si="52">IF(AND($F323 &gt; 1.1),$E323,"")</f>
        <v/>
      </c>
    </row>
    <row r="324" spans="1:12">
      <c r="A324" t="s">
        <v>113</v>
      </c>
      <c r="B324">
        <v>9</v>
      </c>
      <c r="C324" t="str">
        <f t="shared" si="46"/>
        <v>test.ImageData_9_</v>
      </c>
      <c r="D324">
        <v>27</v>
      </c>
      <c r="E324">
        <v>0.27906976744186046</v>
      </c>
      <c r="F324">
        <v>6.4125695384152762E-2</v>
      </c>
      <c r="G324" s="1">
        <f t="shared" si="47"/>
        <v>0.27906976744186046</v>
      </c>
      <c r="H324" s="1" t="str">
        <f t="shared" si="48"/>
        <v/>
      </c>
      <c r="I324" s="1" t="str">
        <f t="shared" si="49"/>
        <v/>
      </c>
      <c r="J324" s="1" t="str">
        <f t="shared" si="50"/>
        <v/>
      </c>
      <c r="K324" s="1" t="str">
        <f t="shared" si="51"/>
        <v/>
      </c>
      <c r="L324" s="1" t="str">
        <f t="shared" si="52"/>
        <v/>
      </c>
    </row>
    <row r="325" spans="1:12">
      <c r="A325" t="s">
        <v>113</v>
      </c>
      <c r="B325">
        <v>9</v>
      </c>
      <c r="C325" t="str">
        <f t="shared" si="46"/>
        <v>test.ImageData_9_</v>
      </c>
      <c r="D325">
        <v>28</v>
      </c>
      <c r="E325">
        <v>0.44573643410852715</v>
      </c>
      <c r="F325">
        <v>7.3823485190196964E-2</v>
      </c>
      <c r="G325" s="1">
        <f t="shared" si="47"/>
        <v>0.44573643410852715</v>
      </c>
      <c r="H325" s="1" t="str">
        <f t="shared" si="48"/>
        <v/>
      </c>
      <c r="I325" s="1" t="str">
        <f t="shared" si="49"/>
        <v/>
      </c>
      <c r="J325" s="1" t="str">
        <f t="shared" si="50"/>
        <v/>
      </c>
      <c r="K325" s="1" t="str">
        <f t="shared" si="51"/>
        <v/>
      </c>
      <c r="L325" s="1" t="str">
        <f t="shared" si="52"/>
        <v/>
      </c>
    </row>
    <row r="326" spans="1:12">
      <c r="A326" t="s">
        <v>113</v>
      </c>
      <c r="B326">
        <v>9</v>
      </c>
      <c r="C326" t="str">
        <f t="shared" si="46"/>
        <v>test.ImageData_9_</v>
      </c>
      <c r="D326">
        <v>29</v>
      </c>
      <c r="E326">
        <v>0.56976744186046513</v>
      </c>
      <c r="F326">
        <v>0.10239061795218764</v>
      </c>
      <c r="G326" s="1">
        <f t="shared" si="47"/>
        <v>0.56976744186046513</v>
      </c>
      <c r="H326" s="1" t="str">
        <f t="shared" si="48"/>
        <v/>
      </c>
      <c r="I326" s="1" t="str">
        <f t="shared" si="49"/>
        <v/>
      </c>
      <c r="J326" s="1" t="str">
        <f t="shared" si="50"/>
        <v/>
      </c>
      <c r="K326" s="1" t="str">
        <f t="shared" si="51"/>
        <v/>
      </c>
      <c r="L326" s="1" t="str">
        <f t="shared" si="52"/>
        <v/>
      </c>
    </row>
    <row r="327" spans="1:12">
      <c r="A327" t="s">
        <v>113</v>
      </c>
      <c r="B327">
        <v>9</v>
      </c>
      <c r="C327" t="str">
        <f t="shared" si="46"/>
        <v>test.ImageData_9_</v>
      </c>
      <c r="D327">
        <v>30</v>
      </c>
      <c r="E327">
        <v>0.65116279069767447</v>
      </c>
      <c r="F327">
        <v>0.17207938655841226</v>
      </c>
      <c r="G327" s="1">
        <f t="shared" si="47"/>
        <v>0.65116279069767447</v>
      </c>
      <c r="H327" s="1" t="str">
        <f t="shared" si="48"/>
        <v/>
      </c>
      <c r="I327" s="1" t="str">
        <f t="shared" si="49"/>
        <v/>
      </c>
      <c r="J327" s="1" t="str">
        <f t="shared" si="50"/>
        <v/>
      </c>
      <c r="K327" s="1" t="str">
        <f t="shared" si="51"/>
        <v/>
      </c>
      <c r="L327" s="1" t="str">
        <f t="shared" si="52"/>
        <v/>
      </c>
    </row>
    <row r="328" spans="1:12">
      <c r="A328" t="s">
        <v>113</v>
      </c>
      <c r="B328">
        <v>9</v>
      </c>
      <c r="C328" t="str">
        <f t="shared" si="46"/>
        <v>test.ImageData_9_</v>
      </c>
      <c r="D328">
        <v>31</v>
      </c>
      <c r="E328">
        <v>0.75193798449612403</v>
      </c>
      <c r="F328">
        <v>0.1874906029168546</v>
      </c>
      <c r="G328" s="1">
        <f t="shared" si="47"/>
        <v>0.75193798449612403</v>
      </c>
      <c r="H328" s="1" t="str">
        <f t="shared" si="48"/>
        <v/>
      </c>
      <c r="I328" s="1" t="str">
        <f t="shared" si="49"/>
        <v/>
      </c>
      <c r="J328" s="1" t="str">
        <f t="shared" si="50"/>
        <v/>
      </c>
      <c r="K328" s="1" t="str">
        <f t="shared" si="51"/>
        <v/>
      </c>
      <c r="L328" s="1" t="str">
        <f t="shared" si="52"/>
        <v/>
      </c>
    </row>
    <row r="329" spans="1:12">
      <c r="A329" t="s">
        <v>113</v>
      </c>
      <c r="B329">
        <v>9</v>
      </c>
      <c r="C329" t="str">
        <f t="shared" si="46"/>
        <v>test.ImageData_9_</v>
      </c>
      <c r="D329">
        <v>32</v>
      </c>
      <c r="E329">
        <v>0.86821705426356588</v>
      </c>
      <c r="F329">
        <v>0.20729965418734025</v>
      </c>
      <c r="G329" s="1" t="str">
        <f t="shared" si="47"/>
        <v/>
      </c>
      <c r="H329" s="1">
        <f t="shared" si="48"/>
        <v>0.86821705426356588</v>
      </c>
      <c r="I329" s="1" t="str">
        <f t="shared" si="49"/>
        <v/>
      </c>
      <c r="J329" s="1" t="str">
        <f t="shared" si="50"/>
        <v/>
      </c>
      <c r="K329" s="1" t="str">
        <f t="shared" si="51"/>
        <v/>
      </c>
      <c r="L329" s="1" t="str">
        <f t="shared" si="52"/>
        <v/>
      </c>
    </row>
    <row r="330" spans="1:12">
      <c r="A330" t="s">
        <v>113</v>
      </c>
      <c r="B330">
        <v>9</v>
      </c>
      <c r="C330" t="str">
        <f t="shared" si="46"/>
        <v>test.ImageData_9_</v>
      </c>
      <c r="D330">
        <v>1</v>
      </c>
      <c r="E330">
        <v>1</v>
      </c>
      <c r="F330">
        <v>0.23951285520974289</v>
      </c>
      <c r="G330" s="1" t="str">
        <f t="shared" si="47"/>
        <v/>
      </c>
      <c r="H330" s="1">
        <f t="shared" si="48"/>
        <v>1</v>
      </c>
      <c r="I330" s="1" t="str">
        <f t="shared" si="49"/>
        <v/>
      </c>
      <c r="J330" s="1" t="str">
        <f t="shared" si="50"/>
        <v/>
      </c>
      <c r="K330" s="1" t="str">
        <f t="shared" si="51"/>
        <v/>
      </c>
      <c r="L330" s="1" t="str">
        <f t="shared" si="52"/>
        <v/>
      </c>
    </row>
    <row r="331" spans="1:12">
      <c r="A331" t="s">
        <v>113</v>
      </c>
      <c r="B331">
        <v>11</v>
      </c>
      <c r="C331" t="str">
        <f t="shared" si="46"/>
        <v>test.ImageData_11_</v>
      </c>
      <c r="D331">
        <v>2</v>
      </c>
      <c r="E331">
        <v>0.35849056603773582</v>
      </c>
      <c r="F331">
        <v>5.4088277858176555E-2</v>
      </c>
      <c r="G331" s="1">
        <f t="shared" si="47"/>
        <v>0.35849056603773582</v>
      </c>
      <c r="H331" s="1" t="str">
        <f t="shared" si="48"/>
        <v/>
      </c>
      <c r="I331" s="1" t="str">
        <f t="shared" si="49"/>
        <v/>
      </c>
      <c r="J331" s="1" t="str">
        <f t="shared" si="50"/>
        <v/>
      </c>
      <c r="K331" s="1" t="str">
        <f t="shared" si="51"/>
        <v/>
      </c>
      <c r="L331" s="1" t="str">
        <f t="shared" si="52"/>
        <v/>
      </c>
    </row>
    <row r="332" spans="1:12">
      <c r="A332" t="s">
        <v>113</v>
      </c>
      <c r="B332">
        <v>11</v>
      </c>
      <c r="C332" t="str">
        <f t="shared" si="46"/>
        <v>test.ImageData_11_</v>
      </c>
      <c r="D332">
        <v>1</v>
      </c>
      <c r="E332">
        <v>1</v>
      </c>
      <c r="F332">
        <v>1.0010853835021707</v>
      </c>
      <c r="G332" s="1" t="str">
        <f t="shared" si="47"/>
        <v/>
      </c>
      <c r="H332" s="1" t="str">
        <f t="shared" si="48"/>
        <v/>
      </c>
      <c r="I332" s="1" t="str">
        <f t="shared" si="49"/>
        <v/>
      </c>
      <c r="J332" s="1" t="str">
        <f t="shared" si="50"/>
        <v/>
      </c>
      <c r="K332" s="1">
        <f t="shared" si="51"/>
        <v>1</v>
      </c>
      <c r="L332" s="1" t="str">
        <f t="shared" si="52"/>
        <v/>
      </c>
    </row>
    <row r="333" spans="1:12">
      <c r="A333" t="s">
        <v>113</v>
      </c>
      <c r="B333">
        <v>13</v>
      </c>
      <c r="C333" t="str">
        <f t="shared" si="46"/>
        <v>test.ImageData_13_</v>
      </c>
      <c r="D333">
        <v>2</v>
      </c>
      <c r="E333">
        <v>2.7137042062415195E-3</v>
      </c>
      <c r="F333">
        <v>1.4853783072876374E-2</v>
      </c>
      <c r="G333" s="1">
        <f t="shared" si="47"/>
        <v>2.7137042062415195E-3</v>
      </c>
      <c r="H333" s="1" t="str">
        <f t="shared" si="48"/>
        <v/>
      </c>
      <c r="I333" s="1" t="str">
        <f t="shared" si="49"/>
        <v/>
      </c>
      <c r="J333" s="1" t="str">
        <f t="shared" si="50"/>
        <v/>
      </c>
      <c r="K333" s="1" t="str">
        <f t="shared" si="51"/>
        <v/>
      </c>
      <c r="L333" s="1" t="str">
        <f t="shared" si="52"/>
        <v/>
      </c>
    </row>
    <row r="334" spans="1:12">
      <c r="A334" t="s">
        <v>113</v>
      </c>
      <c r="B334">
        <v>13</v>
      </c>
      <c r="C334" t="str">
        <f t="shared" si="46"/>
        <v>test.ImageData_13_</v>
      </c>
      <c r="D334">
        <v>3</v>
      </c>
      <c r="E334">
        <v>8.1411126187245584E-3</v>
      </c>
      <c r="F334">
        <v>1.6762081592655631E-2</v>
      </c>
      <c r="G334" s="1">
        <f t="shared" si="47"/>
        <v>8.1411126187245584E-3</v>
      </c>
      <c r="H334" s="1" t="str">
        <f t="shared" si="48"/>
        <v/>
      </c>
      <c r="I334" s="1" t="str">
        <f t="shared" si="49"/>
        <v/>
      </c>
      <c r="J334" s="1" t="str">
        <f t="shared" si="50"/>
        <v/>
      </c>
      <c r="K334" s="1" t="str">
        <f t="shared" si="51"/>
        <v/>
      </c>
      <c r="L334" s="1" t="str">
        <f t="shared" si="52"/>
        <v/>
      </c>
    </row>
    <row r="335" spans="1:12">
      <c r="A335" t="s">
        <v>113</v>
      </c>
      <c r="B335">
        <v>13</v>
      </c>
      <c r="C335" t="str">
        <f t="shared" si="46"/>
        <v>test.ImageData_13_</v>
      </c>
      <c r="D335">
        <v>4</v>
      </c>
      <c r="E335">
        <v>8.1411126187245584E-3</v>
      </c>
      <c r="F335">
        <v>1.8464077569756047E-2</v>
      </c>
      <c r="G335" s="1">
        <f t="shared" si="47"/>
        <v>8.1411126187245584E-3</v>
      </c>
      <c r="H335" s="1" t="str">
        <f t="shared" si="48"/>
        <v/>
      </c>
      <c r="I335" s="1" t="str">
        <f t="shared" si="49"/>
        <v/>
      </c>
      <c r="J335" s="1" t="str">
        <f t="shared" si="50"/>
        <v/>
      </c>
      <c r="K335" s="1" t="str">
        <f t="shared" si="51"/>
        <v/>
      </c>
      <c r="L335" s="1" t="str">
        <f t="shared" si="52"/>
        <v/>
      </c>
    </row>
    <row r="336" spans="1:12">
      <c r="A336" t="s">
        <v>113</v>
      </c>
      <c r="B336">
        <v>13</v>
      </c>
      <c r="C336" t="str">
        <f t="shared" si="46"/>
        <v>test.ImageData_13_</v>
      </c>
      <c r="D336">
        <v>5</v>
      </c>
      <c r="E336">
        <v>1</v>
      </c>
      <c r="F336">
        <v>1.07</v>
      </c>
      <c r="G336" s="1" t="str">
        <f t="shared" si="47"/>
        <v/>
      </c>
      <c r="H336" s="1" t="str">
        <f t="shared" si="48"/>
        <v/>
      </c>
      <c r="I336" s="1" t="str">
        <f t="shared" si="49"/>
        <v/>
      </c>
      <c r="J336" s="1" t="str">
        <f t="shared" si="50"/>
        <v/>
      </c>
      <c r="K336" s="1">
        <f t="shared" si="51"/>
        <v>1</v>
      </c>
      <c r="L336" s="1" t="str">
        <f t="shared" si="52"/>
        <v/>
      </c>
    </row>
    <row r="337" spans="1:12">
      <c r="A337" t="s">
        <v>113</v>
      </c>
      <c r="B337">
        <v>14</v>
      </c>
      <c r="C337" t="str">
        <f t="shared" si="46"/>
        <v>test.ImageData_14_</v>
      </c>
      <c r="D337">
        <v>6</v>
      </c>
      <c r="E337">
        <v>2.0876826722338203E-3</v>
      </c>
      <c r="F337">
        <v>6.6600397614314114E-3</v>
      </c>
      <c r="G337" s="1">
        <f t="shared" si="47"/>
        <v>2.0876826722338203E-3</v>
      </c>
      <c r="H337" s="1" t="str">
        <f t="shared" si="48"/>
        <v/>
      </c>
      <c r="I337" s="1" t="str">
        <f t="shared" si="49"/>
        <v/>
      </c>
      <c r="J337" s="1" t="str">
        <f t="shared" si="50"/>
        <v/>
      </c>
      <c r="K337" s="1" t="str">
        <f t="shared" si="51"/>
        <v/>
      </c>
      <c r="L337" s="1" t="str">
        <f t="shared" si="52"/>
        <v/>
      </c>
    </row>
    <row r="338" spans="1:12">
      <c r="A338" t="s">
        <v>113</v>
      </c>
      <c r="B338">
        <v>14</v>
      </c>
      <c r="C338" t="str">
        <f t="shared" si="46"/>
        <v>test.ImageData_14_</v>
      </c>
      <c r="D338">
        <v>7</v>
      </c>
      <c r="E338">
        <v>4.1753653444676405E-3</v>
      </c>
      <c r="F338">
        <v>3.6242544731610336E-2</v>
      </c>
      <c r="G338" s="1">
        <f t="shared" si="47"/>
        <v>4.1753653444676405E-3</v>
      </c>
      <c r="H338" s="1" t="str">
        <f t="shared" si="48"/>
        <v/>
      </c>
      <c r="I338" s="1" t="str">
        <f t="shared" si="49"/>
        <v/>
      </c>
      <c r="J338" s="1" t="str">
        <f t="shared" si="50"/>
        <v/>
      </c>
      <c r="K338" s="1" t="str">
        <f t="shared" si="51"/>
        <v/>
      </c>
      <c r="L338" s="1" t="str">
        <f t="shared" si="52"/>
        <v/>
      </c>
    </row>
    <row r="339" spans="1:12">
      <c r="A339" t="s">
        <v>113</v>
      </c>
      <c r="B339">
        <v>14</v>
      </c>
      <c r="C339" t="str">
        <f t="shared" si="46"/>
        <v>test.ImageData_14_</v>
      </c>
      <c r="D339">
        <v>8</v>
      </c>
      <c r="E339">
        <v>6.2630480167014616E-3</v>
      </c>
      <c r="F339">
        <v>3.7316103379721667E-2</v>
      </c>
      <c r="G339" s="1">
        <f t="shared" si="47"/>
        <v>6.2630480167014616E-3</v>
      </c>
      <c r="H339" s="1" t="str">
        <f t="shared" si="48"/>
        <v/>
      </c>
      <c r="I339" s="1" t="str">
        <f t="shared" si="49"/>
        <v/>
      </c>
      <c r="J339" s="1" t="str">
        <f t="shared" si="50"/>
        <v/>
      </c>
      <c r="K339" s="1" t="str">
        <f t="shared" si="51"/>
        <v/>
      </c>
      <c r="L339" s="1" t="str">
        <f t="shared" si="52"/>
        <v/>
      </c>
    </row>
    <row r="340" spans="1:12">
      <c r="A340" t="s">
        <v>113</v>
      </c>
      <c r="B340">
        <v>14</v>
      </c>
      <c r="C340" t="str">
        <f t="shared" si="46"/>
        <v>test.ImageData_14_</v>
      </c>
      <c r="D340">
        <v>1</v>
      </c>
      <c r="E340">
        <v>0.36951983298538621</v>
      </c>
      <c r="F340">
        <v>0.47320079522862823</v>
      </c>
      <c r="G340" s="1" t="str">
        <f t="shared" si="47"/>
        <v/>
      </c>
      <c r="H340" s="1" t="str">
        <f t="shared" si="48"/>
        <v/>
      </c>
      <c r="I340" s="1">
        <f t="shared" si="49"/>
        <v>0.36951983298538621</v>
      </c>
      <c r="J340" s="1" t="str">
        <f t="shared" si="50"/>
        <v/>
      </c>
      <c r="K340" s="1" t="str">
        <f t="shared" si="51"/>
        <v/>
      </c>
      <c r="L340" s="1" t="str">
        <f t="shared" si="52"/>
        <v/>
      </c>
    </row>
    <row r="341" spans="1:12">
      <c r="A341" t="s">
        <v>113</v>
      </c>
      <c r="B341">
        <v>14</v>
      </c>
      <c r="C341" t="str">
        <f t="shared" si="46"/>
        <v>test.ImageData_14_</v>
      </c>
      <c r="D341">
        <v>2</v>
      </c>
      <c r="E341">
        <v>0.37160751565762007</v>
      </c>
      <c r="F341">
        <v>0.50898608349900598</v>
      </c>
      <c r="G341" s="1" t="str">
        <f t="shared" si="47"/>
        <v/>
      </c>
      <c r="H341" s="1" t="str">
        <f t="shared" si="48"/>
        <v/>
      </c>
      <c r="I341" s="1">
        <f t="shared" si="49"/>
        <v>0.37160751565762007</v>
      </c>
      <c r="J341" s="1" t="str">
        <f t="shared" si="50"/>
        <v/>
      </c>
      <c r="K341" s="1" t="str">
        <f t="shared" si="51"/>
        <v/>
      </c>
      <c r="L341" s="1" t="str">
        <f t="shared" si="52"/>
        <v/>
      </c>
    </row>
    <row r="342" spans="1:12">
      <c r="A342" t="s">
        <v>113</v>
      </c>
      <c r="B342">
        <v>14</v>
      </c>
      <c r="C342" t="str">
        <f t="shared" si="46"/>
        <v>test.ImageData_14_</v>
      </c>
      <c r="D342">
        <v>3</v>
      </c>
      <c r="E342">
        <v>0.58977035490605423</v>
      </c>
      <c r="F342">
        <v>0.58021868787276343</v>
      </c>
      <c r="G342" s="1" t="str">
        <f t="shared" si="47"/>
        <v/>
      </c>
      <c r="H342" s="1" t="str">
        <f t="shared" si="48"/>
        <v/>
      </c>
      <c r="I342" s="1">
        <f t="shared" si="49"/>
        <v>0.58977035490605423</v>
      </c>
      <c r="J342" s="1" t="str">
        <f t="shared" si="50"/>
        <v/>
      </c>
      <c r="K342" s="1" t="str">
        <f t="shared" si="51"/>
        <v/>
      </c>
      <c r="L342" s="1" t="str">
        <f t="shared" si="52"/>
        <v/>
      </c>
    </row>
    <row r="343" spans="1:12">
      <c r="A343" t="s">
        <v>113</v>
      </c>
      <c r="B343">
        <v>14</v>
      </c>
      <c r="C343" t="str">
        <f t="shared" si="46"/>
        <v>test.ImageData_14_</v>
      </c>
      <c r="D343">
        <v>4</v>
      </c>
      <c r="E343">
        <v>0.58977035490605423</v>
      </c>
      <c r="F343">
        <v>0.61359840954274358</v>
      </c>
      <c r="G343" s="1" t="str">
        <f t="shared" si="47"/>
        <v/>
      </c>
      <c r="H343" s="1" t="str">
        <f t="shared" si="48"/>
        <v/>
      </c>
      <c r="I343" s="1" t="str">
        <f t="shared" si="49"/>
        <v/>
      </c>
      <c r="J343" s="1">
        <f t="shared" si="50"/>
        <v>0.58977035490605423</v>
      </c>
      <c r="K343" s="1" t="str">
        <f t="shared" si="51"/>
        <v/>
      </c>
      <c r="L343" s="1" t="str">
        <f t="shared" si="52"/>
        <v/>
      </c>
    </row>
    <row r="344" spans="1:12">
      <c r="A344" t="s">
        <v>113</v>
      </c>
      <c r="B344">
        <v>14</v>
      </c>
      <c r="C344" t="str">
        <f t="shared" si="46"/>
        <v>test.ImageData_14_</v>
      </c>
      <c r="D344">
        <v>5</v>
      </c>
      <c r="E344">
        <v>1</v>
      </c>
      <c r="F344">
        <v>0.80912524850894629</v>
      </c>
      <c r="G344" s="1" t="str">
        <f t="shared" si="47"/>
        <v/>
      </c>
      <c r="H344" s="1" t="str">
        <f t="shared" si="48"/>
        <v/>
      </c>
      <c r="I344" s="1" t="str">
        <f t="shared" si="49"/>
        <v/>
      </c>
      <c r="J344" s="1" t="str">
        <f t="shared" si="50"/>
        <v/>
      </c>
      <c r="K344" s="1">
        <f t="shared" si="51"/>
        <v>1</v>
      </c>
      <c r="L344" s="1" t="str">
        <f t="shared" si="52"/>
        <v/>
      </c>
    </row>
    <row r="345" spans="1:12">
      <c r="A345" t="s">
        <v>113</v>
      </c>
      <c r="B345">
        <v>14</v>
      </c>
      <c r="C345" t="str">
        <f t="shared" si="46"/>
        <v>test.ImageData_14_</v>
      </c>
      <c r="D345">
        <v>6</v>
      </c>
      <c r="E345">
        <v>1</v>
      </c>
      <c r="F345">
        <v>0.88316103379721667</v>
      </c>
      <c r="G345" s="1" t="str">
        <f t="shared" si="47"/>
        <v/>
      </c>
      <c r="H345" s="1" t="str">
        <f t="shared" si="48"/>
        <v/>
      </c>
      <c r="I345" s="1" t="str">
        <f t="shared" si="49"/>
        <v/>
      </c>
      <c r="J345" s="1" t="str">
        <f t="shared" si="50"/>
        <v/>
      </c>
      <c r="K345" s="1">
        <f t="shared" si="51"/>
        <v>1</v>
      </c>
      <c r="L345" s="1" t="str">
        <f t="shared" si="52"/>
        <v/>
      </c>
    </row>
    <row r="346" spans="1:12">
      <c r="A346" t="s">
        <v>113</v>
      </c>
      <c r="B346">
        <v>15</v>
      </c>
      <c r="C346" t="str">
        <f t="shared" si="46"/>
        <v>test.ImageData_15_</v>
      </c>
      <c r="D346">
        <v>1</v>
      </c>
      <c r="E346">
        <v>4.2016806722689074E-3</v>
      </c>
      <c r="F346">
        <v>9.0789556070377565E-3</v>
      </c>
      <c r="G346" s="1">
        <f t="shared" si="47"/>
        <v>4.2016806722689074E-3</v>
      </c>
      <c r="H346" s="1" t="str">
        <f t="shared" si="48"/>
        <v/>
      </c>
      <c r="I346" s="1" t="str">
        <f t="shared" si="49"/>
        <v/>
      </c>
      <c r="J346" s="1" t="str">
        <f t="shared" si="50"/>
        <v/>
      </c>
      <c r="K346" s="1" t="str">
        <f t="shared" si="51"/>
        <v/>
      </c>
      <c r="L346" s="1" t="str">
        <f t="shared" si="52"/>
        <v/>
      </c>
    </row>
    <row r="347" spans="1:12">
      <c r="A347" t="s">
        <v>113</v>
      </c>
      <c r="B347">
        <v>15</v>
      </c>
      <c r="C347" t="str">
        <f t="shared" si="46"/>
        <v>test.ImageData_15_</v>
      </c>
      <c r="D347">
        <v>2</v>
      </c>
      <c r="E347">
        <v>8.4033613445378148E-3</v>
      </c>
      <c r="F347">
        <v>1.2773151336797947E-2</v>
      </c>
      <c r="G347" s="1">
        <f t="shared" si="47"/>
        <v>8.4033613445378148E-3</v>
      </c>
      <c r="H347" s="1" t="str">
        <f t="shared" si="48"/>
        <v/>
      </c>
      <c r="I347" s="1" t="str">
        <f t="shared" si="49"/>
        <v/>
      </c>
      <c r="J347" s="1" t="str">
        <f t="shared" si="50"/>
        <v/>
      </c>
      <c r="K347" s="1" t="str">
        <f t="shared" si="51"/>
        <v/>
      </c>
      <c r="L347" s="1" t="str">
        <f t="shared" si="52"/>
        <v/>
      </c>
    </row>
    <row r="348" spans="1:12">
      <c r="A348" t="s">
        <v>113</v>
      </c>
      <c r="B348">
        <v>15</v>
      </c>
      <c r="C348" t="str">
        <f t="shared" si="46"/>
        <v>test.ImageData_15_</v>
      </c>
      <c r="D348">
        <v>3</v>
      </c>
      <c r="E348">
        <v>1.2605042016806723E-2</v>
      </c>
      <c r="F348">
        <v>1.540291778849164E-2</v>
      </c>
      <c r="G348" s="1">
        <f t="shared" si="47"/>
        <v>1.2605042016806723E-2</v>
      </c>
      <c r="H348" s="1" t="str">
        <f t="shared" si="48"/>
        <v/>
      </c>
      <c r="I348" s="1" t="str">
        <f t="shared" si="49"/>
        <v/>
      </c>
      <c r="J348" s="1" t="str">
        <f t="shared" si="50"/>
        <v/>
      </c>
      <c r="K348" s="1" t="str">
        <f t="shared" si="51"/>
        <v/>
      </c>
      <c r="L348" s="1" t="str">
        <f t="shared" si="52"/>
        <v/>
      </c>
    </row>
    <row r="349" spans="1:12">
      <c r="A349" t="s">
        <v>113</v>
      </c>
      <c r="B349">
        <v>15</v>
      </c>
      <c r="C349" t="str">
        <f t="shared" si="46"/>
        <v>test.ImageData_15_</v>
      </c>
      <c r="D349">
        <v>4</v>
      </c>
      <c r="E349">
        <v>1</v>
      </c>
      <c r="F349">
        <v>0.85705340930436413</v>
      </c>
      <c r="G349" s="1" t="str">
        <f t="shared" si="47"/>
        <v/>
      </c>
      <c r="H349" s="1" t="str">
        <f t="shared" si="48"/>
        <v/>
      </c>
      <c r="I349" s="1" t="str">
        <f t="shared" si="49"/>
        <v/>
      </c>
      <c r="J349" s="1" t="str">
        <f t="shared" si="50"/>
        <v/>
      </c>
      <c r="K349" s="1">
        <f t="shared" si="51"/>
        <v>1</v>
      </c>
      <c r="L349" s="1" t="str">
        <f t="shared" si="52"/>
        <v/>
      </c>
    </row>
    <row r="350" spans="1:12">
      <c r="A350" t="s">
        <v>113</v>
      </c>
      <c r="B350">
        <v>16</v>
      </c>
      <c r="C350" t="str">
        <f t="shared" si="46"/>
        <v>test.ImageData_16_</v>
      </c>
      <c r="D350">
        <v>5</v>
      </c>
      <c r="E350">
        <v>3.2948929159802307E-3</v>
      </c>
      <c r="F350">
        <v>6.4072873243785702E-3</v>
      </c>
      <c r="G350" s="1">
        <f t="shared" si="47"/>
        <v>3.2948929159802307E-3</v>
      </c>
      <c r="H350" s="1" t="str">
        <f t="shared" si="48"/>
        <v/>
      </c>
      <c r="I350" s="1" t="str">
        <f t="shared" si="49"/>
        <v/>
      </c>
      <c r="J350" s="1" t="str">
        <f t="shared" si="50"/>
        <v/>
      </c>
      <c r="K350" s="1" t="str">
        <f t="shared" si="51"/>
        <v/>
      </c>
      <c r="L350" s="1" t="str">
        <f t="shared" si="52"/>
        <v/>
      </c>
    </row>
    <row r="351" spans="1:12">
      <c r="A351" t="s">
        <v>113</v>
      </c>
      <c r="B351">
        <v>16</v>
      </c>
      <c r="C351" t="str">
        <f t="shared" si="46"/>
        <v>test.ImageData_16_</v>
      </c>
      <c r="D351">
        <v>6</v>
      </c>
      <c r="E351">
        <v>6.5897858319604614E-3</v>
      </c>
      <c r="F351">
        <v>1.0730276362513509E-2</v>
      </c>
      <c r="G351" s="1">
        <f t="shared" si="47"/>
        <v>6.5897858319604614E-3</v>
      </c>
      <c r="H351" s="1" t="str">
        <f t="shared" si="48"/>
        <v/>
      </c>
      <c r="I351" s="1" t="str">
        <f t="shared" si="49"/>
        <v/>
      </c>
      <c r="J351" s="1" t="str">
        <f t="shared" si="50"/>
        <v/>
      </c>
      <c r="K351" s="1" t="str">
        <f t="shared" si="51"/>
        <v/>
      </c>
      <c r="L351" s="1" t="str">
        <f t="shared" si="52"/>
        <v/>
      </c>
    </row>
    <row r="352" spans="1:12">
      <c r="A352" t="s">
        <v>113</v>
      </c>
      <c r="B352">
        <v>16</v>
      </c>
      <c r="C352" t="str">
        <f t="shared" si="46"/>
        <v>test.ImageData_16_</v>
      </c>
      <c r="D352">
        <v>7</v>
      </c>
      <c r="E352">
        <v>9.8846787479406912E-3</v>
      </c>
      <c r="F352">
        <v>1.196541608769492E-2</v>
      </c>
      <c r="G352" s="1">
        <f t="shared" si="47"/>
        <v>9.8846787479406912E-3</v>
      </c>
      <c r="H352" s="1" t="str">
        <f t="shared" si="48"/>
        <v/>
      </c>
      <c r="I352" s="1" t="str">
        <f t="shared" si="49"/>
        <v/>
      </c>
      <c r="J352" s="1" t="str">
        <f t="shared" si="50"/>
        <v/>
      </c>
      <c r="K352" s="1" t="str">
        <f t="shared" si="51"/>
        <v/>
      </c>
      <c r="L352" s="1" t="str">
        <f t="shared" si="52"/>
        <v/>
      </c>
    </row>
    <row r="353" spans="1:12">
      <c r="A353" t="s">
        <v>113</v>
      </c>
      <c r="B353">
        <v>16</v>
      </c>
      <c r="C353" t="str">
        <f t="shared" si="46"/>
        <v>test.ImageData_16_</v>
      </c>
      <c r="D353">
        <v>8</v>
      </c>
      <c r="E353">
        <v>1</v>
      </c>
      <c r="F353">
        <v>1.0051335494827853</v>
      </c>
      <c r="G353" s="1" t="str">
        <f t="shared" si="47"/>
        <v/>
      </c>
      <c r="H353" s="1" t="str">
        <f t="shared" si="48"/>
        <v/>
      </c>
      <c r="I353" s="1" t="str">
        <f t="shared" si="49"/>
        <v/>
      </c>
      <c r="J353" s="1" t="str">
        <f t="shared" si="50"/>
        <v/>
      </c>
      <c r="K353" s="1">
        <f t="shared" si="51"/>
        <v>1</v>
      </c>
      <c r="L353" s="1" t="str">
        <f t="shared" si="52"/>
        <v/>
      </c>
    </row>
    <row r="354" spans="1:12">
      <c r="A354" t="s">
        <v>113</v>
      </c>
      <c r="B354">
        <v>20</v>
      </c>
      <c r="C354" t="str">
        <f t="shared" si="46"/>
        <v>test.ImageData_20_</v>
      </c>
      <c r="D354">
        <v>9</v>
      </c>
      <c r="E354">
        <v>0.62962962962962965</v>
      </c>
      <c r="F354">
        <v>0.56182136602451838</v>
      </c>
      <c r="G354" s="1" t="str">
        <f t="shared" si="47"/>
        <v/>
      </c>
      <c r="H354" s="1" t="str">
        <f t="shared" si="48"/>
        <v/>
      </c>
      <c r="I354" s="1">
        <f t="shared" si="49"/>
        <v>0.62962962962962965</v>
      </c>
      <c r="J354" s="1" t="str">
        <f t="shared" si="50"/>
        <v/>
      </c>
      <c r="K354" s="1" t="str">
        <f t="shared" si="51"/>
        <v/>
      </c>
      <c r="L354" s="1" t="str">
        <f t="shared" si="52"/>
        <v/>
      </c>
    </row>
    <row r="355" spans="1:12">
      <c r="A355" t="s">
        <v>113</v>
      </c>
      <c r="B355">
        <v>20</v>
      </c>
      <c r="C355" t="str">
        <f t="shared" si="46"/>
        <v>test.ImageData_20_</v>
      </c>
      <c r="D355">
        <v>1</v>
      </c>
      <c r="E355">
        <v>1</v>
      </c>
      <c r="F355">
        <v>0.58038528896672503</v>
      </c>
      <c r="G355" s="1" t="str">
        <f t="shared" si="47"/>
        <v/>
      </c>
      <c r="H355" s="1" t="str">
        <f t="shared" si="48"/>
        <v/>
      </c>
      <c r="I355" s="1">
        <f t="shared" si="49"/>
        <v>1</v>
      </c>
      <c r="J355" s="1" t="str">
        <f t="shared" si="50"/>
        <v/>
      </c>
      <c r="K355" s="1" t="str">
        <f t="shared" si="51"/>
        <v/>
      </c>
      <c r="L355" s="1" t="str">
        <f t="shared" si="52"/>
        <v/>
      </c>
    </row>
    <row r="356" spans="1:12">
      <c r="A356" t="s">
        <v>113</v>
      </c>
      <c r="B356">
        <v>21</v>
      </c>
      <c r="C356" t="str">
        <f t="shared" si="46"/>
        <v>test.ImageData_21_</v>
      </c>
      <c r="D356">
        <v>2</v>
      </c>
      <c r="E356">
        <v>0.56140350877192979</v>
      </c>
      <c r="F356">
        <v>0.50823063000948032</v>
      </c>
      <c r="G356" s="1" t="str">
        <f t="shared" si="47"/>
        <v/>
      </c>
      <c r="H356" s="1" t="str">
        <f t="shared" si="48"/>
        <v/>
      </c>
      <c r="I356" s="1">
        <f t="shared" si="49"/>
        <v>0.56140350877192979</v>
      </c>
      <c r="J356" s="1" t="str">
        <f t="shared" si="50"/>
        <v/>
      </c>
      <c r="K356" s="1" t="str">
        <f t="shared" si="51"/>
        <v/>
      </c>
      <c r="L356" s="1" t="str">
        <f t="shared" si="52"/>
        <v/>
      </c>
    </row>
    <row r="357" spans="1:12">
      <c r="A357" t="s">
        <v>113</v>
      </c>
      <c r="B357">
        <v>21</v>
      </c>
      <c r="C357" t="str">
        <f t="shared" si="46"/>
        <v>test.ImageData_21_</v>
      </c>
      <c r="D357">
        <v>3</v>
      </c>
      <c r="E357">
        <v>1</v>
      </c>
      <c r="F357">
        <v>0.51038524519520811</v>
      </c>
      <c r="G357" s="1" t="str">
        <f t="shared" si="47"/>
        <v/>
      </c>
      <c r="H357" s="1" t="str">
        <f t="shared" si="48"/>
        <v/>
      </c>
      <c r="I357" s="1">
        <f t="shared" si="49"/>
        <v>1</v>
      </c>
      <c r="J357" s="1" t="str">
        <f t="shared" si="50"/>
        <v/>
      </c>
      <c r="K357" s="1" t="str">
        <f t="shared" si="51"/>
        <v/>
      </c>
      <c r="L357" s="1" t="str">
        <f t="shared" si="52"/>
        <v/>
      </c>
    </row>
    <row r="358" spans="1:12">
      <c r="A358" t="s">
        <v>145</v>
      </c>
      <c r="B358">
        <v>0</v>
      </c>
      <c r="C358" t="str">
        <f t="shared" si="46"/>
        <v>test.QRCodeDataBlockReader_0_</v>
      </c>
      <c r="D358">
        <v>4</v>
      </c>
      <c r="E358">
        <v>0.2</v>
      </c>
      <c r="F358">
        <v>0.40883977900552487</v>
      </c>
      <c r="G358" s="1" t="str">
        <f t="shared" si="47"/>
        <v/>
      </c>
      <c r="H358" s="1" t="str">
        <f t="shared" si="48"/>
        <v/>
      </c>
      <c r="I358" s="1">
        <f t="shared" si="49"/>
        <v>0.2</v>
      </c>
      <c r="J358" s="1" t="str">
        <f t="shared" si="50"/>
        <v/>
      </c>
      <c r="K358" s="1" t="str">
        <f t="shared" si="51"/>
        <v/>
      </c>
      <c r="L358" s="1" t="str">
        <f t="shared" si="52"/>
        <v/>
      </c>
    </row>
    <row r="359" spans="1:12">
      <c r="A359" t="s">
        <v>145</v>
      </c>
      <c r="B359">
        <v>0</v>
      </c>
      <c r="C359" t="str">
        <f t="shared" si="46"/>
        <v>test.QRCodeDataBlockReader_0_</v>
      </c>
      <c r="D359">
        <v>5</v>
      </c>
      <c r="E359">
        <v>0.7</v>
      </c>
      <c r="F359">
        <v>0.75690607734806625</v>
      </c>
      <c r="G359" s="1" t="str">
        <f t="shared" si="47"/>
        <v/>
      </c>
      <c r="H359" s="1" t="str">
        <f t="shared" si="48"/>
        <v/>
      </c>
      <c r="I359" s="1" t="str">
        <f t="shared" si="49"/>
        <v/>
      </c>
      <c r="J359" s="1">
        <f t="shared" si="50"/>
        <v>0.7</v>
      </c>
      <c r="K359" s="1" t="str">
        <f t="shared" si="51"/>
        <v/>
      </c>
      <c r="L359" s="1" t="str">
        <f t="shared" si="52"/>
        <v/>
      </c>
    </row>
    <row r="360" spans="1:12">
      <c r="A360" t="s">
        <v>145</v>
      </c>
      <c r="B360">
        <v>0</v>
      </c>
      <c r="C360" t="str">
        <f t="shared" si="46"/>
        <v>test.QRCodeDataBlockReader_0_</v>
      </c>
      <c r="D360">
        <v>6</v>
      </c>
      <c r="E360">
        <v>1</v>
      </c>
      <c r="F360">
        <v>0.96685082872928174</v>
      </c>
      <c r="G360" s="1" t="str">
        <f t="shared" si="47"/>
        <v/>
      </c>
      <c r="H360" s="1" t="str">
        <f t="shared" si="48"/>
        <v/>
      </c>
      <c r="I360" s="1" t="str">
        <f t="shared" si="49"/>
        <v/>
      </c>
      <c r="J360" s="1" t="str">
        <f t="shared" si="50"/>
        <v/>
      </c>
      <c r="K360" s="1">
        <f t="shared" si="51"/>
        <v>1</v>
      </c>
      <c r="L360" s="1" t="str">
        <f t="shared" si="52"/>
        <v/>
      </c>
    </row>
    <row r="361" spans="1:12">
      <c r="A361" t="s">
        <v>145</v>
      </c>
      <c r="B361">
        <v>1</v>
      </c>
      <c r="C361" t="str">
        <f t="shared" si="46"/>
        <v>test.QRCodeDataBlockReader_1_</v>
      </c>
      <c r="D361">
        <v>1</v>
      </c>
      <c r="E361">
        <v>0.15044247787610621</v>
      </c>
      <c r="F361">
        <v>7.8841928396019126E-2</v>
      </c>
      <c r="G361" s="1">
        <f t="shared" si="47"/>
        <v>0.15044247787610621</v>
      </c>
      <c r="H361" s="1" t="str">
        <f t="shared" si="48"/>
        <v/>
      </c>
      <c r="I361" s="1" t="str">
        <f t="shared" si="49"/>
        <v/>
      </c>
      <c r="J361" s="1" t="str">
        <f t="shared" si="50"/>
        <v/>
      </c>
      <c r="K361" s="1" t="str">
        <f t="shared" si="51"/>
        <v/>
      </c>
      <c r="L361" s="1" t="str">
        <f t="shared" si="52"/>
        <v/>
      </c>
    </row>
    <row r="362" spans="1:12">
      <c r="A362" t="s">
        <v>145</v>
      </c>
      <c r="B362">
        <v>1</v>
      </c>
      <c r="C362" t="str">
        <f t="shared" si="46"/>
        <v>test.QRCodeDataBlockReader_1_</v>
      </c>
      <c r="D362">
        <v>2</v>
      </c>
      <c r="E362">
        <v>0.30088495575221241</v>
      </c>
      <c r="F362">
        <v>0.19826806255654647</v>
      </c>
      <c r="G362" s="1">
        <f t="shared" si="47"/>
        <v>0.30088495575221241</v>
      </c>
      <c r="H362" s="1" t="str">
        <f t="shared" si="48"/>
        <v/>
      </c>
      <c r="I362" s="1" t="str">
        <f t="shared" si="49"/>
        <v/>
      </c>
      <c r="J362" s="1" t="str">
        <f t="shared" si="50"/>
        <v/>
      </c>
      <c r="K362" s="1" t="str">
        <f t="shared" si="51"/>
        <v/>
      </c>
      <c r="L362" s="1" t="str">
        <f t="shared" si="52"/>
        <v/>
      </c>
    </row>
    <row r="363" spans="1:12">
      <c r="A363" t="s">
        <v>145</v>
      </c>
      <c r="B363">
        <v>1</v>
      </c>
      <c r="C363" t="str">
        <f t="shared" si="46"/>
        <v>test.QRCodeDataBlockReader_1_</v>
      </c>
      <c r="D363">
        <v>3</v>
      </c>
      <c r="E363">
        <v>0.53097345132743368</v>
      </c>
      <c r="F363">
        <v>0.28460643660333462</v>
      </c>
      <c r="G363" s="1" t="str">
        <f t="shared" si="47"/>
        <v/>
      </c>
      <c r="H363" s="1">
        <f t="shared" si="48"/>
        <v>0.53097345132743368</v>
      </c>
      <c r="I363" s="1" t="str">
        <f t="shared" si="49"/>
        <v/>
      </c>
      <c r="J363" s="1" t="str">
        <f t="shared" si="50"/>
        <v/>
      </c>
      <c r="K363" s="1" t="str">
        <f t="shared" si="51"/>
        <v/>
      </c>
      <c r="L363" s="1" t="str">
        <f t="shared" si="52"/>
        <v/>
      </c>
    </row>
    <row r="364" spans="1:12">
      <c r="A364" t="s">
        <v>145</v>
      </c>
      <c r="B364">
        <v>1</v>
      </c>
      <c r="C364" t="str">
        <f t="shared" si="46"/>
        <v>test.QRCodeDataBlockReader_1_</v>
      </c>
      <c r="D364">
        <v>4</v>
      </c>
      <c r="E364">
        <v>1</v>
      </c>
      <c r="F364">
        <v>0.58291327387876435</v>
      </c>
      <c r="G364" s="1" t="str">
        <f t="shared" si="47"/>
        <v/>
      </c>
      <c r="H364" s="1" t="str">
        <f t="shared" si="48"/>
        <v/>
      </c>
      <c r="I364" s="1">
        <f t="shared" si="49"/>
        <v>1</v>
      </c>
      <c r="J364" s="1" t="str">
        <f t="shared" si="50"/>
        <v/>
      </c>
      <c r="K364" s="1" t="str">
        <f t="shared" si="51"/>
        <v/>
      </c>
      <c r="L364" s="1" t="str">
        <f t="shared" si="52"/>
        <v/>
      </c>
    </row>
    <row r="365" spans="1:12">
      <c r="A365" t="s">
        <v>149</v>
      </c>
      <c r="B365">
        <v>1</v>
      </c>
      <c r="C365" t="str">
        <f t="shared" si="46"/>
        <v>test.StructurePanel_1_</v>
      </c>
      <c r="D365">
        <v>5</v>
      </c>
      <c r="E365">
        <v>0.14893617021276595</v>
      </c>
      <c r="F365">
        <v>0.1285760205721633</v>
      </c>
      <c r="G365" s="1">
        <f t="shared" si="47"/>
        <v>0.14893617021276595</v>
      </c>
      <c r="H365" s="1" t="str">
        <f t="shared" si="48"/>
        <v/>
      </c>
      <c r="I365" s="1" t="str">
        <f t="shared" si="49"/>
        <v/>
      </c>
      <c r="J365" s="1" t="str">
        <f t="shared" si="50"/>
        <v/>
      </c>
      <c r="K365" s="1" t="str">
        <f t="shared" si="51"/>
        <v/>
      </c>
      <c r="L365" s="1" t="str">
        <f t="shared" si="52"/>
        <v/>
      </c>
    </row>
    <row r="366" spans="1:12">
      <c r="A366" t="s">
        <v>149</v>
      </c>
      <c r="B366">
        <v>1</v>
      </c>
      <c r="C366" t="str">
        <f t="shared" si="46"/>
        <v>test.StructurePanel_1_</v>
      </c>
      <c r="D366">
        <v>6</v>
      </c>
      <c r="E366">
        <v>0.22340425531914893</v>
      </c>
      <c r="F366">
        <v>0.13050466088074575</v>
      </c>
      <c r="G366" s="1">
        <f t="shared" si="47"/>
        <v>0.22340425531914893</v>
      </c>
      <c r="H366" s="1" t="str">
        <f t="shared" si="48"/>
        <v/>
      </c>
      <c r="I366" s="1" t="str">
        <f t="shared" si="49"/>
        <v/>
      </c>
      <c r="J366" s="1" t="str">
        <f t="shared" si="50"/>
        <v/>
      </c>
      <c r="K366" s="1" t="str">
        <f t="shared" si="51"/>
        <v/>
      </c>
      <c r="L366" s="1" t="str">
        <f t="shared" si="52"/>
        <v/>
      </c>
    </row>
    <row r="367" spans="1:12">
      <c r="A367" t="s">
        <v>149</v>
      </c>
      <c r="B367">
        <v>1</v>
      </c>
      <c r="C367" t="str">
        <f t="shared" si="46"/>
        <v>test.StructurePanel_1_</v>
      </c>
      <c r="D367">
        <v>7</v>
      </c>
      <c r="E367">
        <v>0.32978723404255317</v>
      </c>
      <c r="F367">
        <v>0.24300867888138863</v>
      </c>
      <c r="G367" s="1" t="str">
        <f t="shared" si="47"/>
        <v/>
      </c>
      <c r="H367" s="1">
        <f t="shared" si="48"/>
        <v>0.32978723404255317</v>
      </c>
      <c r="I367" s="1" t="str">
        <f t="shared" si="49"/>
        <v/>
      </c>
      <c r="J367" s="1" t="str">
        <f t="shared" si="50"/>
        <v/>
      </c>
      <c r="K367" s="1" t="str">
        <f t="shared" si="51"/>
        <v/>
      </c>
      <c r="L367" s="1" t="str">
        <f t="shared" si="52"/>
        <v/>
      </c>
    </row>
    <row r="368" spans="1:12">
      <c r="A368" t="s">
        <v>149</v>
      </c>
      <c r="B368">
        <v>1</v>
      </c>
      <c r="C368" t="str">
        <f t="shared" si="46"/>
        <v>test.StructurePanel_1_</v>
      </c>
      <c r="D368">
        <v>8</v>
      </c>
      <c r="E368">
        <v>0.44680851063829785</v>
      </c>
      <c r="F368">
        <v>0.25040180006428803</v>
      </c>
      <c r="G368" s="1" t="str">
        <f t="shared" si="47"/>
        <v/>
      </c>
      <c r="H368" s="1">
        <f t="shared" si="48"/>
        <v>0.44680851063829785</v>
      </c>
      <c r="I368" s="1" t="str">
        <f t="shared" si="49"/>
        <v/>
      </c>
      <c r="J368" s="1" t="str">
        <f t="shared" si="50"/>
        <v/>
      </c>
      <c r="K368" s="1" t="str">
        <f t="shared" si="51"/>
        <v/>
      </c>
      <c r="L368" s="1" t="str">
        <f t="shared" si="52"/>
        <v/>
      </c>
    </row>
    <row r="369" spans="1:12">
      <c r="A369" t="s">
        <v>149</v>
      </c>
      <c r="B369">
        <v>1</v>
      </c>
      <c r="C369" t="str">
        <f t="shared" si="46"/>
        <v>test.StructurePanel_1_</v>
      </c>
      <c r="D369">
        <v>9</v>
      </c>
      <c r="E369">
        <v>0.58510638297872342</v>
      </c>
      <c r="F369">
        <v>0.25200900032144002</v>
      </c>
      <c r="G369" s="1" t="str">
        <f t="shared" si="47"/>
        <v/>
      </c>
      <c r="H369" s="1">
        <f t="shared" si="48"/>
        <v>0.58510638297872342</v>
      </c>
      <c r="I369" s="1" t="str">
        <f t="shared" si="49"/>
        <v/>
      </c>
      <c r="J369" s="1" t="str">
        <f t="shared" si="50"/>
        <v/>
      </c>
      <c r="K369" s="1" t="str">
        <f t="shared" si="51"/>
        <v/>
      </c>
      <c r="L369" s="1" t="str">
        <f t="shared" si="52"/>
        <v/>
      </c>
    </row>
    <row r="370" spans="1:12">
      <c r="A370" t="s">
        <v>149</v>
      </c>
      <c r="B370">
        <v>1</v>
      </c>
      <c r="C370" t="str">
        <f t="shared" si="46"/>
        <v>test.StructurePanel_1_</v>
      </c>
      <c r="D370">
        <v>10</v>
      </c>
      <c r="E370">
        <v>0.7021276595744681</v>
      </c>
      <c r="F370">
        <v>0.25779492124718739</v>
      </c>
      <c r="G370" s="1" t="str">
        <f t="shared" si="47"/>
        <v/>
      </c>
      <c r="H370" s="1">
        <f t="shared" si="48"/>
        <v>0.7021276595744681</v>
      </c>
      <c r="I370" s="1" t="str">
        <f t="shared" si="49"/>
        <v/>
      </c>
      <c r="J370" s="1" t="str">
        <f t="shared" si="50"/>
        <v/>
      </c>
      <c r="K370" s="1" t="str">
        <f t="shared" si="51"/>
        <v/>
      </c>
      <c r="L370" s="1" t="str">
        <f t="shared" si="52"/>
        <v/>
      </c>
    </row>
    <row r="371" spans="1:12">
      <c r="A371" t="s">
        <v>149</v>
      </c>
      <c r="B371">
        <v>1</v>
      </c>
      <c r="C371" t="str">
        <f t="shared" si="46"/>
        <v>test.StructurePanel_1_</v>
      </c>
      <c r="D371">
        <v>1</v>
      </c>
      <c r="E371">
        <v>0.86170212765957444</v>
      </c>
      <c r="F371">
        <v>0.26229508196721313</v>
      </c>
      <c r="G371" s="1" t="str">
        <f t="shared" si="47"/>
        <v/>
      </c>
      <c r="H371" s="1">
        <f t="shared" si="48"/>
        <v>0.86170212765957444</v>
      </c>
      <c r="I371" s="1" t="str">
        <f t="shared" si="49"/>
        <v/>
      </c>
      <c r="J371" s="1" t="str">
        <f t="shared" si="50"/>
        <v/>
      </c>
      <c r="K371" s="1" t="str">
        <f t="shared" si="51"/>
        <v/>
      </c>
      <c r="L371" s="1" t="str">
        <f t="shared" si="52"/>
        <v/>
      </c>
    </row>
    <row r="372" spans="1:12">
      <c r="A372" t="s">
        <v>149</v>
      </c>
      <c r="B372">
        <v>1</v>
      </c>
      <c r="C372" t="str">
        <f t="shared" si="46"/>
        <v>test.StructurePanel_1_</v>
      </c>
      <c r="D372">
        <v>2</v>
      </c>
      <c r="E372">
        <v>1</v>
      </c>
      <c r="F372">
        <v>0.29829636772741885</v>
      </c>
      <c r="G372" s="1" t="str">
        <f t="shared" si="47"/>
        <v/>
      </c>
      <c r="H372" s="1">
        <f t="shared" si="48"/>
        <v>1</v>
      </c>
      <c r="I372" s="1" t="str">
        <f t="shared" si="49"/>
        <v/>
      </c>
      <c r="J372" s="1" t="str">
        <f t="shared" si="50"/>
        <v/>
      </c>
      <c r="K372" s="1" t="str">
        <f t="shared" si="51"/>
        <v/>
      </c>
      <c r="L372" s="1" t="str">
        <f t="shared" si="52"/>
        <v/>
      </c>
    </row>
    <row r="373" spans="1:12">
      <c r="A373" t="s">
        <v>304</v>
      </c>
      <c r="B373">
        <v>5</v>
      </c>
      <c r="C373" t="str">
        <f t="shared" si="46"/>
        <v>test.TileRenderor_5_</v>
      </c>
      <c r="D373">
        <v>3</v>
      </c>
      <c r="E373">
        <v>0.14691943127962084</v>
      </c>
      <c r="F373">
        <v>0.17880649407634927</v>
      </c>
      <c r="G373" s="1">
        <f t="shared" si="47"/>
        <v>0.14691943127962084</v>
      </c>
      <c r="H373" s="1" t="str">
        <f t="shared" si="48"/>
        <v/>
      </c>
      <c r="I373" s="1" t="str">
        <f t="shared" si="49"/>
        <v/>
      </c>
      <c r="J373" s="1" t="str">
        <f t="shared" si="50"/>
        <v/>
      </c>
      <c r="K373" s="1" t="str">
        <f t="shared" si="51"/>
        <v/>
      </c>
      <c r="L373" s="1" t="str">
        <f t="shared" si="52"/>
        <v/>
      </c>
    </row>
    <row r="374" spans="1:12">
      <c r="A374" t="s">
        <v>304</v>
      </c>
      <c r="B374">
        <v>5</v>
      </c>
      <c r="C374" t="str">
        <f t="shared" si="46"/>
        <v>test.TileRenderor_5_</v>
      </c>
      <c r="D374">
        <v>4</v>
      </c>
      <c r="E374">
        <v>0.21800947867298578</v>
      </c>
      <c r="F374">
        <v>0.17968407196138658</v>
      </c>
      <c r="G374" s="1">
        <f t="shared" si="47"/>
        <v>0.21800947867298578</v>
      </c>
      <c r="H374" s="1" t="str">
        <f t="shared" si="48"/>
        <v/>
      </c>
      <c r="I374" s="1" t="str">
        <f t="shared" si="49"/>
        <v/>
      </c>
      <c r="J374" s="1" t="str">
        <f t="shared" si="50"/>
        <v/>
      </c>
      <c r="K374" s="1" t="str">
        <f t="shared" si="51"/>
        <v/>
      </c>
      <c r="L374" s="1" t="str">
        <f t="shared" si="52"/>
        <v/>
      </c>
    </row>
    <row r="375" spans="1:12">
      <c r="A375" t="s">
        <v>304</v>
      </c>
      <c r="B375">
        <v>5</v>
      </c>
      <c r="C375" t="str">
        <f t="shared" si="46"/>
        <v>test.TileRenderor_5_</v>
      </c>
      <c r="D375">
        <v>5</v>
      </c>
      <c r="E375">
        <v>0.26066350710900477</v>
      </c>
      <c r="F375">
        <v>0.18845985081175953</v>
      </c>
      <c r="G375" s="1">
        <f t="shared" si="47"/>
        <v>0.26066350710900477</v>
      </c>
      <c r="H375" s="1" t="str">
        <f t="shared" si="48"/>
        <v/>
      </c>
      <c r="I375" s="1" t="str">
        <f t="shared" si="49"/>
        <v/>
      </c>
      <c r="J375" s="1" t="str">
        <f t="shared" si="50"/>
        <v/>
      </c>
      <c r="K375" s="1" t="str">
        <f t="shared" si="51"/>
        <v/>
      </c>
      <c r="L375" s="1" t="str">
        <f t="shared" si="52"/>
        <v/>
      </c>
    </row>
    <row r="376" spans="1:12">
      <c r="A376" t="s">
        <v>304</v>
      </c>
      <c r="B376">
        <v>5</v>
      </c>
      <c r="C376" t="str">
        <f t="shared" si="46"/>
        <v>test.TileRenderor_5_</v>
      </c>
      <c r="D376">
        <v>6</v>
      </c>
      <c r="E376">
        <v>0.27962085308056872</v>
      </c>
      <c r="F376">
        <v>0.193505923650724</v>
      </c>
      <c r="G376" s="1">
        <f t="shared" si="47"/>
        <v>0.27962085308056872</v>
      </c>
      <c r="H376" s="1" t="str">
        <f t="shared" si="48"/>
        <v/>
      </c>
      <c r="I376" s="1" t="str">
        <f t="shared" si="49"/>
        <v/>
      </c>
      <c r="J376" s="1" t="str">
        <f t="shared" si="50"/>
        <v/>
      </c>
      <c r="K376" s="1" t="str">
        <f t="shared" si="51"/>
        <v/>
      </c>
      <c r="L376" s="1" t="str">
        <f t="shared" si="52"/>
        <v/>
      </c>
    </row>
    <row r="377" spans="1:12">
      <c r="A377" t="s">
        <v>304</v>
      </c>
      <c r="B377">
        <v>5</v>
      </c>
      <c r="C377" t="str">
        <f t="shared" si="46"/>
        <v>test.TileRenderor_5_</v>
      </c>
      <c r="D377">
        <v>7</v>
      </c>
      <c r="E377">
        <v>0.32227488151658767</v>
      </c>
      <c r="F377">
        <v>0.20184291355857834</v>
      </c>
      <c r="G377" s="1" t="str">
        <f t="shared" si="47"/>
        <v/>
      </c>
      <c r="H377" s="1">
        <f t="shared" si="48"/>
        <v>0.32227488151658767</v>
      </c>
      <c r="I377" s="1" t="str">
        <f t="shared" si="49"/>
        <v/>
      </c>
      <c r="J377" s="1" t="str">
        <f t="shared" si="50"/>
        <v/>
      </c>
      <c r="K377" s="1" t="str">
        <f t="shared" si="51"/>
        <v/>
      </c>
      <c r="L377" s="1" t="str">
        <f t="shared" si="52"/>
        <v/>
      </c>
    </row>
    <row r="378" spans="1:12">
      <c r="A378" t="s">
        <v>304</v>
      </c>
      <c r="B378">
        <v>5</v>
      </c>
      <c r="C378" t="str">
        <f t="shared" si="46"/>
        <v>test.TileRenderor_5_</v>
      </c>
      <c r="D378">
        <v>8</v>
      </c>
      <c r="E378">
        <v>0.34123222748815168</v>
      </c>
      <c r="F378">
        <v>0.20623080298376481</v>
      </c>
      <c r="G378" s="1" t="str">
        <f t="shared" si="47"/>
        <v/>
      </c>
      <c r="H378" s="1">
        <f t="shared" si="48"/>
        <v>0.34123222748815168</v>
      </c>
      <c r="I378" s="1" t="str">
        <f t="shared" si="49"/>
        <v/>
      </c>
      <c r="J378" s="1" t="str">
        <f t="shared" si="50"/>
        <v/>
      </c>
      <c r="K378" s="1" t="str">
        <f t="shared" si="51"/>
        <v/>
      </c>
      <c r="L378" s="1" t="str">
        <f t="shared" si="52"/>
        <v/>
      </c>
    </row>
    <row r="379" spans="1:12">
      <c r="A379" t="s">
        <v>304</v>
      </c>
      <c r="B379">
        <v>5</v>
      </c>
      <c r="C379" t="str">
        <f t="shared" si="46"/>
        <v>test.TileRenderor_5_</v>
      </c>
      <c r="D379">
        <v>9</v>
      </c>
      <c r="E379">
        <v>0.46919431279620855</v>
      </c>
      <c r="F379">
        <v>0.21171566476524792</v>
      </c>
      <c r="G379" s="1" t="str">
        <f t="shared" si="47"/>
        <v/>
      </c>
      <c r="H379" s="1">
        <f t="shared" si="48"/>
        <v>0.46919431279620855</v>
      </c>
      <c r="I379" s="1" t="str">
        <f t="shared" si="49"/>
        <v/>
      </c>
      <c r="J379" s="1" t="str">
        <f t="shared" si="50"/>
        <v/>
      </c>
      <c r="K379" s="1" t="str">
        <f t="shared" si="51"/>
        <v/>
      </c>
      <c r="L379" s="1" t="str">
        <f t="shared" si="52"/>
        <v/>
      </c>
    </row>
    <row r="380" spans="1:12">
      <c r="A380" t="s">
        <v>304</v>
      </c>
      <c r="B380">
        <v>5</v>
      </c>
      <c r="C380" t="str">
        <f t="shared" si="46"/>
        <v>test.TileRenderor_5_</v>
      </c>
      <c r="D380">
        <v>10</v>
      </c>
      <c r="E380">
        <v>0.51184834123222744</v>
      </c>
      <c r="F380">
        <v>0.21303203159280387</v>
      </c>
      <c r="G380" s="1" t="str">
        <f t="shared" si="47"/>
        <v/>
      </c>
      <c r="H380" s="1">
        <f t="shared" si="48"/>
        <v>0.51184834123222744</v>
      </c>
      <c r="I380" s="1" t="str">
        <f t="shared" si="49"/>
        <v/>
      </c>
      <c r="J380" s="1" t="str">
        <f t="shared" si="50"/>
        <v/>
      </c>
      <c r="K380" s="1" t="str">
        <f t="shared" si="51"/>
        <v/>
      </c>
      <c r="L380" s="1" t="str">
        <f t="shared" si="52"/>
        <v/>
      </c>
    </row>
    <row r="381" spans="1:12">
      <c r="A381" t="s">
        <v>304</v>
      </c>
      <c r="B381">
        <v>5</v>
      </c>
      <c r="C381" t="str">
        <f t="shared" si="46"/>
        <v>test.TileRenderor_5_</v>
      </c>
      <c r="D381">
        <v>1</v>
      </c>
      <c r="E381">
        <v>0.52132701421800953</v>
      </c>
      <c r="F381">
        <v>0.22071083808688022</v>
      </c>
      <c r="G381" s="1" t="str">
        <f t="shared" si="47"/>
        <v/>
      </c>
      <c r="H381" s="1">
        <f t="shared" si="48"/>
        <v>0.52132701421800953</v>
      </c>
      <c r="I381" s="1" t="str">
        <f t="shared" si="49"/>
        <v/>
      </c>
      <c r="J381" s="1" t="str">
        <f t="shared" si="50"/>
        <v/>
      </c>
      <c r="K381" s="1" t="str">
        <f t="shared" si="51"/>
        <v/>
      </c>
      <c r="L381" s="1" t="str">
        <f t="shared" si="52"/>
        <v/>
      </c>
    </row>
    <row r="382" spans="1:12">
      <c r="A382" t="s">
        <v>304</v>
      </c>
      <c r="B382">
        <v>5</v>
      </c>
      <c r="C382" t="str">
        <f t="shared" si="46"/>
        <v>test.TileRenderor_5_</v>
      </c>
      <c r="D382">
        <v>2</v>
      </c>
      <c r="E382">
        <v>0.56398104265402849</v>
      </c>
      <c r="F382">
        <v>0.22356296621325142</v>
      </c>
      <c r="G382" s="1" t="str">
        <f t="shared" si="47"/>
        <v/>
      </c>
      <c r="H382" s="1">
        <f t="shared" si="48"/>
        <v>0.56398104265402849</v>
      </c>
      <c r="I382" s="1" t="str">
        <f t="shared" si="49"/>
        <v/>
      </c>
      <c r="J382" s="1" t="str">
        <f t="shared" si="50"/>
        <v/>
      </c>
      <c r="K382" s="1" t="str">
        <f t="shared" si="51"/>
        <v/>
      </c>
      <c r="L382" s="1" t="str">
        <f t="shared" si="52"/>
        <v/>
      </c>
    </row>
    <row r="383" spans="1:12">
      <c r="A383" t="s">
        <v>304</v>
      </c>
      <c r="B383">
        <v>5</v>
      </c>
      <c r="C383" t="str">
        <f t="shared" si="46"/>
        <v>test.TileRenderor_5_</v>
      </c>
      <c r="D383">
        <v>3</v>
      </c>
      <c r="E383">
        <v>0.60663507109004744</v>
      </c>
      <c r="F383">
        <v>0.23475208424747696</v>
      </c>
      <c r="G383" s="1" t="str">
        <f t="shared" si="47"/>
        <v/>
      </c>
      <c r="H383" s="1">
        <f t="shared" si="48"/>
        <v>0.60663507109004744</v>
      </c>
      <c r="I383" s="1" t="str">
        <f t="shared" si="49"/>
        <v/>
      </c>
      <c r="J383" s="1" t="str">
        <f t="shared" si="50"/>
        <v/>
      </c>
      <c r="K383" s="1" t="str">
        <f t="shared" si="51"/>
        <v/>
      </c>
      <c r="L383" s="1" t="str">
        <f t="shared" si="52"/>
        <v/>
      </c>
    </row>
    <row r="384" spans="1:12">
      <c r="A384" t="s">
        <v>304</v>
      </c>
      <c r="B384">
        <v>5</v>
      </c>
      <c r="C384" t="str">
        <f t="shared" si="46"/>
        <v>test.TileRenderor_5_</v>
      </c>
      <c r="D384">
        <v>4</v>
      </c>
      <c r="E384">
        <v>0.6398104265402843</v>
      </c>
      <c r="F384">
        <v>0.23892057920140414</v>
      </c>
      <c r="G384" s="1" t="str">
        <f t="shared" si="47"/>
        <v/>
      </c>
      <c r="H384" s="1">
        <f t="shared" si="48"/>
        <v>0.6398104265402843</v>
      </c>
      <c r="I384" s="1" t="str">
        <f t="shared" si="49"/>
        <v/>
      </c>
      <c r="J384" s="1" t="str">
        <f t="shared" si="50"/>
        <v/>
      </c>
      <c r="K384" s="1" t="str">
        <f t="shared" si="51"/>
        <v/>
      </c>
      <c r="L384" s="1" t="str">
        <f t="shared" si="52"/>
        <v/>
      </c>
    </row>
    <row r="385" spans="1:12">
      <c r="A385" t="s">
        <v>304</v>
      </c>
      <c r="B385">
        <v>5</v>
      </c>
      <c r="C385" t="str">
        <f t="shared" si="46"/>
        <v>test.TileRenderor_5_</v>
      </c>
      <c r="D385">
        <v>5</v>
      </c>
      <c r="E385">
        <v>0.77251184834123221</v>
      </c>
      <c r="F385">
        <v>0.2441860465116279</v>
      </c>
      <c r="G385" s="1" t="str">
        <f t="shared" si="47"/>
        <v/>
      </c>
      <c r="H385" s="1">
        <f t="shared" si="48"/>
        <v>0.77251184834123221</v>
      </c>
      <c r="I385" s="1" t="str">
        <f t="shared" si="49"/>
        <v/>
      </c>
      <c r="J385" s="1" t="str">
        <f t="shared" si="50"/>
        <v/>
      </c>
      <c r="K385" s="1" t="str">
        <f t="shared" si="51"/>
        <v/>
      </c>
      <c r="L385" s="1" t="str">
        <f t="shared" si="52"/>
        <v/>
      </c>
    </row>
    <row r="386" spans="1:12">
      <c r="A386" t="s">
        <v>304</v>
      </c>
      <c r="B386">
        <v>5</v>
      </c>
      <c r="C386" t="str">
        <f t="shared" si="46"/>
        <v>test.TileRenderor_5_</v>
      </c>
      <c r="D386">
        <v>6</v>
      </c>
      <c r="E386">
        <v>0.82938388625592419</v>
      </c>
      <c r="F386">
        <v>0.27270732777534007</v>
      </c>
      <c r="G386" s="1" t="str">
        <f t="shared" si="47"/>
        <v/>
      </c>
      <c r="H386" s="1">
        <f t="shared" si="48"/>
        <v>0.82938388625592419</v>
      </c>
      <c r="I386" s="1" t="str">
        <f t="shared" si="49"/>
        <v/>
      </c>
      <c r="J386" s="1" t="str">
        <f t="shared" si="50"/>
        <v/>
      </c>
      <c r="K386" s="1" t="str">
        <f t="shared" si="51"/>
        <v/>
      </c>
      <c r="L386" s="1" t="str">
        <f t="shared" si="52"/>
        <v/>
      </c>
    </row>
    <row r="387" spans="1:12">
      <c r="A387" t="s">
        <v>304</v>
      </c>
      <c r="B387">
        <v>5</v>
      </c>
      <c r="C387" t="str">
        <f t="shared" ref="C387:C450" si="53">CONCATENATE(A387, "_",B387,"_")</f>
        <v>test.TileRenderor_5_</v>
      </c>
      <c r="D387">
        <v>1</v>
      </c>
      <c r="E387">
        <v>0.84834123222748814</v>
      </c>
      <c r="F387">
        <v>0.28411584028082493</v>
      </c>
      <c r="G387" s="1" t="str">
        <f t="shared" ref="G387:G450" si="54">IF($F387 &lt;= 0.2,$E387,"")</f>
        <v/>
      </c>
      <c r="H387" s="1">
        <f t="shared" ref="H387:H450" si="55">IF(AND($F387 &gt; 0.2,$F387 &lt;= 0.4),$E387,"")</f>
        <v>0.84834123222748814</v>
      </c>
      <c r="I387" s="1" t="str">
        <f t="shared" ref="I387:I450" si="56">IF(AND($F387 &gt; 0.4,$F387 &lt;= 0.6),$E387,"")</f>
        <v/>
      </c>
      <c r="J387" s="1" t="str">
        <f t="shared" ref="J387:J450" si="57">IF(AND($F387 &gt; 0.6,$F387 &lt;= 0.8),$E387,"")</f>
        <v/>
      </c>
      <c r="K387" s="1" t="str">
        <f t="shared" ref="K387:K450" si="58">IF(AND($F387 &gt; 0.8, $F387 &lt;=1.1),$E387,"")</f>
        <v/>
      </c>
      <c r="L387" s="1" t="str">
        <f t="shared" ref="L387:L450" si="59">IF(AND($F387 &gt; 1.1),$E387,"")</f>
        <v/>
      </c>
    </row>
    <row r="388" spans="1:12">
      <c r="A388" t="s">
        <v>304</v>
      </c>
      <c r="B388">
        <v>5</v>
      </c>
      <c r="C388" t="str">
        <f t="shared" si="53"/>
        <v>test.TileRenderor_5_</v>
      </c>
      <c r="D388">
        <v>2</v>
      </c>
      <c r="E388">
        <v>0.84834123222748814</v>
      </c>
      <c r="F388">
        <v>0.30298376480912681</v>
      </c>
      <c r="G388" s="1" t="str">
        <f t="shared" si="54"/>
        <v/>
      </c>
      <c r="H388" s="1">
        <f t="shared" si="55"/>
        <v>0.84834123222748814</v>
      </c>
      <c r="I388" s="1" t="str">
        <f t="shared" si="56"/>
        <v/>
      </c>
      <c r="J388" s="1" t="str">
        <f t="shared" si="57"/>
        <v/>
      </c>
      <c r="K388" s="1" t="str">
        <f t="shared" si="58"/>
        <v/>
      </c>
      <c r="L388" s="1" t="str">
        <f t="shared" si="59"/>
        <v/>
      </c>
    </row>
    <row r="389" spans="1:12">
      <c r="A389" t="s">
        <v>304</v>
      </c>
      <c r="B389">
        <v>5</v>
      </c>
      <c r="C389" t="str">
        <f t="shared" si="53"/>
        <v>test.TileRenderor_5_</v>
      </c>
      <c r="D389">
        <v>3</v>
      </c>
      <c r="E389">
        <v>0.98104265402843605</v>
      </c>
      <c r="F389">
        <v>0.3510311540149188</v>
      </c>
      <c r="G389" s="1" t="str">
        <f t="shared" si="54"/>
        <v/>
      </c>
      <c r="H389" s="1">
        <f t="shared" si="55"/>
        <v>0.98104265402843605</v>
      </c>
      <c r="I389" s="1" t="str">
        <f t="shared" si="56"/>
        <v/>
      </c>
      <c r="J389" s="1" t="str">
        <f t="shared" si="57"/>
        <v/>
      </c>
      <c r="K389" s="1" t="str">
        <f t="shared" si="58"/>
        <v/>
      </c>
      <c r="L389" s="1" t="str">
        <f t="shared" si="59"/>
        <v/>
      </c>
    </row>
    <row r="390" spans="1:12">
      <c r="A390" t="s">
        <v>304</v>
      </c>
      <c r="B390">
        <v>5</v>
      </c>
      <c r="C390" t="str">
        <f t="shared" si="53"/>
        <v>test.TileRenderor_5_</v>
      </c>
      <c r="D390">
        <v>4</v>
      </c>
      <c r="E390">
        <v>1</v>
      </c>
      <c r="F390">
        <v>0.43242650285212814</v>
      </c>
      <c r="G390" s="1" t="str">
        <f t="shared" si="54"/>
        <v/>
      </c>
      <c r="H390" s="1" t="str">
        <f t="shared" si="55"/>
        <v/>
      </c>
      <c r="I390" s="1">
        <f t="shared" si="56"/>
        <v>1</v>
      </c>
      <c r="J390" s="1" t="str">
        <f t="shared" si="57"/>
        <v/>
      </c>
      <c r="K390" s="1" t="str">
        <f t="shared" si="58"/>
        <v/>
      </c>
      <c r="L390" s="1" t="str">
        <f t="shared" si="59"/>
        <v/>
      </c>
    </row>
    <row r="391" spans="1:12">
      <c r="A391" t="s">
        <v>304</v>
      </c>
      <c r="B391">
        <v>6</v>
      </c>
      <c r="C391" t="str">
        <f t="shared" si="53"/>
        <v>test.TileRenderor_6_</v>
      </c>
      <c r="D391">
        <v>5</v>
      </c>
      <c r="E391">
        <v>0.23483870967741935</v>
      </c>
      <c r="F391">
        <v>0.65935411208775063</v>
      </c>
      <c r="G391" s="1" t="str">
        <f t="shared" si="54"/>
        <v/>
      </c>
      <c r="H391" s="1" t="str">
        <f t="shared" si="55"/>
        <v/>
      </c>
      <c r="I391" s="1" t="str">
        <f t="shared" si="56"/>
        <v/>
      </c>
      <c r="J391" s="1">
        <f t="shared" si="57"/>
        <v>0.23483870967741935</v>
      </c>
      <c r="K391" s="1" t="str">
        <f t="shared" si="58"/>
        <v/>
      </c>
      <c r="L391" s="1" t="str">
        <f t="shared" si="59"/>
        <v/>
      </c>
    </row>
    <row r="392" spans="1:12">
      <c r="A392" t="s">
        <v>304</v>
      </c>
      <c r="B392">
        <v>6</v>
      </c>
      <c r="C392" t="str">
        <f t="shared" si="53"/>
        <v>test.TileRenderor_6_</v>
      </c>
      <c r="D392">
        <v>6</v>
      </c>
      <c r="E392">
        <v>0.24645161290322581</v>
      </c>
      <c r="F392">
        <v>0.66336948803956619</v>
      </c>
      <c r="G392" s="1" t="str">
        <f t="shared" si="54"/>
        <v/>
      </c>
      <c r="H392" s="1" t="str">
        <f t="shared" si="55"/>
        <v/>
      </c>
      <c r="I392" s="1" t="str">
        <f t="shared" si="56"/>
        <v/>
      </c>
      <c r="J392" s="1">
        <f t="shared" si="57"/>
        <v>0.24645161290322581</v>
      </c>
      <c r="K392" s="1" t="str">
        <f t="shared" si="58"/>
        <v/>
      </c>
      <c r="L392" s="1" t="str">
        <f t="shared" si="59"/>
        <v/>
      </c>
    </row>
    <row r="393" spans="1:12">
      <c r="A393" t="s">
        <v>304</v>
      </c>
      <c r="B393">
        <v>6</v>
      </c>
      <c r="C393" t="str">
        <f t="shared" si="53"/>
        <v>test.TileRenderor_6_</v>
      </c>
      <c r="D393">
        <v>7</v>
      </c>
      <c r="E393">
        <v>0.24645161290322581</v>
      </c>
      <c r="F393">
        <v>0.66363881203633424</v>
      </c>
      <c r="G393" s="1" t="str">
        <f t="shared" si="54"/>
        <v/>
      </c>
      <c r="H393" s="1" t="str">
        <f t="shared" si="55"/>
        <v/>
      </c>
      <c r="I393" s="1" t="str">
        <f t="shared" si="56"/>
        <v/>
      </c>
      <c r="J393" s="1">
        <f t="shared" si="57"/>
        <v>0.24645161290322581</v>
      </c>
      <c r="K393" s="1" t="str">
        <f t="shared" si="58"/>
        <v/>
      </c>
      <c r="L393" s="1" t="str">
        <f t="shared" si="59"/>
        <v/>
      </c>
    </row>
    <row r="394" spans="1:12">
      <c r="A394" t="s">
        <v>304</v>
      </c>
      <c r="B394">
        <v>6</v>
      </c>
      <c r="C394" t="str">
        <f t="shared" si="53"/>
        <v>test.TileRenderor_6_</v>
      </c>
      <c r="D394">
        <v>8</v>
      </c>
      <c r="E394">
        <v>0.29935483870967744</v>
      </c>
      <c r="F394">
        <v>0.6740934799108782</v>
      </c>
      <c r="G394" s="1" t="str">
        <f t="shared" si="54"/>
        <v/>
      </c>
      <c r="H394" s="1" t="str">
        <f t="shared" si="55"/>
        <v/>
      </c>
      <c r="I394" s="1" t="str">
        <f t="shared" si="56"/>
        <v/>
      </c>
      <c r="J394" s="1">
        <f t="shared" si="57"/>
        <v>0.29935483870967744</v>
      </c>
      <c r="K394" s="1" t="str">
        <f t="shared" si="58"/>
        <v/>
      </c>
      <c r="L394" s="1" t="str">
        <f t="shared" si="59"/>
        <v/>
      </c>
    </row>
    <row r="395" spans="1:12">
      <c r="A395" t="s">
        <v>304</v>
      </c>
      <c r="B395">
        <v>6</v>
      </c>
      <c r="C395" t="str">
        <f t="shared" si="53"/>
        <v>test.TileRenderor_6_</v>
      </c>
      <c r="D395">
        <v>9</v>
      </c>
      <c r="E395">
        <v>0.34451612903225809</v>
      </c>
      <c r="F395">
        <v>0.68205077981539064</v>
      </c>
      <c r="G395" s="1" t="str">
        <f t="shared" si="54"/>
        <v/>
      </c>
      <c r="H395" s="1" t="str">
        <f t="shared" si="55"/>
        <v/>
      </c>
      <c r="I395" s="1" t="str">
        <f t="shared" si="56"/>
        <v/>
      </c>
      <c r="J395" s="1">
        <f t="shared" si="57"/>
        <v>0.34451612903225809</v>
      </c>
      <c r="K395" s="1" t="str">
        <f t="shared" si="58"/>
        <v/>
      </c>
      <c r="L395" s="1" t="str">
        <f t="shared" si="59"/>
        <v/>
      </c>
    </row>
    <row r="396" spans="1:12">
      <c r="A396" t="s">
        <v>304</v>
      </c>
      <c r="B396">
        <v>6</v>
      </c>
      <c r="C396" t="str">
        <f t="shared" si="53"/>
        <v>test.TileRenderor_6_</v>
      </c>
      <c r="D396">
        <v>1</v>
      </c>
      <c r="E396">
        <v>0.38580645161290322</v>
      </c>
      <c r="F396">
        <v>0.68721690375339717</v>
      </c>
      <c r="G396" s="1" t="str">
        <f t="shared" si="54"/>
        <v/>
      </c>
      <c r="H396" s="1" t="str">
        <f t="shared" si="55"/>
        <v/>
      </c>
      <c r="I396" s="1" t="str">
        <f t="shared" si="56"/>
        <v/>
      </c>
      <c r="J396" s="1">
        <f t="shared" si="57"/>
        <v>0.38580645161290322</v>
      </c>
      <c r="K396" s="1" t="str">
        <f t="shared" si="58"/>
        <v/>
      </c>
      <c r="L396" s="1" t="str">
        <f t="shared" si="59"/>
        <v/>
      </c>
    </row>
    <row r="397" spans="1:12">
      <c r="A397" t="s">
        <v>304</v>
      </c>
      <c r="B397">
        <v>6</v>
      </c>
      <c r="C397" t="str">
        <f t="shared" si="53"/>
        <v>test.TileRenderor_6_</v>
      </c>
      <c r="D397">
        <v>2</v>
      </c>
      <c r="E397">
        <v>0.46322580645161288</v>
      </c>
      <c r="F397">
        <v>0.68932252772812963</v>
      </c>
      <c r="G397" s="1" t="str">
        <f t="shared" si="54"/>
        <v/>
      </c>
      <c r="H397" s="1" t="str">
        <f t="shared" si="55"/>
        <v/>
      </c>
      <c r="I397" s="1" t="str">
        <f t="shared" si="56"/>
        <v/>
      </c>
      <c r="J397" s="1">
        <f t="shared" si="57"/>
        <v>0.46322580645161288</v>
      </c>
      <c r="K397" s="1" t="str">
        <f t="shared" si="58"/>
        <v/>
      </c>
      <c r="L397" s="1" t="str">
        <f t="shared" si="59"/>
        <v/>
      </c>
    </row>
    <row r="398" spans="1:12">
      <c r="A398" t="s">
        <v>304</v>
      </c>
      <c r="B398">
        <v>6</v>
      </c>
      <c r="C398" t="str">
        <f t="shared" si="53"/>
        <v>test.TileRenderor_6_</v>
      </c>
      <c r="D398">
        <v>1</v>
      </c>
      <c r="E398">
        <v>0.46322580645161288</v>
      </c>
      <c r="F398">
        <v>0.69164850770021791</v>
      </c>
      <c r="G398" s="1" t="str">
        <f t="shared" si="54"/>
        <v/>
      </c>
      <c r="H398" s="1" t="str">
        <f t="shared" si="55"/>
        <v/>
      </c>
      <c r="I398" s="1" t="str">
        <f t="shared" si="56"/>
        <v/>
      </c>
      <c r="J398" s="1">
        <f t="shared" si="57"/>
        <v>0.46322580645161288</v>
      </c>
      <c r="K398" s="1" t="str">
        <f t="shared" si="58"/>
        <v/>
      </c>
      <c r="L398" s="1" t="str">
        <f t="shared" si="59"/>
        <v/>
      </c>
    </row>
    <row r="399" spans="1:12">
      <c r="A399" t="s">
        <v>304</v>
      </c>
      <c r="B399">
        <v>6</v>
      </c>
      <c r="C399" t="str">
        <f t="shared" si="53"/>
        <v>test.TileRenderor_6_</v>
      </c>
      <c r="D399">
        <v>2</v>
      </c>
      <c r="E399">
        <v>0.47870967741935483</v>
      </c>
      <c r="F399">
        <v>0.6961290796464511</v>
      </c>
      <c r="G399" s="1" t="str">
        <f t="shared" si="54"/>
        <v/>
      </c>
      <c r="H399" s="1" t="str">
        <f t="shared" si="55"/>
        <v/>
      </c>
      <c r="I399" s="1" t="str">
        <f t="shared" si="56"/>
        <v/>
      </c>
      <c r="J399" s="1">
        <f t="shared" si="57"/>
        <v>0.47870967741935483</v>
      </c>
      <c r="K399" s="1" t="str">
        <f t="shared" si="58"/>
        <v/>
      </c>
      <c r="L399" s="1" t="str">
        <f t="shared" si="59"/>
        <v/>
      </c>
    </row>
    <row r="400" spans="1:12">
      <c r="A400" t="s">
        <v>304</v>
      </c>
      <c r="B400">
        <v>6</v>
      </c>
      <c r="C400" t="str">
        <f t="shared" si="53"/>
        <v>test.TileRenderor_6_</v>
      </c>
      <c r="D400">
        <v>3</v>
      </c>
      <c r="E400">
        <v>0.59483870967741936</v>
      </c>
      <c r="F400">
        <v>0.72509365129887615</v>
      </c>
      <c r="G400" s="1" t="str">
        <f t="shared" si="54"/>
        <v/>
      </c>
      <c r="H400" s="1" t="str">
        <f t="shared" si="55"/>
        <v/>
      </c>
      <c r="I400" s="1" t="str">
        <f t="shared" si="56"/>
        <v/>
      </c>
      <c r="J400" s="1">
        <f t="shared" si="57"/>
        <v>0.59483870967741936</v>
      </c>
      <c r="K400" s="1" t="str">
        <f t="shared" si="58"/>
        <v/>
      </c>
      <c r="L400" s="1" t="str">
        <f t="shared" si="59"/>
        <v/>
      </c>
    </row>
    <row r="401" spans="1:12">
      <c r="A401" t="s">
        <v>304</v>
      </c>
      <c r="B401">
        <v>6</v>
      </c>
      <c r="C401" t="str">
        <f t="shared" si="53"/>
        <v>test.TileRenderor_6_</v>
      </c>
      <c r="D401">
        <v>4</v>
      </c>
      <c r="E401">
        <v>0.74709677419354836</v>
      </c>
      <c r="F401">
        <v>0.73956369512523568</v>
      </c>
      <c r="G401" s="1" t="str">
        <f t="shared" si="54"/>
        <v/>
      </c>
      <c r="H401" s="1" t="str">
        <f t="shared" si="55"/>
        <v/>
      </c>
      <c r="I401" s="1" t="str">
        <f t="shared" si="56"/>
        <v/>
      </c>
      <c r="J401" s="1">
        <f t="shared" si="57"/>
        <v>0.74709677419354836</v>
      </c>
      <c r="K401" s="1" t="str">
        <f t="shared" si="58"/>
        <v/>
      </c>
      <c r="L401" s="1" t="str">
        <f t="shared" si="59"/>
        <v/>
      </c>
    </row>
    <row r="402" spans="1:12">
      <c r="A402" t="s">
        <v>304</v>
      </c>
      <c r="B402">
        <v>6</v>
      </c>
      <c r="C402" t="str">
        <f t="shared" si="53"/>
        <v>test.TileRenderor_6_</v>
      </c>
      <c r="D402">
        <v>1</v>
      </c>
      <c r="E402">
        <v>0.90451612903225809</v>
      </c>
      <c r="F402">
        <v>0.74889209901329479</v>
      </c>
      <c r="G402" s="1" t="str">
        <f t="shared" si="54"/>
        <v/>
      </c>
      <c r="H402" s="1" t="str">
        <f t="shared" si="55"/>
        <v/>
      </c>
      <c r="I402" s="1" t="str">
        <f t="shared" si="56"/>
        <v/>
      </c>
      <c r="J402" s="1">
        <f t="shared" si="57"/>
        <v>0.90451612903225809</v>
      </c>
      <c r="K402" s="1" t="str">
        <f t="shared" si="58"/>
        <v/>
      </c>
      <c r="L402" s="1" t="str">
        <f t="shared" si="59"/>
        <v/>
      </c>
    </row>
    <row r="403" spans="1:12">
      <c r="A403" t="s">
        <v>304</v>
      </c>
      <c r="B403">
        <v>6</v>
      </c>
      <c r="C403" t="str">
        <f t="shared" si="53"/>
        <v>test.TileRenderor_6_</v>
      </c>
      <c r="D403">
        <v>2</v>
      </c>
      <c r="E403">
        <v>0.92</v>
      </c>
      <c r="F403">
        <v>0.79786009842567884</v>
      </c>
      <c r="G403" s="1" t="str">
        <f t="shared" si="54"/>
        <v/>
      </c>
      <c r="H403" s="1" t="str">
        <f t="shared" si="55"/>
        <v/>
      </c>
      <c r="I403" s="1" t="str">
        <f t="shared" si="56"/>
        <v/>
      </c>
      <c r="J403" s="1">
        <f t="shared" si="57"/>
        <v>0.92</v>
      </c>
      <c r="K403" s="1" t="str">
        <f t="shared" si="58"/>
        <v/>
      </c>
      <c r="L403" s="1" t="str">
        <f t="shared" si="59"/>
        <v/>
      </c>
    </row>
    <row r="404" spans="1:12">
      <c r="A404" t="s">
        <v>304</v>
      </c>
      <c r="B404">
        <v>6</v>
      </c>
      <c r="C404" t="str">
        <f t="shared" si="53"/>
        <v>test.TileRenderor_6_</v>
      </c>
      <c r="D404">
        <v>3</v>
      </c>
      <c r="E404">
        <v>0.93548387096774188</v>
      </c>
      <c r="F404">
        <v>0.80003917439952987</v>
      </c>
      <c r="G404" s="1" t="str">
        <f t="shared" si="54"/>
        <v/>
      </c>
      <c r="H404" s="1" t="str">
        <f t="shared" si="55"/>
        <v/>
      </c>
      <c r="I404" s="1" t="str">
        <f t="shared" si="56"/>
        <v/>
      </c>
      <c r="J404" s="1" t="str">
        <f t="shared" si="57"/>
        <v/>
      </c>
      <c r="K404" s="1">
        <f t="shared" si="58"/>
        <v>0.93548387096774188</v>
      </c>
      <c r="L404" s="1" t="str">
        <f t="shared" si="59"/>
        <v/>
      </c>
    </row>
    <row r="405" spans="1:12">
      <c r="A405" t="s">
        <v>304</v>
      </c>
      <c r="B405">
        <v>6</v>
      </c>
      <c r="C405" t="str">
        <f t="shared" si="53"/>
        <v>test.TileRenderor_6_</v>
      </c>
      <c r="D405">
        <v>4</v>
      </c>
      <c r="E405">
        <v>1</v>
      </c>
      <c r="F405">
        <v>0.80625811032490269</v>
      </c>
      <c r="G405" s="1" t="str">
        <f t="shared" si="54"/>
        <v/>
      </c>
      <c r="H405" s="1" t="str">
        <f t="shared" si="55"/>
        <v/>
      </c>
      <c r="I405" s="1" t="str">
        <f t="shared" si="56"/>
        <v/>
      </c>
      <c r="J405" s="1" t="str">
        <f t="shared" si="57"/>
        <v/>
      </c>
      <c r="K405" s="1">
        <f t="shared" si="58"/>
        <v>1</v>
      </c>
      <c r="L405" s="1" t="str">
        <f t="shared" si="59"/>
        <v/>
      </c>
    </row>
    <row r="406" spans="1:12">
      <c r="A406" t="s">
        <v>155</v>
      </c>
      <c r="B406">
        <v>9</v>
      </c>
      <c r="C406" t="str">
        <f t="shared" si="53"/>
        <v>test.TIFFFaxDecoder_9_</v>
      </c>
      <c r="D406">
        <v>5</v>
      </c>
      <c r="E406">
        <v>0.25</v>
      </c>
      <c r="F406">
        <v>0.24675324675324675</v>
      </c>
      <c r="G406" s="1" t="str">
        <f t="shared" si="54"/>
        <v/>
      </c>
      <c r="H406" s="1">
        <f t="shared" si="55"/>
        <v>0.25</v>
      </c>
      <c r="I406" s="1" t="str">
        <f t="shared" si="56"/>
        <v/>
      </c>
      <c r="J406" s="1" t="str">
        <f t="shared" si="57"/>
        <v/>
      </c>
      <c r="K406" s="1" t="str">
        <f t="shared" si="58"/>
        <v/>
      </c>
      <c r="L406" s="1" t="str">
        <f t="shared" si="59"/>
        <v/>
      </c>
    </row>
    <row r="407" spans="1:12">
      <c r="A407" t="s">
        <v>155</v>
      </c>
      <c r="B407">
        <v>9</v>
      </c>
      <c r="C407" t="str">
        <f t="shared" si="53"/>
        <v>test.TIFFFaxDecoder_9_</v>
      </c>
      <c r="D407">
        <v>6</v>
      </c>
      <c r="E407">
        <v>0.3888888888888889</v>
      </c>
      <c r="F407">
        <v>0.24935064935064935</v>
      </c>
      <c r="G407" s="1" t="str">
        <f t="shared" si="54"/>
        <v/>
      </c>
      <c r="H407" s="1">
        <f t="shared" si="55"/>
        <v>0.3888888888888889</v>
      </c>
      <c r="I407" s="1" t="str">
        <f t="shared" si="56"/>
        <v/>
      </c>
      <c r="J407" s="1" t="str">
        <f t="shared" si="57"/>
        <v/>
      </c>
      <c r="K407" s="1" t="str">
        <f t="shared" si="58"/>
        <v/>
      </c>
      <c r="L407" s="1" t="str">
        <f t="shared" si="59"/>
        <v/>
      </c>
    </row>
    <row r="408" spans="1:12">
      <c r="A408" t="s">
        <v>155</v>
      </c>
      <c r="B408">
        <v>9</v>
      </c>
      <c r="C408" t="str">
        <f t="shared" si="53"/>
        <v>test.TIFFFaxDecoder_9_</v>
      </c>
      <c r="D408">
        <v>7</v>
      </c>
      <c r="E408">
        <v>0.41666666666666669</v>
      </c>
      <c r="F408">
        <v>0.26363636363636361</v>
      </c>
      <c r="G408" s="1" t="str">
        <f t="shared" si="54"/>
        <v/>
      </c>
      <c r="H408" s="1">
        <f t="shared" si="55"/>
        <v>0.41666666666666669</v>
      </c>
      <c r="I408" s="1" t="str">
        <f t="shared" si="56"/>
        <v/>
      </c>
      <c r="J408" s="1" t="str">
        <f t="shared" si="57"/>
        <v/>
      </c>
      <c r="K408" s="1" t="str">
        <f t="shared" si="58"/>
        <v/>
      </c>
      <c r="L408" s="1" t="str">
        <f t="shared" si="59"/>
        <v/>
      </c>
    </row>
    <row r="409" spans="1:12">
      <c r="A409" t="s">
        <v>155</v>
      </c>
      <c r="B409">
        <v>9</v>
      </c>
      <c r="C409" t="str">
        <f t="shared" si="53"/>
        <v>test.TIFFFaxDecoder_9_</v>
      </c>
      <c r="D409">
        <v>8</v>
      </c>
      <c r="E409">
        <v>0.55555555555555558</v>
      </c>
      <c r="F409">
        <v>0.2844155844155844</v>
      </c>
      <c r="G409" s="1" t="str">
        <f t="shared" si="54"/>
        <v/>
      </c>
      <c r="H409" s="1">
        <f t="shared" si="55"/>
        <v>0.55555555555555558</v>
      </c>
      <c r="I409" s="1" t="str">
        <f t="shared" si="56"/>
        <v/>
      </c>
      <c r="J409" s="1" t="str">
        <f t="shared" si="57"/>
        <v/>
      </c>
      <c r="K409" s="1" t="str">
        <f t="shared" si="58"/>
        <v/>
      </c>
      <c r="L409" s="1" t="str">
        <f t="shared" si="59"/>
        <v/>
      </c>
    </row>
    <row r="410" spans="1:12">
      <c r="A410" t="s">
        <v>155</v>
      </c>
      <c r="B410">
        <v>9</v>
      </c>
      <c r="C410" t="str">
        <f t="shared" si="53"/>
        <v>test.TIFFFaxDecoder_9_</v>
      </c>
      <c r="D410">
        <v>9</v>
      </c>
      <c r="E410">
        <v>0.69444444444444442</v>
      </c>
      <c r="F410">
        <v>0.31818181818181818</v>
      </c>
      <c r="G410" s="1" t="str">
        <f t="shared" si="54"/>
        <v/>
      </c>
      <c r="H410" s="1">
        <f t="shared" si="55"/>
        <v>0.69444444444444442</v>
      </c>
      <c r="I410" s="1" t="str">
        <f t="shared" si="56"/>
        <v/>
      </c>
      <c r="J410" s="1" t="str">
        <f t="shared" si="57"/>
        <v/>
      </c>
      <c r="K410" s="1" t="str">
        <f t="shared" si="58"/>
        <v/>
      </c>
      <c r="L410" s="1" t="str">
        <f t="shared" si="59"/>
        <v/>
      </c>
    </row>
    <row r="411" spans="1:12">
      <c r="A411" t="s">
        <v>155</v>
      </c>
      <c r="B411">
        <v>9</v>
      </c>
      <c r="C411" t="str">
        <f t="shared" si="53"/>
        <v>test.TIFFFaxDecoder_9_</v>
      </c>
      <c r="D411">
        <v>10</v>
      </c>
      <c r="E411">
        <v>0.69444444444444442</v>
      </c>
      <c r="F411">
        <v>0.32077922077922078</v>
      </c>
      <c r="G411" s="1" t="str">
        <f t="shared" si="54"/>
        <v/>
      </c>
      <c r="H411" s="1">
        <f t="shared" si="55"/>
        <v>0.69444444444444442</v>
      </c>
      <c r="I411" s="1" t="str">
        <f t="shared" si="56"/>
        <v/>
      </c>
      <c r="J411" s="1" t="str">
        <f t="shared" si="57"/>
        <v/>
      </c>
      <c r="K411" s="1" t="str">
        <f t="shared" si="58"/>
        <v/>
      </c>
      <c r="L411" s="1" t="str">
        <f t="shared" si="59"/>
        <v/>
      </c>
    </row>
    <row r="412" spans="1:12">
      <c r="A412" t="s">
        <v>155</v>
      </c>
      <c r="B412">
        <v>9</v>
      </c>
      <c r="C412" t="str">
        <f t="shared" si="53"/>
        <v>test.TIFFFaxDecoder_9_</v>
      </c>
      <c r="D412">
        <v>11</v>
      </c>
      <c r="E412">
        <v>0.69444444444444442</v>
      </c>
      <c r="F412">
        <v>0.32337662337662337</v>
      </c>
      <c r="G412" s="1" t="str">
        <f t="shared" si="54"/>
        <v/>
      </c>
      <c r="H412" s="1">
        <f t="shared" si="55"/>
        <v>0.69444444444444442</v>
      </c>
      <c r="I412" s="1" t="str">
        <f t="shared" si="56"/>
        <v/>
      </c>
      <c r="J412" s="1" t="str">
        <f t="shared" si="57"/>
        <v/>
      </c>
      <c r="K412" s="1" t="str">
        <f t="shared" si="58"/>
        <v/>
      </c>
      <c r="L412" s="1" t="str">
        <f t="shared" si="59"/>
        <v/>
      </c>
    </row>
    <row r="413" spans="1:12">
      <c r="A413" t="s">
        <v>155</v>
      </c>
      <c r="B413">
        <v>9</v>
      </c>
      <c r="C413" t="str">
        <f t="shared" si="53"/>
        <v>test.TIFFFaxDecoder_9_</v>
      </c>
      <c r="D413">
        <v>1</v>
      </c>
      <c r="E413">
        <v>0.69444444444444442</v>
      </c>
      <c r="F413">
        <v>0.32597402597402597</v>
      </c>
      <c r="G413" s="1" t="str">
        <f t="shared" si="54"/>
        <v/>
      </c>
      <c r="H413" s="1">
        <f t="shared" si="55"/>
        <v>0.69444444444444442</v>
      </c>
      <c r="I413" s="1" t="str">
        <f t="shared" si="56"/>
        <v/>
      </c>
      <c r="J413" s="1" t="str">
        <f t="shared" si="57"/>
        <v/>
      </c>
      <c r="K413" s="1" t="str">
        <f t="shared" si="58"/>
        <v/>
      </c>
      <c r="L413" s="1" t="str">
        <f t="shared" si="59"/>
        <v/>
      </c>
    </row>
    <row r="414" spans="1:12">
      <c r="A414" t="s">
        <v>155</v>
      </c>
      <c r="B414">
        <v>9</v>
      </c>
      <c r="C414" t="str">
        <f t="shared" si="53"/>
        <v>test.TIFFFaxDecoder_9_</v>
      </c>
      <c r="D414">
        <v>2</v>
      </c>
      <c r="E414">
        <v>0.69444444444444442</v>
      </c>
      <c r="F414">
        <v>0.39350649350649353</v>
      </c>
      <c r="G414" s="1" t="str">
        <f t="shared" si="54"/>
        <v/>
      </c>
      <c r="H414" s="1">
        <f t="shared" si="55"/>
        <v>0.69444444444444442</v>
      </c>
      <c r="I414" s="1" t="str">
        <f t="shared" si="56"/>
        <v/>
      </c>
      <c r="J414" s="1" t="str">
        <f t="shared" si="57"/>
        <v/>
      </c>
      <c r="K414" s="1" t="str">
        <f t="shared" si="58"/>
        <v/>
      </c>
      <c r="L414" s="1" t="str">
        <f t="shared" si="59"/>
        <v/>
      </c>
    </row>
    <row r="415" spans="1:12">
      <c r="A415" t="s">
        <v>155</v>
      </c>
      <c r="B415">
        <v>9</v>
      </c>
      <c r="C415" t="str">
        <f t="shared" si="53"/>
        <v>test.TIFFFaxDecoder_9_</v>
      </c>
      <c r="D415">
        <v>3</v>
      </c>
      <c r="E415">
        <v>0.69444444444444442</v>
      </c>
      <c r="F415">
        <v>0.39480519480519483</v>
      </c>
      <c r="G415" s="1" t="str">
        <f t="shared" si="54"/>
        <v/>
      </c>
      <c r="H415" s="1">
        <f t="shared" si="55"/>
        <v>0.69444444444444442</v>
      </c>
      <c r="I415" s="1" t="str">
        <f t="shared" si="56"/>
        <v/>
      </c>
      <c r="J415" s="1" t="str">
        <f t="shared" si="57"/>
        <v/>
      </c>
      <c r="K415" s="1" t="str">
        <f t="shared" si="58"/>
        <v/>
      </c>
      <c r="L415" s="1" t="str">
        <f t="shared" si="59"/>
        <v/>
      </c>
    </row>
    <row r="416" spans="1:12">
      <c r="A416" t="s">
        <v>155</v>
      </c>
      <c r="B416">
        <v>9</v>
      </c>
      <c r="C416" t="str">
        <f t="shared" si="53"/>
        <v>test.TIFFFaxDecoder_9_</v>
      </c>
      <c r="D416">
        <v>4</v>
      </c>
      <c r="E416">
        <v>0.69444444444444442</v>
      </c>
      <c r="F416">
        <v>0.40129870129870132</v>
      </c>
      <c r="G416" s="1" t="str">
        <f t="shared" si="54"/>
        <v/>
      </c>
      <c r="H416" s="1" t="str">
        <f t="shared" si="55"/>
        <v/>
      </c>
      <c r="I416" s="1">
        <f t="shared" si="56"/>
        <v>0.69444444444444442</v>
      </c>
      <c r="J416" s="1" t="str">
        <f t="shared" si="57"/>
        <v/>
      </c>
      <c r="K416" s="1" t="str">
        <f t="shared" si="58"/>
        <v/>
      </c>
      <c r="L416" s="1" t="str">
        <f t="shared" si="59"/>
        <v/>
      </c>
    </row>
    <row r="417" spans="1:12">
      <c r="A417" t="s">
        <v>155</v>
      </c>
      <c r="B417">
        <v>9</v>
      </c>
      <c r="C417" t="str">
        <f t="shared" si="53"/>
        <v>test.TIFFFaxDecoder_9_</v>
      </c>
      <c r="D417">
        <v>1</v>
      </c>
      <c r="E417">
        <v>0.83333333333333337</v>
      </c>
      <c r="F417">
        <v>0.45844155844155843</v>
      </c>
      <c r="G417" s="1" t="str">
        <f t="shared" si="54"/>
        <v/>
      </c>
      <c r="H417" s="1" t="str">
        <f t="shared" si="55"/>
        <v/>
      </c>
      <c r="I417" s="1">
        <f t="shared" si="56"/>
        <v>0.83333333333333337</v>
      </c>
      <c r="J417" s="1" t="str">
        <f t="shared" si="57"/>
        <v/>
      </c>
      <c r="K417" s="1" t="str">
        <f t="shared" si="58"/>
        <v/>
      </c>
      <c r="L417" s="1" t="str">
        <f t="shared" si="59"/>
        <v/>
      </c>
    </row>
    <row r="418" spans="1:12">
      <c r="A418" t="s">
        <v>155</v>
      </c>
      <c r="B418">
        <v>9</v>
      </c>
      <c r="C418" t="str">
        <f t="shared" si="53"/>
        <v>test.TIFFFaxDecoder_9_</v>
      </c>
      <c r="D418">
        <v>2</v>
      </c>
      <c r="E418">
        <v>0.83333333333333337</v>
      </c>
      <c r="F418">
        <v>0.46363636363636362</v>
      </c>
      <c r="G418" s="1" t="str">
        <f t="shared" si="54"/>
        <v/>
      </c>
      <c r="H418" s="1" t="str">
        <f t="shared" si="55"/>
        <v/>
      </c>
      <c r="I418" s="1">
        <f t="shared" si="56"/>
        <v>0.83333333333333337</v>
      </c>
      <c r="J418" s="1" t="str">
        <f t="shared" si="57"/>
        <v/>
      </c>
      <c r="K418" s="1" t="str">
        <f t="shared" si="58"/>
        <v/>
      </c>
      <c r="L418" s="1" t="str">
        <f t="shared" si="59"/>
        <v/>
      </c>
    </row>
    <row r="419" spans="1:12">
      <c r="A419" t="s">
        <v>155</v>
      </c>
      <c r="B419">
        <v>9</v>
      </c>
      <c r="C419" t="str">
        <f t="shared" si="53"/>
        <v>test.TIFFFaxDecoder_9_</v>
      </c>
      <c r="D419">
        <v>3</v>
      </c>
      <c r="E419">
        <v>0.83333333333333337</v>
      </c>
      <c r="F419">
        <v>0.46753246753246752</v>
      </c>
      <c r="G419" s="1" t="str">
        <f t="shared" si="54"/>
        <v/>
      </c>
      <c r="H419" s="1" t="str">
        <f t="shared" si="55"/>
        <v/>
      </c>
      <c r="I419" s="1">
        <f t="shared" si="56"/>
        <v>0.83333333333333337</v>
      </c>
      <c r="J419" s="1" t="str">
        <f t="shared" si="57"/>
        <v/>
      </c>
      <c r="K419" s="1" t="str">
        <f t="shared" si="58"/>
        <v/>
      </c>
      <c r="L419" s="1" t="str">
        <f t="shared" si="59"/>
        <v/>
      </c>
    </row>
    <row r="420" spans="1:12">
      <c r="A420" t="s">
        <v>155</v>
      </c>
      <c r="B420">
        <v>9</v>
      </c>
      <c r="C420" t="str">
        <f t="shared" si="53"/>
        <v>test.TIFFFaxDecoder_9_</v>
      </c>
      <c r="D420">
        <v>4</v>
      </c>
      <c r="E420">
        <v>1</v>
      </c>
      <c r="F420">
        <v>0.62207792207792212</v>
      </c>
      <c r="G420" s="1" t="str">
        <f t="shared" si="54"/>
        <v/>
      </c>
      <c r="H420" s="1" t="str">
        <f t="shared" si="55"/>
        <v/>
      </c>
      <c r="I420" s="1" t="str">
        <f t="shared" si="56"/>
        <v/>
      </c>
      <c r="J420" s="1">
        <f t="shared" si="57"/>
        <v>1</v>
      </c>
      <c r="K420" s="1" t="str">
        <f t="shared" si="58"/>
        <v/>
      </c>
      <c r="L420" s="1" t="str">
        <f t="shared" si="59"/>
        <v/>
      </c>
    </row>
    <row r="421" spans="1:12">
      <c r="A421" t="s">
        <v>155</v>
      </c>
      <c r="B421">
        <v>9</v>
      </c>
      <c r="C421" t="str">
        <f t="shared" si="53"/>
        <v>test.TIFFFaxDecoder_9_</v>
      </c>
      <c r="D421">
        <v>1</v>
      </c>
      <c r="E421">
        <v>1</v>
      </c>
      <c r="F421">
        <v>0.62597402597402596</v>
      </c>
      <c r="G421" s="1" t="str">
        <f t="shared" si="54"/>
        <v/>
      </c>
      <c r="H421" s="1" t="str">
        <f t="shared" si="55"/>
        <v/>
      </c>
      <c r="I421" s="1" t="str">
        <f t="shared" si="56"/>
        <v/>
      </c>
      <c r="J421" s="1">
        <f t="shared" si="57"/>
        <v>1</v>
      </c>
      <c r="K421" s="1" t="str">
        <f t="shared" si="58"/>
        <v/>
      </c>
      <c r="L421" s="1" t="str">
        <f t="shared" si="59"/>
        <v/>
      </c>
    </row>
    <row r="422" spans="1:12">
      <c r="A422" t="s">
        <v>155</v>
      </c>
      <c r="B422">
        <v>9</v>
      </c>
      <c r="C422" t="str">
        <f t="shared" si="53"/>
        <v>test.TIFFFaxDecoder_9_</v>
      </c>
      <c r="D422">
        <v>2</v>
      </c>
      <c r="E422">
        <v>1</v>
      </c>
      <c r="F422">
        <v>0.72337662337662334</v>
      </c>
      <c r="G422" s="1" t="str">
        <f t="shared" si="54"/>
        <v/>
      </c>
      <c r="H422" s="1" t="str">
        <f t="shared" si="55"/>
        <v/>
      </c>
      <c r="I422" s="1" t="str">
        <f t="shared" si="56"/>
        <v/>
      </c>
      <c r="J422" s="1">
        <f t="shared" si="57"/>
        <v>1</v>
      </c>
      <c r="K422" s="1" t="str">
        <f t="shared" si="58"/>
        <v/>
      </c>
      <c r="L422" s="1" t="str">
        <f t="shared" si="59"/>
        <v/>
      </c>
    </row>
    <row r="423" spans="1:12">
      <c r="A423" t="s">
        <v>155</v>
      </c>
      <c r="B423">
        <v>9</v>
      </c>
      <c r="C423" t="str">
        <f t="shared" si="53"/>
        <v>test.TIFFFaxDecoder_9_</v>
      </c>
      <c r="D423">
        <v>1</v>
      </c>
      <c r="E423">
        <v>1</v>
      </c>
      <c r="F423">
        <v>0.72467532467532469</v>
      </c>
      <c r="G423" s="1" t="str">
        <f t="shared" si="54"/>
        <v/>
      </c>
      <c r="H423" s="1" t="str">
        <f t="shared" si="55"/>
        <v/>
      </c>
      <c r="I423" s="1" t="str">
        <f t="shared" si="56"/>
        <v/>
      </c>
      <c r="J423" s="1">
        <f t="shared" si="57"/>
        <v>1</v>
      </c>
      <c r="K423" s="1" t="str">
        <f t="shared" si="58"/>
        <v/>
      </c>
      <c r="L423" s="1" t="str">
        <f t="shared" si="59"/>
        <v/>
      </c>
    </row>
    <row r="424" spans="1:12">
      <c r="A424" t="s">
        <v>155</v>
      </c>
      <c r="B424">
        <v>10</v>
      </c>
      <c r="C424" t="str">
        <f t="shared" si="53"/>
        <v>test.TIFFFaxDecoder_10_</v>
      </c>
      <c r="D424">
        <v>2</v>
      </c>
      <c r="E424">
        <v>0.9</v>
      </c>
      <c r="F424">
        <v>0.94444444444444442</v>
      </c>
      <c r="G424" s="1" t="str">
        <f t="shared" si="54"/>
        <v/>
      </c>
      <c r="H424" s="1" t="str">
        <f t="shared" si="55"/>
        <v/>
      </c>
      <c r="I424" s="1" t="str">
        <f t="shared" si="56"/>
        <v/>
      </c>
      <c r="J424" s="1" t="str">
        <f t="shared" si="57"/>
        <v/>
      </c>
      <c r="K424" s="1">
        <f t="shared" si="58"/>
        <v>0.9</v>
      </c>
      <c r="L424" s="1" t="str">
        <f t="shared" si="59"/>
        <v/>
      </c>
    </row>
    <row r="425" spans="1:12">
      <c r="A425" t="s">
        <v>155</v>
      </c>
      <c r="B425">
        <v>10</v>
      </c>
      <c r="C425" t="str">
        <f t="shared" si="53"/>
        <v>test.TIFFFaxDecoder_10_</v>
      </c>
      <c r="D425">
        <v>1</v>
      </c>
      <c r="E425">
        <v>1</v>
      </c>
      <c r="F425">
        <v>0.96888888888888891</v>
      </c>
      <c r="G425" s="1" t="str">
        <f t="shared" si="54"/>
        <v/>
      </c>
      <c r="H425" s="1" t="str">
        <f t="shared" si="55"/>
        <v/>
      </c>
      <c r="I425" s="1" t="str">
        <f t="shared" si="56"/>
        <v/>
      </c>
      <c r="J425" s="1" t="str">
        <f t="shared" si="57"/>
        <v/>
      </c>
      <c r="K425" s="1">
        <f t="shared" si="58"/>
        <v>1</v>
      </c>
      <c r="L425" s="1" t="str">
        <f t="shared" si="59"/>
        <v/>
      </c>
    </row>
    <row r="426" spans="1:12">
      <c r="A426" t="s">
        <v>155</v>
      </c>
      <c r="B426">
        <v>10</v>
      </c>
      <c r="C426" t="str">
        <f t="shared" si="53"/>
        <v>test.TIFFFaxDecoder_10_</v>
      </c>
      <c r="D426">
        <v>2</v>
      </c>
      <c r="E426">
        <v>1</v>
      </c>
      <c r="F426">
        <v>0.97777777777777775</v>
      </c>
      <c r="G426" s="1" t="str">
        <f t="shared" si="54"/>
        <v/>
      </c>
      <c r="H426" s="1" t="str">
        <f t="shared" si="55"/>
        <v/>
      </c>
      <c r="I426" s="1" t="str">
        <f t="shared" si="56"/>
        <v/>
      </c>
      <c r="J426" s="1" t="str">
        <f t="shared" si="57"/>
        <v/>
      </c>
      <c r="K426" s="1">
        <f t="shared" si="58"/>
        <v>1</v>
      </c>
      <c r="L426" s="1" t="str">
        <f t="shared" si="59"/>
        <v/>
      </c>
    </row>
    <row r="427" spans="1:12">
      <c r="A427" t="s">
        <v>155</v>
      </c>
      <c r="B427">
        <v>10</v>
      </c>
      <c r="C427" t="str">
        <f t="shared" si="53"/>
        <v>test.TIFFFaxDecoder_10_</v>
      </c>
      <c r="D427">
        <v>3</v>
      </c>
      <c r="E427">
        <v>1</v>
      </c>
      <c r="F427">
        <v>1.0033333333333334</v>
      </c>
      <c r="G427" s="1" t="str">
        <f t="shared" si="54"/>
        <v/>
      </c>
      <c r="H427" s="1" t="str">
        <f t="shared" si="55"/>
        <v/>
      </c>
      <c r="I427" s="1" t="str">
        <f t="shared" si="56"/>
        <v/>
      </c>
      <c r="J427" s="1" t="str">
        <f t="shared" si="57"/>
        <v/>
      </c>
      <c r="K427" s="1">
        <f t="shared" si="58"/>
        <v>1</v>
      </c>
      <c r="L427" s="1" t="str">
        <f t="shared" si="59"/>
        <v/>
      </c>
    </row>
    <row r="428" spans="1:12">
      <c r="A428" t="s">
        <v>155</v>
      </c>
      <c r="B428">
        <v>11</v>
      </c>
      <c r="C428" t="str">
        <f t="shared" si="53"/>
        <v>test.TIFFFaxDecoder_11_</v>
      </c>
      <c r="D428">
        <v>4</v>
      </c>
      <c r="E428">
        <v>0.10227272727272728</v>
      </c>
      <c r="F428">
        <v>0.11202013845185652</v>
      </c>
      <c r="G428" s="1">
        <f t="shared" si="54"/>
        <v>0.10227272727272728</v>
      </c>
      <c r="H428" s="1" t="str">
        <f t="shared" si="55"/>
        <v/>
      </c>
      <c r="I428" s="1" t="str">
        <f t="shared" si="56"/>
        <v/>
      </c>
      <c r="J428" s="1" t="str">
        <f t="shared" si="57"/>
        <v/>
      </c>
      <c r="K428" s="1" t="str">
        <f t="shared" si="58"/>
        <v/>
      </c>
      <c r="L428" s="1" t="str">
        <f t="shared" si="59"/>
        <v/>
      </c>
    </row>
    <row r="429" spans="1:12">
      <c r="A429" t="s">
        <v>155</v>
      </c>
      <c r="B429">
        <v>11</v>
      </c>
      <c r="C429" t="str">
        <f t="shared" si="53"/>
        <v>test.TIFFFaxDecoder_11_</v>
      </c>
      <c r="D429">
        <v>1</v>
      </c>
      <c r="E429">
        <v>0.44318181818181818</v>
      </c>
      <c r="F429">
        <v>0.43612334801762115</v>
      </c>
      <c r="G429" s="1" t="str">
        <f t="shared" si="54"/>
        <v/>
      </c>
      <c r="H429" s="1" t="str">
        <f t="shared" si="55"/>
        <v/>
      </c>
      <c r="I429" s="1">
        <f t="shared" si="56"/>
        <v>0.44318181818181818</v>
      </c>
      <c r="J429" s="1" t="str">
        <f t="shared" si="57"/>
        <v/>
      </c>
      <c r="K429" s="1" t="str">
        <f t="shared" si="58"/>
        <v/>
      </c>
      <c r="L429" s="1" t="str">
        <f t="shared" si="59"/>
        <v/>
      </c>
    </row>
    <row r="430" spans="1:12">
      <c r="A430" t="s">
        <v>155</v>
      </c>
      <c r="B430">
        <v>11</v>
      </c>
      <c r="C430" t="str">
        <f t="shared" si="53"/>
        <v>test.TIFFFaxDecoder_11_</v>
      </c>
      <c r="D430">
        <v>2</v>
      </c>
      <c r="E430">
        <v>0.54545454545454541</v>
      </c>
      <c r="F430">
        <v>0.46381371932032722</v>
      </c>
      <c r="G430" s="1" t="str">
        <f t="shared" si="54"/>
        <v/>
      </c>
      <c r="H430" s="1" t="str">
        <f t="shared" si="55"/>
        <v/>
      </c>
      <c r="I430" s="1">
        <f t="shared" si="56"/>
        <v>0.54545454545454541</v>
      </c>
      <c r="J430" s="1" t="str">
        <f t="shared" si="57"/>
        <v/>
      </c>
      <c r="K430" s="1" t="str">
        <f t="shared" si="58"/>
        <v/>
      </c>
      <c r="L430" s="1" t="str">
        <f t="shared" si="59"/>
        <v/>
      </c>
    </row>
    <row r="431" spans="1:12">
      <c r="A431" t="s">
        <v>155</v>
      </c>
      <c r="B431">
        <v>11</v>
      </c>
      <c r="C431" t="str">
        <f t="shared" si="53"/>
        <v>test.TIFFFaxDecoder_11_</v>
      </c>
      <c r="D431">
        <v>3</v>
      </c>
      <c r="E431">
        <v>0.63636363636363635</v>
      </c>
      <c r="F431">
        <v>0.47199496538703589</v>
      </c>
      <c r="G431" s="1" t="str">
        <f t="shared" si="54"/>
        <v/>
      </c>
      <c r="H431" s="1" t="str">
        <f t="shared" si="55"/>
        <v/>
      </c>
      <c r="I431" s="1">
        <f t="shared" si="56"/>
        <v>0.63636363636363635</v>
      </c>
      <c r="J431" s="1" t="str">
        <f t="shared" si="57"/>
        <v/>
      </c>
      <c r="K431" s="1" t="str">
        <f t="shared" si="58"/>
        <v/>
      </c>
      <c r="L431" s="1" t="str">
        <f t="shared" si="59"/>
        <v/>
      </c>
    </row>
    <row r="432" spans="1:12">
      <c r="A432" t="s">
        <v>155</v>
      </c>
      <c r="B432">
        <v>11</v>
      </c>
      <c r="C432" t="str">
        <f t="shared" si="53"/>
        <v>test.TIFFFaxDecoder_11_</v>
      </c>
      <c r="D432">
        <v>4</v>
      </c>
      <c r="E432">
        <v>0.65909090909090906</v>
      </c>
      <c r="F432">
        <v>0.47388294524858404</v>
      </c>
      <c r="G432" s="1" t="str">
        <f t="shared" si="54"/>
        <v/>
      </c>
      <c r="H432" s="1" t="str">
        <f t="shared" si="55"/>
        <v/>
      </c>
      <c r="I432" s="1">
        <f t="shared" si="56"/>
        <v>0.65909090909090906</v>
      </c>
      <c r="J432" s="1" t="str">
        <f t="shared" si="57"/>
        <v/>
      </c>
      <c r="K432" s="1" t="str">
        <f t="shared" si="58"/>
        <v/>
      </c>
      <c r="L432" s="1" t="str">
        <f t="shared" si="59"/>
        <v/>
      </c>
    </row>
    <row r="433" spans="1:12">
      <c r="A433" t="s">
        <v>155</v>
      </c>
      <c r="B433">
        <v>11</v>
      </c>
      <c r="C433" t="str">
        <f t="shared" si="53"/>
        <v>test.TIFFFaxDecoder_11_</v>
      </c>
      <c r="D433">
        <v>1</v>
      </c>
      <c r="E433">
        <v>0.65909090909090906</v>
      </c>
      <c r="F433">
        <v>0.4858401510383889</v>
      </c>
      <c r="G433" s="1" t="str">
        <f t="shared" si="54"/>
        <v/>
      </c>
      <c r="H433" s="1" t="str">
        <f t="shared" si="55"/>
        <v/>
      </c>
      <c r="I433" s="1">
        <f t="shared" si="56"/>
        <v>0.65909090909090906</v>
      </c>
      <c r="J433" s="1" t="str">
        <f t="shared" si="57"/>
        <v/>
      </c>
      <c r="K433" s="1" t="str">
        <f t="shared" si="58"/>
        <v/>
      </c>
      <c r="L433" s="1" t="str">
        <f t="shared" si="59"/>
        <v/>
      </c>
    </row>
    <row r="434" spans="1:12">
      <c r="A434" t="s">
        <v>155</v>
      </c>
      <c r="B434">
        <v>11</v>
      </c>
      <c r="C434" t="str">
        <f t="shared" si="53"/>
        <v>test.TIFFFaxDecoder_11_</v>
      </c>
      <c r="D434">
        <v>2</v>
      </c>
      <c r="E434">
        <v>0.65909090909090906</v>
      </c>
      <c r="F434">
        <v>0.50031466331025798</v>
      </c>
      <c r="G434" s="1" t="str">
        <f t="shared" si="54"/>
        <v/>
      </c>
      <c r="H434" s="1" t="str">
        <f t="shared" si="55"/>
        <v/>
      </c>
      <c r="I434" s="1">
        <f t="shared" si="56"/>
        <v>0.65909090909090906</v>
      </c>
      <c r="J434" s="1" t="str">
        <f t="shared" si="57"/>
        <v/>
      </c>
      <c r="K434" s="1" t="str">
        <f t="shared" si="58"/>
        <v/>
      </c>
      <c r="L434" s="1" t="str">
        <f t="shared" si="59"/>
        <v/>
      </c>
    </row>
    <row r="435" spans="1:12">
      <c r="A435" t="s">
        <v>155</v>
      </c>
      <c r="B435">
        <v>11</v>
      </c>
      <c r="C435" t="str">
        <f t="shared" si="53"/>
        <v>test.TIFFFaxDecoder_11_</v>
      </c>
      <c r="D435">
        <v>3</v>
      </c>
      <c r="E435">
        <v>0.75</v>
      </c>
      <c r="F435">
        <v>0.54247954688483324</v>
      </c>
      <c r="G435" s="1" t="str">
        <f t="shared" si="54"/>
        <v/>
      </c>
      <c r="H435" s="1" t="str">
        <f t="shared" si="55"/>
        <v/>
      </c>
      <c r="I435" s="1">
        <f t="shared" si="56"/>
        <v>0.75</v>
      </c>
      <c r="J435" s="1" t="str">
        <f t="shared" si="57"/>
        <v/>
      </c>
      <c r="K435" s="1" t="str">
        <f t="shared" si="58"/>
        <v/>
      </c>
      <c r="L435" s="1" t="str">
        <f t="shared" si="59"/>
        <v/>
      </c>
    </row>
    <row r="436" spans="1:12">
      <c r="A436" t="s">
        <v>155</v>
      </c>
      <c r="B436">
        <v>11</v>
      </c>
      <c r="C436" t="str">
        <f t="shared" si="53"/>
        <v>test.TIFFFaxDecoder_11_</v>
      </c>
      <c r="D436">
        <v>4</v>
      </c>
      <c r="E436">
        <v>0.75</v>
      </c>
      <c r="F436">
        <v>0.55506607929515417</v>
      </c>
      <c r="G436" s="1" t="str">
        <f t="shared" si="54"/>
        <v/>
      </c>
      <c r="H436" s="1" t="str">
        <f t="shared" si="55"/>
        <v/>
      </c>
      <c r="I436" s="1">
        <f t="shared" si="56"/>
        <v>0.75</v>
      </c>
      <c r="J436" s="1" t="str">
        <f t="shared" si="57"/>
        <v/>
      </c>
      <c r="K436" s="1" t="str">
        <f t="shared" si="58"/>
        <v/>
      </c>
      <c r="L436" s="1" t="str">
        <f t="shared" si="59"/>
        <v/>
      </c>
    </row>
    <row r="437" spans="1:12">
      <c r="A437" t="s">
        <v>155</v>
      </c>
      <c r="B437">
        <v>11</v>
      </c>
      <c r="C437" t="str">
        <f t="shared" si="53"/>
        <v>test.TIFFFaxDecoder_11_</v>
      </c>
      <c r="D437">
        <v>5</v>
      </c>
      <c r="E437">
        <v>0.79545454545454541</v>
      </c>
      <c r="F437">
        <v>0.56261799874134677</v>
      </c>
      <c r="G437" s="1" t="str">
        <f t="shared" si="54"/>
        <v/>
      </c>
      <c r="H437" s="1" t="str">
        <f t="shared" si="55"/>
        <v/>
      </c>
      <c r="I437" s="1">
        <f t="shared" si="56"/>
        <v>0.79545454545454541</v>
      </c>
      <c r="J437" s="1" t="str">
        <f t="shared" si="57"/>
        <v/>
      </c>
      <c r="K437" s="1" t="str">
        <f t="shared" si="58"/>
        <v/>
      </c>
      <c r="L437" s="1" t="str">
        <f t="shared" si="59"/>
        <v/>
      </c>
    </row>
    <row r="438" spans="1:12">
      <c r="A438" t="s">
        <v>155</v>
      </c>
      <c r="B438">
        <v>11</v>
      </c>
      <c r="C438" t="str">
        <f t="shared" si="53"/>
        <v>test.TIFFFaxDecoder_11_</v>
      </c>
      <c r="D438">
        <v>6</v>
      </c>
      <c r="E438">
        <v>0.79545454545454541</v>
      </c>
      <c r="F438">
        <v>0.56702328508495914</v>
      </c>
      <c r="G438" s="1" t="str">
        <f t="shared" si="54"/>
        <v/>
      </c>
      <c r="H438" s="1" t="str">
        <f t="shared" si="55"/>
        <v/>
      </c>
      <c r="I438" s="1">
        <f t="shared" si="56"/>
        <v>0.79545454545454541</v>
      </c>
      <c r="J438" s="1" t="str">
        <f t="shared" si="57"/>
        <v/>
      </c>
      <c r="K438" s="1" t="str">
        <f t="shared" si="58"/>
        <v/>
      </c>
      <c r="L438" s="1" t="str">
        <f t="shared" si="59"/>
        <v/>
      </c>
    </row>
    <row r="439" spans="1:12">
      <c r="A439" t="s">
        <v>155</v>
      </c>
      <c r="B439">
        <v>11</v>
      </c>
      <c r="C439" t="str">
        <f t="shared" si="53"/>
        <v>test.TIFFFaxDecoder_11_</v>
      </c>
      <c r="D439">
        <v>7</v>
      </c>
      <c r="E439">
        <v>0.79545454545454541</v>
      </c>
      <c r="F439">
        <v>0.58212712397734423</v>
      </c>
      <c r="G439" s="1" t="str">
        <f t="shared" si="54"/>
        <v/>
      </c>
      <c r="H439" s="1" t="str">
        <f t="shared" si="55"/>
        <v/>
      </c>
      <c r="I439" s="1">
        <f t="shared" si="56"/>
        <v>0.79545454545454541</v>
      </c>
      <c r="J439" s="1" t="str">
        <f t="shared" si="57"/>
        <v/>
      </c>
      <c r="K439" s="1" t="str">
        <f t="shared" si="58"/>
        <v/>
      </c>
      <c r="L439" s="1" t="str">
        <f t="shared" si="59"/>
        <v/>
      </c>
    </row>
    <row r="440" spans="1:12">
      <c r="A440" t="s">
        <v>155</v>
      </c>
      <c r="B440">
        <v>11</v>
      </c>
      <c r="C440" t="str">
        <f t="shared" si="53"/>
        <v>test.TIFFFaxDecoder_11_</v>
      </c>
      <c r="D440">
        <v>8</v>
      </c>
      <c r="E440">
        <v>0.79545454545454541</v>
      </c>
      <c r="F440">
        <v>0.58779106356198862</v>
      </c>
      <c r="G440" s="1" t="str">
        <f t="shared" si="54"/>
        <v/>
      </c>
      <c r="H440" s="1" t="str">
        <f t="shared" si="55"/>
        <v/>
      </c>
      <c r="I440" s="1">
        <f t="shared" si="56"/>
        <v>0.79545454545454541</v>
      </c>
      <c r="J440" s="1" t="str">
        <f t="shared" si="57"/>
        <v/>
      </c>
      <c r="K440" s="1" t="str">
        <f t="shared" si="58"/>
        <v/>
      </c>
      <c r="L440" s="1" t="str">
        <f t="shared" si="59"/>
        <v/>
      </c>
    </row>
    <row r="441" spans="1:12">
      <c r="A441" t="s">
        <v>155</v>
      </c>
      <c r="B441">
        <v>11</v>
      </c>
      <c r="C441" t="str">
        <f t="shared" si="53"/>
        <v>test.TIFFFaxDecoder_11_</v>
      </c>
      <c r="D441">
        <v>1</v>
      </c>
      <c r="E441">
        <v>0.90909090909090906</v>
      </c>
      <c r="F441">
        <v>0.59156702328508493</v>
      </c>
      <c r="G441" s="1" t="str">
        <f t="shared" si="54"/>
        <v/>
      </c>
      <c r="H441" s="1" t="str">
        <f t="shared" si="55"/>
        <v/>
      </c>
      <c r="I441" s="1">
        <f t="shared" si="56"/>
        <v>0.90909090909090906</v>
      </c>
      <c r="J441" s="1" t="str">
        <f t="shared" si="57"/>
        <v/>
      </c>
      <c r="K441" s="1" t="str">
        <f t="shared" si="58"/>
        <v/>
      </c>
      <c r="L441" s="1" t="str">
        <f t="shared" si="59"/>
        <v/>
      </c>
    </row>
    <row r="442" spans="1:12">
      <c r="A442" t="s">
        <v>155</v>
      </c>
      <c r="B442">
        <v>11</v>
      </c>
      <c r="C442" t="str">
        <f t="shared" si="53"/>
        <v>test.TIFFFaxDecoder_11_</v>
      </c>
      <c r="D442">
        <v>2</v>
      </c>
      <c r="E442">
        <v>0.90909090909090906</v>
      </c>
      <c r="F442">
        <v>0.59219634990560099</v>
      </c>
      <c r="G442" s="1" t="str">
        <f t="shared" si="54"/>
        <v/>
      </c>
      <c r="H442" s="1" t="str">
        <f t="shared" si="55"/>
        <v/>
      </c>
      <c r="I442" s="1">
        <f t="shared" si="56"/>
        <v>0.90909090909090906</v>
      </c>
      <c r="J442" s="1" t="str">
        <f t="shared" si="57"/>
        <v/>
      </c>
      <c r="K442" s="1" t="str">
        <f t="shared" si="58"/>
        <v/>
      </c>
      <c r="L442" s="1" t="str">
        <f t="shared" si="59"/>
        <v/>
      </c>
    </row>
    <row r="443" spans="1:12">
      <c r="A443" t="s">
        <v>155</v>
      </c>
      <c r="B443">
        <v>11</v>
      </c>
      <c r="C443" t="str">
        <f t="shared" si="53"/>
        <v>test.TIFFFaxDecoder_11_</v>
      </c>
      <c r="D443">
        <v>3</v>
      </c>
      <c r="E443">
        <v>0.90909090909090906</v>
      </c>
      <c r="F443">
        <v>0.59786028949024539</v>
      </c>
      <c r="G443" s="1" t="str">
        <f t="shared" si="54"/>
        <v/>
      </c>
      <c r="H443" s="1" t="str">
        <f t="shared" si="55"/>
        <v/>
      </c>
      <c r="I443" s="1">
        <f t="shared" si="56"/>
        <v>0.90909090909090906</v>
      </c>
      <c r="J443" s="1" t="str">
        <f t="shared" si="57"/>
        <v/>
      </c>
      <c r="K443" s="1" t="str">
        <f t="shared" si="58"/>
        <v/>
      </c>
      <c r="L443" s="1" t="str">
        <f t="shared" si="59"/>
        <v/>
      </c>
    </row>
    <row r="444" spans="1:12">
      <c r="A444" t="s">
        <v>155</v>
      </c>
      <c r="B444">
        <v>11</v>
      </c>
      <c r="C444" t="str">
        <f t="shared" si="53"/>
        <v>test.TIFFFaxDecoder_11_</v>
      </c>
      <c r="D444">
        <v>4</v>
      </c>
      <c r="E444">
        <v>1</v>
      </c>
      <c r="F444">
        <v>0.59848961611076146</v>
      </c>
      <c r="G444" s="1" t="str">
        <f t="shared" si="54"/>
        <v/>
      </c>
      <c r="H444" s="1" t="str">
        <f t="shared" si="55"/>
        <v/>
      </c>
      <c r="I444" s="1">
        <f t="shared" si="56"/>
        <v>1</v>
      </c>
      <c r="J444" s="1" t="str">
        <f t="shared" si="57"/>
        <v/>
      </c>
      <c r="K444" s="1" t="str">
        <f t="shared" si="58"/>
        <v/>
      </c>
      <c r="L444" s="1" t="str">
        <f t="shared" si="59"/>
        <v/>
      </c>
    </row>
    <row r="445" spans="1:12">
      <c r="A445" t="s">
        <v>155</v>
      </c>
      <c r="B445">
        <v>11</v>
      </c>
      <c r="C445" t="str">
        <f t="shared" si="53"/>
        <v>test.TIFFFaxDecoder_11_</v>
      </c>
      <c r="D445">
        <v>5</v>
      </c>
      <c r="E445">
        <v>1</v>
      </c>
      <c r="F445">
        <v>0.60981749528005036</v>
      </c>
      <c r="G445" s="1" t="str">
        <f t="shared" si="54"/>
        <v/>
      </c>
      <c r="H445" s="1" t="str">
        <f t="shared" si="55"/>
        <v/>
      </c>
      <c r="I445" s="1" t="str">
        <f t="shared" si="56"/>
        <v/>
      </c>
      <c r="J445" s="1">
        <f t="shared" si="57"/>
        <v>1</v>
      </c>
      <c r="K445" s="1" t="str">
        <f t="shared" si="58"/>
        <v/>
      </c>
      <c r="L445" s="1" t="str">
        <f t="shared" si="59"/>
        <v/>
      </c>
    </row>
    <row r="446" spans="1:12">
      <c r="A446" t="s">
        <v>155</v>
      </c>
      <c r="B446">
        <v>11</v>
      </c>
      <c r="C446" t="str">
        <f t="shared" si="53"/>
        <v>test.TIFFFaxDecoder_11_</v>
      </c>
      <c r="D446">
        <v>1</v>
      </c>
      <c r="E446">
        <v>1</v>
      </c>
      <c r="F446">
        <v>0.63184392699811198</v>
      </c>
      <c r="G446" s="1" t="str">
        <f t="shared" si="54"/>
        <v/>
      </c>
      <c r="H446" s="1" t="str">
        <f t="shared" si="55"/>
        <v/>
      </c>
      <c r="I446" s="1" t="str">
        <f t="shared" si="56"/>
        <v/>
      </c>
      <c r="J446" s="1">
        <f t="shared" si="57"/>
        <v>1</v>
      </c>
      <c r="K446" s="1" t="str">
        <f t="shared" si="58"/>
        <v/>
      </c>
      <c r="L446" s="1" t="str">
        <f t="shared" si="59"/>
        <v/>
      </c>
    </row>
    <row r="447" spans="1:12">
      <c r="A447" t="s">
        <v>155</v>
      </c>
      <c r="B447">
        <v>12</v>
      </c>
      <c r="C447" t="str">
        <f t="shared" si="53"/>
        <v>test.TIFFFaxDecoder_12_</v>
      </c>
      <c r="D447">
        <v>2</v>
      </c>
      <c r="E447">
        <v>0.16071428571428573</v>
      </c>
      <c r="F447">
        <v>0.18269230769230768</v>
      </c>
      <c r="G447" s="1">
        <f t="shared" si="54"/>
        <v>0.16071428571428573</v>
      </c>
      <c r="H447" s="1" t="str">
        <f t="shared" si="55"/>
        <v/>
      </c>
      <c r="I447" s="1" t="str">
        <f t="shared" si="56"/>
        <v/>
      </c>
      <c r="J447" s="1" t="str">
        <f t="shared" si="57"/>
        <v/>
      </c>
      <c r="K447" s="1" t="str">
        <f t="shared" si="58"/>
        <v/>
      </c>
      <c r="L447" s="1" t="str">
        <f t="shared" si="59"/>
        <v/>
      </c>
    </row>
    <row r="448" spans="1:12">
      <c r="A448" t="s">
        <v>155</v>
      </c>
      <c r="B448">
        <v>12</v>
      </c>
      <c r="C448" t="str">
        <f t="shared" si="53"/>
        <v>test.TIFFFaxDecoder_12_</v>
      </c>
      <c r="D448">
        <v>3</v>
      </c>
      <c r="E448">
        <v>0.5714285714285714</v>
      </c>
      <c r="F448">
        <v>0.57692307692307687</v>
      </c>
      <c r="G448" s="1" t="str">
        <f t="shared" si="54"/>
        <v/>
      </c>
      <c r="H448" s="1" t="str">
        <f t="shared" si="55"/>
        <v/>
      </c>
      <c r="I448" s="1">
        <f t="shared" si="56"/>
        <v>0.5714285714285714</v>
      </c>
      <c r="J448" s="1" t="str">
        <f t="shared" si="57"/>
        <v/>
      </c>
      <c r="K448" s="1" t="str">
        <f t="shared" si="58"/>
        <v/>
      </c>
      <c r="L448" s="1" t="str">
        <f t="shared" si="59"/>
        <v/>
      </c>
    </row>
    <row r="449" spans="1:12">
      <c r="A449" t="s">
        <v>155</v>
      </c>
      <c r="B449">
        <v>12</v>
      </c>
      <c r="C449" t="str">
        <f t="shared" si="53"/>
        <v>test.TIFFFaxDecoder_12_</v>
      </c>
      <c r="D449">
        <v>4</v>
      </c>
      <c r="E449">
        <v>0.6071428571428571</v>
      </c>
      <c r="F449">
        <v>0.58440170940170943</v>
      </c>
      <c r="G449" s="1" t="str">
        <f t="shared" si="54"/>
        <v/>
      </c>
      <c r="H449" s="1" t="str">
        <f t="shared" si="55"/>
        <v/>
      </c>
      <c r="I449" s="1">
        <f t="shared" si="56"/>
        <v>0.6071428571428571</v>
      </c>
      <c r="J449" s="1" t="str">
        <f t="shared" si="57"/>
        <v/>
      </c>
      <c r="K449" s="1" t="str">
        <f t="shared" si="58"/>
        <v/>
      </c>
      <c r="L449" s="1" t="str">
        <f t="shared" si="59"/>
        <v/>
      </c>
    </row>
    <row r="450" spans="1:12">
      <c r="A450" t="s">
        <v>155</v>
      </c>
      <c r="B450">
        <v>12</v>
      </c>
      <c r="C450" t="str">
        <f t="shared" si="53"/>
        <v>test.TIFFFaxDecoder_12_</v>
      </c>
      <c r="D450">
        <v>5</v>
      </c>
      <c r="E450">
        <v>0.7857142857142857</v>
      </c>
      <c r="F450">
        <v>0.59829059829059827</v>
      </c>
      <c r="G450" s="1" t="str">
        <f t="shared" si="54"/>
        <v/>
      </c>
      <c r="H450" s="1" t="str">
        <f t="shared" si="55"/>
        <v/>
      </c>
      <c r="I450" s="1">
        <f t="shared" si="56"/>
        <v>0.7857142857142857</v>
      </c>
      <c r="J450" s="1" t="str">
        <f t="shared" si="57"/>
        <v/>
      </c>
      <c r="K450" s="1" t="str">
        <f t="shared" si="58"/>
        <v/>
      </c>
      <c r="L450" s="1" t="str">
        <f t="shared" si="59"/>
        <v/>
      </c>
    </row>
    <row r="451" spans="1:12">
      <c r="A451" t="s">
        <v>155</v>
      </c>
      <c r="B451">
        <v>12</v>
      </c>
      <c r="C451" t="str">
        <f t="shared" ref="C451:C472" si="60">CONCATENATE(A451, "_",B451,"_")</f>
        <v>test.TIFFFaxDecoder_12_</v>
      </c>
      <c r="D451">
        <v>1</v>
      </c>
      <c r="E451">
        <v>0.7857142857142857</v>
      </c>
      <c r="F451">
        <v>0.6036324786324786</v>
      </c>
      <c r="G451" s="1" t="str">
        <f t="shared" ref="G451:G472" si="61">IF($F451 &lt;= 0.2,$E451,"")</f>
        <v/>
      </c>
      <c r="H451" s="1" t="str">
        <f t="shared" ref="H451:H472" si="62">IF(AND($F451 &gt; 0.2,$F451 &lt;= 0.4),$E451,"")</f>
        <v/>
      </c>
      <c r="I451" s="1" t="str">
        <f t="shared" ref="I451:I472" si="63">IF(AND($F451 &gt; 0.4,$F451 &lt;= 0.6),$E451,"")</f>
        <v/>
      </c>
      <c r="J451" s="1">
        <f t="shared" ref="J451:J472" si="64">IF(AND($F451 &gt; 0.6,$F451 &lt;= 0.8),$E451,"")</f>
        <v>0.7857142857142857</v>
      </c>
      <c r="K451" s="1" t="str">
        <f t="shared" ref="K451:K472" si="65">IF(AND($F451 &gt; 0.8, $F451 &lt;=1.1),$E451,"")</f>
        <v/>
      </c>
      <c r="L451" s="1" t="str">
        <f t="shared" ref="L451:L472" si="66">IF(AND($F451 &gt; 1.1),$E451,"")</f>
        <v/>
      </c>
    </row>
    <row r="452" spans="1:12">
      <c r="A452" t="s">
        <v>155</v>
      </c>
      <c r="B452">
        <v>12</v>
      </c>
      <c r="C452" t="str">
        <f t="shared" si="60"/>
        <v>test.TIFFFaxDecoder_12_</v>
      </c>
      <c r="D452">
        <v>2</v>
      </c>
      <c r="E452">
        <v>0.9285714285714286</v>
      </c>
      <c r="F452">
        <v>0.63247863247863245</v>
      </c>
      <c r="G452" s="1" t="str">
        <f t="shared" si="61"/>
        <v/>
      </c>
      <c r="H452" s="1" t="str">
        <f t="shared" si="62"/>
        <v/>
      </c>
      <c r="I452" s="1" t="str">
        <f t="shared" si="63"/>
        <v/>
      </c>
      <c r="J452" s="1">
        <f t="shared" si="64"/>
        <v>0.9285714285714286</v>
      </c>
      <c r="K452" s="1" t="str">
        <f t="shared" si="65"/>
        <v/>
      </c>
      <c r="L452" s="1" t="str">
        <f t="shared" si="66"/>
        <v/>
      </c>
    </row>
    <row r="453" spans="1:12">
      <c r="A453" t="s">
        <v>155</v>
      </c>
      <c r="B453">
        <v>12</v>
      </c>
      <c r="C453" t="str">
        <f t="shared" si="60"/>
        <v>test.TIFFFaxDecoder_12_</v>
      </c>
      <c r="D453">
        <v>3</v>
      </c>
      <c r="E453">
        <v>1</v>
      </c>
      <c r="F453">
        <v>0.63354700854700852</v>
      </c>
      <c r="G453" s="1" t="str">
        <f t="shared" si="61"/>
        <v/>
      </c>
      <c r="H453" s="1" t="str">
        <f t="shared" si="62"/>
        <v/>
      </c>
      <c r="I453" s="1" t="str">
        <f t="shared" si="63"/>
        <v/>
      </c>
      <c r="J453" s="1">
        <f t="shared" si="64"/>
        <v>1</v>
      </c>
      <c r="K453" s="1" t="str">
        <f t="shared" si="65"/>
        <v/>
      </c>
      <c r="L453" s="1" t="str">
        <f t="shared" si="66"/>
        <v/>
      </c>
    </row>
    <row r="454" spans="1:12">
      <c r="A454" t="s">
        <v>155</v>
      </c>
      <c r="B454">
        <v>12</v>
      </c>
      <c r="C454" t="str">
        <f t="shared" si="60"/>
        <v>test.TIFFFaxDecoder_12_</v>
      </c>
      <c r="D454">
        <v>1</v>
      </c>
      <c r="E454">
        <v>1</v>
      </c>
      <c r="F454">
        <v>0.6645299145299145</v>
      </c>
      <c r="G454" s="1" t="str">
        <f t="shared" si="61"/>
        <v/>
      </c>
      <c r="H454" s="1" t="str">
        <f t="shared" si="62"/>
        <v/>
      </c>
      <c r="I454" s="1" t="str">
        <f t="shared" si="63"/>
        <v/>
      </c>
      <c r="J454" s="1">
        <f t="shared" si="64"/>
        <v>1</v>
      </c>
      <c r="K454" s="1" t="str">
        <f t="shared" si="65"/>
        <v/>
      </c>
      <c r="L454" s="1" t="str">
        <f t="shared" si="66"/>
        <v/>
      </c>
    </row>
    <row r="455" spans="1:12">
      <c r="A455" t="s">
        <v>155</v>
      </c>
      <c r="B455">
        <v>12</v>
      </c>
      <c r="C455" t="str">
        <f t="shared" si="60"/>
        <v>test.TIFFFaxDecoder_12_</v>
      </c>
      <c r="D455">
        <v>2</v>
      </c>
      <c r="E455">
        <v>1</v>
      </c>
      <c r="F455">
        <v>0.70512820512820518</v>
      </c>
      <c r="G455" s="1" t="str">
        <f t="shared" si="61"/>
        <v/>
      </c>
      <c r="H455" s="1" t="str">
        <f t="shared" si="62"/>
        <v/>
      </c>
      <c r="I455" s="1" t="str">
        <f t="shared" si="63"/>
        <v/>
      </c>
      <c r="J455" s="1">
        <f t="shared" si="64"/>
        <v>1</v>
      </c>
      <c r="K455" s="1" t="str">
        <f t="shared" si="65"/>
        <v/>
      </c>
      <c r="L455" s="1" t="str">
        <f t="shared" si="66"/>
        <v/>
      </c>
    </row>
    <row r="456" spans="1:12">
      <c r="A456" t="s">
        <v>155</v>
      </c>
      <c r="B456">
        <v>13</v>
      </c>
      <c r="C456" t="str">
        <f t="shared" si="60"/>
        <v>test.TIFFFaxDecoder_13_</v>
      </c>
      <c r="D456">
        <v>3</v>
      </c>
      <c r="E456">
        <v>0.5714285714285714</v>
      </c>
      <c r="F456">
        <v>0.65895953757225434</v>
      </c>
      <c r="G456" s="1" t="str">
        <f t="shared" si="61"/>
        <v/>
      </c>
      <c r="H456" s="1" t="str">
        <f t="shared" si="62"/>
        <v/>
      </c>
      <c r="I456" s="1" t="str">
        <f t="shared" si="63"/>
        <v/>
      </c>
      <c r="J456" s="1">
        <f t="shared" si="64"/>
        <v>0.5714285714285714</v>
      </c>
      <c r="K456" s="1" t="str">
        <f t="shared" si="65"/>
        <v/>
      </c>
      <c r="L456" s="1" t="str">
        <f t="shared" si="66"/>
        <v/>
      </c>
    </row>
    <row r="457" spans="1:12">
      <c r="A457" t="s">
        <v>155</v>
      </c>
      <c r="B457">
        <v>13</v>
      </c>
      <c r="C457" t="str">
        <f t="shared" si="60"/>
        <v>test.TIFFFaxDecoder_13_</v>
      </c>
      <c r="D457">
        <v>4</v>
      </c>
      <c r="E457">
        <v>1</v>
      </c>
      <c r="F457">
        <v>1.046242774566474</v>
      </c>
      <c r="G457" s="1" t="str">
        <f t="shared" si="61"/>
        <v/>
      </c>
      <c r="H457" s="1" t="str">
        <f t="shared" si="62"/>
        <v/>
      </c>
      <c r="I457" s="1" t="str">
        <f t="shared" si="63"/>
        <v/>
      </c>
      <c r="J457" s="1" t="str">
        <f t="shared" si="64"/>
        <v/>
      </c>
      <c r="K457" s="1">
        <f t="shared" si="65"/>
        <v>1</v>
      </c>
      <c r="L457" s="1" t="str">
        <f t="shared" si="66"/>
        <v/>
      </c>
    </row>
    <row r="458" spans="1:12">
      <c r="A458" t="s">
        <v>199</v>
      </c>
      <c r="B458">
        <v>2</v>
      </c>
      <c r="C458" t="str">
        <f t="shared" si="60"/>
        <v>test.TIFFFaxEncoder_2_</v>
      </c>
      <c r="D458">
        <v>5</v>
      </c>
      <c r="E458">
        <v>0</v>
      </c>
      <c r="F458">
        <v>3.0303030303030303E-3</v>
      </c>
      <c r="G458" s="1">
        <f t="shared" si="61"/>
        <v>0</v>
      </c>
      <c r="H458" s="1" t="str">
        <f t="shared" si="62"/>
        <v/>
      </c>
      <c r="I458" s="1" t="str">
        <f t="shared" si="63"/>
        <v/>
      </c>
      <c r="J458" s="1" t="str">
        <f t="shared" si="64"/>
        <v/>
      </c>
      <c r="K458" s="1" t="str">
        <f t="shared" si="65"/>
        <v/>
      </c>
      <c r="L458" s="1" t="str">
        <f t="shared" si="66"/>
        <v/>
      </c>
    </row>
    <row r="459" spans="1:12">
      <c r="A459" t="s">
        <v>199</v>
      </c>
      <c r="B459">
        <v>2</v>
      </c>
      <c r="C459" t="str">
        <f t="shared" si="60"/>
        <v>test.TIFFFaxEncoder_2_</v>
      </c>
      <c r="D459">
        <v>6</v>
      </c>
      <c r="E459">
        <v>0.36619718309859156</v>
      </c>
      <c r="F459">
        <v>0.28737373737373739</v>
      </c>
      <c r="G459" s="1" t="str">
        <f t="shared" si="61"/>
        <v/>
      </c>
      <c r="H459" s="1">
        <f t="shared" si="62"/>
        <v>0.36619718309859156</v>
      </c>
      <c r="I459" s="1" t="str">
        <f t="shared" si="63"/>
        <v/>
      </c>
      <c r="J459" s="1" t="str">
        <f t="shared" si="64"/>
        <v/>
      </c>
      <c r="K459" s="1" t="str">
        <f t="shared" si="65"/>
        <v/>
      </c>
      <c r="L459" s="1" t="str">
        <f t="shared" si="66"/>
        <v/>
      </c>
    </row>
    <row r="460" spans="1:12">
      <c r="A460" t="s">
        <v>199</v>
      </c>
      <c r="B460">
        <v>2</v>
      </c>
      <c r="C460" t="str">
        <f t="shared" si="60"/>
        <v>test.TIFFFaxEncoder_2_</v>
      </c>
      <c r="D460">
        <v>7</v>
      </c>
      <c r="E460">
        <v>0.38028169014084506</v>
      </c>
      <c r="F460">
        <v>0.29242424242424242</v>
      </c>
      <c r="G460" s="1" t="str">
        <f t="shared" si="61"/>
        <v/>
      </c>
      <c r="H460" s="1">
        <f t="shared" si="62"/>
        <v>0.38028169014084506</v>
      </c>
      <c r="I460" s="1" t="str">
        <f t="shared" si="63"/>
        <v/>
      </c>
      <c r="J460" s="1" t="str">
        <f t="shared" si="64"/>
        <v/>
      </c>
      <c r="K460" s="1" t="str">
        <f t="shared" si="65"/>
        <v/>
      </c>
      <c r="L460" s="1" t="str">
        <f t="shared" si="66"/>
        <v/>
      </c>
    </row>
    <row r="461" spans="1:12">
      <c r="A461" t="s">
        <v>199</v>
      </c>
      <c r="B461">
        <v>2</v>
      </c>
      <c r="C461" t="str">
        <f t="shared" si="60"/>
        <v>test.TIFFFaxEncoder_2_</v>
      </c>
      <c r="D461">
        <v>8</v>
      </c>
      <c r="E461">
        <v>0.71830985915492962</v>
      </c>
      <c r="F461">
        <v>0.42272727272727273</v>
      </c>
      <c r="G461" s="1" t="str">
        <f t="shared" si="61"/>
        <v/>
      </c>
      <c r="H461" s="1" t="str">
        <f t="shared" si="62"/>
        <v/>
      </c>
      <c r="I461" s="1">
        <f t="shared" si="63"/>
        <v>0.71830985915492962</v>
      </c>
      <c r="J461" s="1" t="str">
        <f t="shared" si="64"/>
        <v/>
      </c>
      <c r="K461" s="1" t="str">
        <f t="shared" si="65"/>
        <v/>
      </c>
      <c r="L461" s="1" t="str">
        <f t="shared" si="66"/>
        <v/>
      </c>
    </row>
    <row r="462" spans="1:12">
      <c r="A462" t="s">
        <v>199</v>
      </c>
      <c r="B462">
        <v>2</v>
      </c>
      <c r="C462" t="str">
        <f t="shared" si="60"/>
        <v>test.TIFFFaxEncoder_2_</v>
      </c>
      <c r="D462">
        <v>9</v>
      </c>
      <c r="E462">
        <v>0.71830985915492962</v>
      </c>
      <c r="F462">
        <v>0.42727272727272725</v>
      </c>
      <c r="G462" s="1" t="str">
        <f t="shared" si="61"/>
        <v/>
      </c>
      <c r="H462" s="1" t="str">
        <f t="shared" si="62"/>
        <v/>
      </c>
      <c r="I462" s="1">
        <f t="shared" si="63"/>
        <v>0.71830985915492962</v>
      </c>
      <c r="J462" s="1" t="str">
        <f t="shared" si="64"/>
        <v/>
      </c>
      <c r="K462" s="1" t="str">
        <f t="shared" si="65"/>
        <v/>
      </c>
      <c r="L462" s="1" t="str">
        <f t="shared" si="66"/>
        <v/>
      </c>
    </row>
    <row r="463" spans="1:12">
      <c r="A463" t="s">
        <v>199</v>
      </c>
      <c r="B463">
        <v>2</v>
      </c>
      <c r="C463" t="str">
        <f t="shared" si="60"/>
        <v>test.TIFFFaxEncoder_2_</v>
      </c>
      <c r="D463">
        <v>10</v>
      </c>
      <c r="E463">
        <v>1</v>
      </c>
      <c r="F463">
        <v>0.63989898989898986</v>
      </c>
      <c r="G463" s="1" t="str">
        <f t="shared" si="61"/>
        <v/>
      </c>
      <c r="H463" s="1" t="str">
        <f t="shared" si="62"/>
        <v/>
      </c>
      <c r="I463" s="1" t="str">
        <f t="shared" si="63"/>
        <v/>
      </c>
      <c r="J463" s="1">
        <f t="shared" si="64"/>
        <v>1</v>
      </c>
      <c r="K463" s="1" t="str">
        <f t="shared" si="65"/>
        <v/>
      </c>
      <c r="L463" s="1" t="str">
        <f t="shared" si="66"/>
        <v/>
      </c>
    </row>
    <row r="464" spans="1:12">
      <c r="A464" t="s">
        <v>199</v>
      </c>
      <c r="B464">
        <v>2</v>
      </c>
      <c r="C464" t="str">
        <f t="shared" si="60"/>
        <v>test.TIFFFaxEncoder_2_</v>
      </c>
      <c r="D464">
        <v>11</v>
      </c>
      <c r="E464">
        <v>1</v>
      </c>
      <c r="F464">
        <v>0.64393939393939392</v>
      </c>
      <c r="G464" s="1" t="str">
        <f t="shared" si="61"/>
        <v/>
      </c>
      <c r="H464" s="1" t="str">
        <f t="shared" si="62"/>
        <v/>
      </c>
      <c r="I464" s="1" t="str">
        <f t="shared" si="63"/>
        <v/>
      </c>
      <c r="J464" s="1">
        <f t="shared" si="64"/>
        <v>1</v>
      </c>
      <c r="K464" s="1" t="str">
        <f t="shared" si="65"/>
        <v/>
      </c>
      <c r="L464" s="1" t="str">
        <f t="shared" si="66"/>
        <v/>
      </c>
    </row>
    <row r="465" spans="1:12">
      <c r="A465" t="s">
        <v>199</v>
      </c>
      <c r="B465">
        <v>6</v>
      </c>
      <c r="C465" t="str">
        <f t="shared" si="60"/>
        <v>test.TIFFFaxEncoder_6_</v>
      </c>
      <c r="D465">
        <v>12</v>
      </c>
      <c r="E465">
        <v>0.74193548387096775</v>
      </c>
      <c r="F465">
        <v>0.74162679425837319</v>
      </c>
      <c r="G465" s="1" t="str">
        <f t="shared" si="61"/>
        <v/>
      </c>
      <c r="H465" s="1" t="str">
        <f t="shared" si="62"/>
        <v/>
      </c>
      <c r="I465" s="1" t="str">
        <f t="shared" si="63"/>
        <v/>
      </c>
      <c r="J465" s="1">
        <f t="shared" si="64"/>
        <v>0.74193548387096775</v>
      </c>
      <c r="K465" s="1" t="str">
        <f t="shared" si="65"/>
        <v/>
      </c>
      <c r="L465" s="1" t="str">
        <f t="shared" si="66"/>
        <v/>
      </c>
    </row>
    <row r="466" spans="1:12">
      <c r="A466" t="s">
        <v>199</v>
      </c>
      <c r="B466">
        <v>6</v>
      </c>
      <c r="C466" t="str">
        <f t="shared" si="60"/>
        <v>test.TIFFFaxEncoder_6_</v>
      </c>
      <c r="D466">
        <v>13</v>
      </c>
      <c r="E466">
        <v>0.77419354838709675</v>
      </c>
      <c r="F466">
        <v>0.74401913875598091</v>
      </c>
      <c r="G466" s="1" t="str">
        <f t="shared" si="61"/>
        <v/>
      </c>
      <c r="H466" s="1" t="str">
        <f t="shared" si="62"/>
        <v/>
      </c>
      <c r="I466" s="1" t="str">
        <f t="shared" si="63"/>
        <v/>
      </c>
      <c r="J466" s="1">
        <f t="shared" si="64"/>
        <v>0.77419354838709675</v>
      </c>
      <c r="K466" s="1" t="str">
        <f t="shared" si="65"/>
        <v/>
      </c>
      <c r="L466" s="1" t="str">
        <f t="shared" si="66"/>
        <v/>
      </c>
    </row>
    <row r="467" spans="1:12">
      <c r="A467" t="s">
        <v>199</v>
      </c>
      <c r="B467">
        <v>6</v>
      </c>
      <c r="C467" t="str">
        <f t="shared" si="60"/>
        <v>test.TIFFFaxEncoder_6_</v>
      </c>
      <c r="D467">
        <v>14</v>
      </c>
      <c r="E467">
        <v>0.967741935483871</v>
      </c>
      <c r="F467">
        <v>0.83732057416267947</v>
      </c>
      <c r="G467" s="1" t="str">
        <f t="shared" si="61"/>
        <v/>
      </c>
      <c r="H467" s="1" t="str">
        <f t="shared" si="62"/>
        <v/>
      </c>
      <c r="I467" s="1" t="str">
        <f t="shared" si="63"/>
        <v/>
      </c>
      <c r="J467" s="1" t="str">
        <f t="shared" si="64"/>
        <v/>
      </c>
      <c r="K467" s="1">
        <f t="shared" si="65"/>
        <v>0.967741935483871</v>
      </c>
      <c r="L467" s="1" t="str">
        <f t="shared" si="66"/>
        <v/>
      </c>
    </row>
    <row r="468" spans="1:12">
      <c r="A468" t="s">
        <v>199</v>
      </c>
      <c r="B468">
        <v>6</v>
      </c>
      <c r="C468" t="str">
        <f t="shared" si="60"/>
        <v>test.TIFFFaxEncoder_6_</v>
      </c>
      <c r="D468">
        <v>15</v>
      </c>
      <c r="E468">
        <v>0.967741935483871</v>
      </c>
      <c r="F468">
        <v>0.84090909090909094</v>
      </c>
      <c r="G468" s="1" t="str">
        <f t="shared" si="61"/>
        <v/>
      </c>
      <c r="H468" s="1" t="str">
        <f t="shared" si="62"/>
        <v/>
      </c>
      <c r="I468" s="1" t="str">
        <f t="shared" si="63"/>
        <v/>
      </c>
      <c r="J468" s="1" t="str">
        <f t="shared" si="64"/>
        <v/>
      </c>
      <c r="K468" s="1">
        <f t="shared" si="65"/>
        <v>0.967741935483871</v>
      </c>
      <c r="L468" s="1" t="str">
        <f t="shared" si="66"/>
        <v/>
      </c>
    </row>
    <row r="469" spans="1:12">
      <c r="A469" t="s">
        <v>199</v>
      </c>
      <c r="B469">
        <v>6</v>
      </c>
      <c r="C469" t="str">
        <f t="shared" si="60"/>
        <v>test.TIFFFaxEncoder_6_</v>
      </c>
      <c r="D469">
        <v>16</v>
      </c>
      <c r="E469">
        <v>1</v>
      </c>
      <c r="F469">
        <v>0.84210526315789469</v>
      </c>
      <c r="G469" s="1" t="str">
        <f t="shared" si="61"/>
        <v/>
      </c>
      <c r="H469" s="1" t="str">
        <f t="shared" si="62"/>
        <v/>
      </c>
      <c r="I469" s="1" t="str">
        <f t="shared" si="63"/>
        <v/>
      </c>
      <c r="J469" s="1" t="str">
        <f t="shared" si="64"/>
        <v/>
      </c>
      <c r="K469" s="1">
        <f t="shared" si="65"/>
        <v>1</v>
      </c>
      <c r="L469" s="1" t="str">
        <f t="shared" si="66"/>
        <v/>
      </c>
    </row>
    <row r="470" spans="1:12">
      <c r="A470" t="s">
        <v>199</v>
      </c>
      <c r="B470">
        <v>6</v>
      </c>
      <c r="C470" t="str">
        <f t="shared" si="60"/>
        <v>test.TIFFFaxEncoder_6_</v>
      </c>
      <c r="D470">
        <v>17</v>
      </c>
      <c r="E470">
        <v>1</v>
      </c>
      <c r="F470">
        <v>0.84928229665071775</v>
      </c>
      <c r="G470" s="1" t="str">
        <f t="shared" si="61"/>
        <v/>
      </c>
      <c r="H470" s="1" t="str">
        <f t="shared" si="62"/>
        <v/>
      </c>
      <c r="I470" s="1" t="str">
        <f t="shared" si="63"/>
        <v/>
      </c>
      <c r="J470" s="1" t="str">
        <f t="shared" si="64"/>
        <v/>
      </c>
      <c r="K470" s="1">
        <f t="shared" si="65"/>
        <v>1</v>
      </c>
      <c r="L470" s="1" t="str">
        <f t="shared" si="66"/>
        <v/>
      </c>
    </row>
    <row r="471" spans="1:12">
      <c r="A471" t="s">
        <v>199</v>
      </c>
      <c r="B471">
        <v>8</v>
      </c>
      <c r="C471" t="str">
        <f t="shared" si="60"/>
        <v>test.TIFFFaxEncoder_8_</v>
      </c>
      <c r="D471">
        <v>18</v>
      </c>
      <c r="E471">
        <v>0.96551724137931039</v>
      </c>
      <c r="F471">
        <v>0.97707423580786024</v>
      </c>
      <c r="G471" s="1" t="str">
        <f t="shared" si="61"/>
        <v/>
      </c>
      <c r="H471" s="1" t="str">
        <f t="shared" si="62"/>
        <v/>
      </c>
      <c r="I471" s="1" t="str">
        <f t="shared" si="63"/>
        <v/>
      </c>
      <c r="J471" s="1" t="str">
        <f t="shared" si="64"/>
        <v/>
      </c>
      <c r="K471" s="1">
        <f t="shared" si="65"/>
        <v>0.96551724137931039</v>
      </c>
      <c r="L471" s="1" t="str">
        <f t="shared" si="66"/>
        <v/>
      </c>
    </row>
    <row r="472" spans="1:12">
      <c r="A472" t="s">
        <v>199</v>
      </c>
      <c r="B472">
        <v>8</v>
      </c>
      <c r="C472" t="str">
        <f t="shared" si="60"/>
        <v>test.TIFFFaxEncoder_8_</v>
      </c>
      <c r="D472">
        <v>1</v>
      </c>
      <c r="E472">
        <v>1</v>
      </c>
      <c r="F472">
        <v>1.017467248908297</v>
      </c>
      <c r="G472" s="1" t="str">
        <f t="shared" si="61"/>
        <v/>
      </c>
      <c r="H472" s="1" t="str">
        <f t="shared" si="62"/>
        <v/>
      </c>
      <c r="I472" s="1" t="str">
        <f t="shared" si="63"/>
        <v/>
      </c>
      <c r="J472" s="1" t="str">
        <f t="shared" si="64"/>
        <v/>
      </c>
      <c r="K472" s="1">
        <f t="shared" si="65"/>
        <v>1</v>
      </c>
      <c r="L472" s="1" t="str">
        <f t="shared" si="66"/>
        <v/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artifacts</vt:lpstr>
      <vt:lpstr>summary</vt:lpstr>
      <vt:lpstr>RD c1 vs f</vt:lpstr>
      <vt:lpstr>RD c1 compare</vt:lpstr>
      <vt:lpstr>RD c2 vs f</vt:lpstr>
      <vt:lpstr>RD c2 compare</vt:lpstr>
      <vt:lpstr>VA c1 vs f satunsat</vt:lpstr>
      <vt:lpstr>VA c1 vs f time</vt:lpstr>
      <vt:lpstr>VA c1 compare</vt:lpstr>
      <vt:lpstr>VA c2 vs f satunsat</vt:lpstr>
      <vt:lpstr>VA c2 vs f time</vt:lpstr>
      <vt:lpstr>VA c2 compare</vt:lpstr>
    </vt:vector>
  </TitlesOfParts>
  <Company>Boise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Sherman</dc:creator>
  <cp:lastModifiedBy>Elena Sherman</cp:lastModifiedBy>
  <dcterms:created xsi:type="dcterms:W3CDTF">2017-10-19T19:30:28Z</dcterms:created>
  <dcterms:modified xsi:type="dcterms:W3CDTF">2018-01-31T00:16:55Z</dcterms:modified>
</cp:coreProperties>
</file>